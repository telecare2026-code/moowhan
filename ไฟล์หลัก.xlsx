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W:\1.Customer\TDEM\4.FC\2026\02\"/>
    </mc:Choice>
  </mc:AlternateContent>
  <xr:revisionPtr revIDLastSave="0" documentId="13_ncr:1_{19FB7D28-5FEB-4FF4-8F90-1E60DD0D05B1}" xr6:coauthVersionLast="47" xr6:coauthVersionMax="47" xr10:uidLastSave="{00000000-0000-0000-0000-000000000000}"/>
  <bookViews>
    <workbookView xWindow="-108" yWindow="-108" windowWidth="23256" windowHeight="12456" tabRatio="785" firstSheet="1" activeTab="3" xr2:uid="{00000000-000D-0000-FFFF-FFFF00000000}"/>
  </bookViews>
  <sheets>
    <sheet name="Summary" sheetId="1" state="hidden" r:id="rId1"/>
    <sheet name="By Plant" sheetId="2" r:id="rId2"/>
    <sheet name="Monthly FC (Don't use)" sheetId="3" state="hidden" r:id="rId3"/>
    <sheet name="BP Daily" sheetId="4" r:id="rId4"/>
    <sheet name="BPK Daily" sheetId="5" r:id="rId5"/>
    <sheet name="GW Daily" sheetId="6" r:id="rId6"/>
    <sheet name="SR Daily" sheetId="7" r:id="rId7"/>
    <sheet name="Total" sheetId="8" r:id="rId8"/>
    <sheet name="Sheet1" sheetId="9" r:id="rId9"/>
    <sheet name="Sheet2" sheetId="10" r:id="rId10"/>
    <sheet name="Analyze" sheetId="11" r:id="rId11"/>
  </sheets>
  <definedNames>
    <definedName name="_xlnm._FilterDatabase" localSheetId="10" hidden="1">Analyze!$A$2:$FA$56</definedName>
    <definedName name="_xlnm._FilterDatabase" localSheetId="3" hidden="1">'BP Daily'!$A$13:$EF$21</definedName>
    <definedName name="_xlnm._FilterDatabase" localSheetId="4" hidden="1">'BPK Daily'!$A$13:$EG$39</definedName>
    <definedName name="_xlnm._FilterDatabase" localSheetId="1" hidden="1">'By Plant'!$A$6:$AB$65</definedName>
    <definedName name="_xlnm._FilterDatabase" localSheetId="2" hidden="1">'Monthly FC (Don''t use)'!$A$6:$AO$62</definedName>
    <definedName name="_xlnm._FilterDatabase" localSheetId="6" hidden="1">'SR Daily'!$A$13:$EF$13</definedName>
    <definedName name="_xlnm._FilterDatabase" localSheetId="0" hidden="1">Summary!$A$6:$L$60</definedName>
    <definedName name="_xlnm._FilterDatabase" localSheetId="7" hidden="1">Total!$A$4:$AC$33</definedName>
  </definedNames>
  <calcPr calcId="191029"/>
  <pivotCaches>
    <pivotCache cacheId="5" r:id="rId12"/>
    <pivotCache cacheId="6" r:id="rId13"/>
    <pivotCache cacheId="7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5" l="1"/>
  <c r="J9" i="5"/>
  <c r="K9" i="5"/>
  <c r="L9" i="5"/>
  <c r="M9" i="5"/>
  <c r="N9" i="5"/>
  <c r="I10" i="5"/>
  <c r="J10" i="5"/>
  <c r="K10" i="5"/>
  <c r="L10" i="5"/>
  <c r="M10" i="5"/>
  <c r="N10" i="5"/>
  <c r="J11" i="5" l="1"/>
  <c r="N11" i="5"/>
  <c r="L11" i="5"/>
  <c r="K11" i="5"/>
  <c r="M11" i="5"/>
  <c r="I11" i="5"/>
  <c r="R27" i="8" l="1"/>
  <c r="R28" i="8"/>
  <c r="R29" i="8"/>
  <c r="R30" i="8"/>
  <c r="R31" i="8"/>
  <c r="R26" i="8"/>
  <c r="K10" i="2"/>
  <c r="K17" i="2"/>
  <c r="K46" i="2"/>
  <c r="J10" i="2"/>
  <c r="J17" i="2"/>
  <c r="J46" i="2"/>
  <c r="T46" i="2" s="1"/>
  <c r="Y46" i="2" s="1"/>
  <c r="I10" i="2"/>
  <c r="I17" i="2"/>
  <c r="I46" i="2"/>
  <c r="S46" i="2" s="1"/>
  <c r="X46" i="2" s="1"/>
  <c r="H10" i="2"/>
  <c r="H17" i="2"/>
  <c r="H46" i="2"/>
  <c r="R46" i="2" s="1"/>
  <c r="W46" i="2" s="1"/>
  <c r="G106" i="11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AN20" i="7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C23" i="6"/>
  <c r="CD23" i="6"/>
  <c r="CE23" i="6"/>
  <c r="CF23" i="6"/>
  <c r="CG23" i="6"/>
  <c r="CH23" i="6"/>
  <c r="CI23" i="6"/>
  <c r="CJ23" i="6"/>
  <c r="CK23" i="6"/>
  <c r="CL23" i="6"/>
  <c r="CM23" i="6"/>
  <c r="CN23" i="6"/>
  <c r="CO23" i="6"/>
  <c r="CP23" i="6"/>
  <c r="CQ23" i="6"/>
  <c r="CR23" i="6"/>
  <c r="CS23" i="6"/>
  <c r="CT23" i="6"/>
  <c r="CU23" i="6"/>
  <c r="CV23" i="6"/>
  <c r="CW23" i="6"/>
  <c r="CX23" i="6"/>
  <c r="CY23" i="6"/>
  <c r="CZ23" i="6"/>
  <c r="DA23" i="6"/>
  <c r="DB23" i="6"/>
  <c r="DC23" i="6"/>
  <c r="DD23" i="6"/>
  <c r="DE23" i="6"/>
  <c r="DF23" i="6"/>
  <c r="DG23" i="6"/>
  <c r="DH23" i="6"/>
  <c r="DI23" i="6"/>
  <c r="DJ23" i="6"/>
  <c r="DK23" i="6"/>
  <c r="DL23" i="6"/>
  <c r="DM23" i="6"/>
  <c r="DN23" i="6"/>
  <c r="DO23" i="6"/>
  <c r="DP23" i="6"/>
  <c r="DQ23" i="6"/>
  <c r="DR23" i="6"/>
  <c r="DS23" i="6"/>
  <c r="DT23" i="6"/>
  <c r="DU23" i="6"/>
  <c r="DV23" i="6"/>
  <c r="DW23" i="6"/>
  <c r="DX23" i="6"/>
  <c r="DY23" i="6"/>
  <c r="DZ23" i="6"/>
  <c r="EA23" i="6"/>
  <c r="EB23" i="6"/>
  <c r="EC23" i="6"/>
  <c r="ED23" i="6"/>
  <c r="EE23" i="6"/>
  <c r="EF23" i="6"/>
  <c r="AN23" i="6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AN39" i="5"/>
  <c r="EF26" i="4"/>
  <c r="CZ26" i="4"/>
  <c r="BT26" i="4"/>
  <c r="AN26" i="4"/>
  <c r="FG25" i="11"/>
  <c r="EL56" i="11"/>
  <c r="EI56" i="11"/>
  <c r="EL55" i="11"/>
  <c r="EI55" i="11"/>
  <c r="EL54" i="11"/>
  <c r="EI54" i="11"/>
  <c r="EL53" i="11"/>
  <c r="EI53" i="11"/>
  <c r="EL52" i="11"/>
  <c r="EI52" i="11"/>
  <c r="EL51" i="11"/>
  <c r="EI51" i="11"/>
  <c r="EL50" i="11"/>
  <c r="EI50" i="11"/>
  <c r="EL49" i="11"/>
  <c r="EI49" i="11"/>
  <c r="EL48" i="11"/>
  <c r="EI48" i="11"/>
  <c r="EL47" i="11"/>
  <c r="EK47" i="11"/>
  <c r="EI47" i="11"/>
  <c r="EW46" i="11"/>
  <c r="EV46" i="11"/>
  <c r="EU46" i="11"/>
  <c r="ET46" i="11"/>
  <c r="EL46" i="11"/>
  <c r="EK46" i="11"/>
  <c r="EI46" i="11"/>
  <c r="FA45" i="11"/>
  <c r="EL45" i="11"/>
  <c r="EK45" i="11"/>
  <c r="EI45" i="11"/>
  <c r="FA44" i="11"/>
  <c r="ER44" i="11"/>
  <c r="EL44" i="11"/>
  <c r="EK44" i="11"/>
  <c r="EI44" i="11"/>
  <c r="FA43" i="11"/>
  <c r="ER43" i="11"/>
  <c r="EL43" i="11"/>
  <c r="EK43" i="11"/>
  <c r="EI43" i="11"/>
  <c r="FA42" i="11"/>
  <c r="ER42" i="11"/>
  <c r="EL42" i="11"/>
  <c r="EK42" i="11"/>
  <c r="EI42" i="11"/>
  <c r="FA41" i="11"/>
  <c r="ER41" i="11"/>
  <c r="EL41" i="11"/>
  <c r="EK41" i="11"/>
  <c r="EI41" i="11"/>
  <c r="FA40" i="11"/>
  <c r="ER40" i="11"/>
  <c r="EL40" i="11"/>
  <c r="EK40" i="11"/>
  <c r="EI40" i="11"/>
  <c r="FA39" i="11"/>
  <c r="ER39" i="11"/>
  <c r="EL39" i="11"/>
  <c r="EK39" i="11"/>
  <c r="EI39" i="11"/>
  <c r="FA38" i="11"/>
  <c r="ER38" i="11"/>
  <c r="EL38" i="11"/>
  <c r="EK38" i="11"/>
  <c r="EI38" i="11"/>
  <c r="ER37" i="11"/>
  <c r="EL37" i="11"/>
  <c r="EK37" i="11"/>
  <c r="EI37" i="11"/>
  <c r="ER36" i="11"/>
  <c r="EL36" i="11"/>
  <c r="EK36" i="11"/>
  <c r="EI36" i="11"/>
  <c r="FA35" i="11"/>
  <c r="ER35" i="11"/>
  <c r="EL35" i="11"/>
  <c r="EI35" i="11"/>
  <c r="FA34" i="11"/>
  <c r="ER34" i="11"/>
  <c r="EL34" i="11"/>
  <c r="EI34" i="11"/>
  <c r="FA33" i="11"/>
  <c r="ER33" i="11"/>
  <c r="EL33" i="11"/>
  <c r="EK33" i="11"/>
  <c r="EI33" i="11"/>
  <c r="FA32" i="11"/>
  <c r="ER32" i="11"/>
  <c r="EL32" i="11"/>
  <c r="EK32" i="11"/>
  <c r="EI32" i="11"/>
  <c r="FA31" i="11"/>
  <c r="ER31" i="11"/>
  <c r="EL31" i="11"/>
  <c r="EK31" i="11"/>
  <c r="EI31" i="11"/>
  <c r="FA30" i="11"/>
  <c r="ER30" i="11"/>
  <c r="EL30" i="11"/>
  <c r="EK30" i="11"/>
  <c r="EI30" i="11"/>
  <c r="FA29" i="11"/>
  <c r="ER29" i="11"/>
  <c r="EL29" i="11"/>
  <c r="EK29" i="11"/>
  <c r="EI29" i="11"/>
  <c r="FA28" i="11"/>
  <c r="ER28" i="11"/>
  <c r="EL28" i="11"/>
  <c r="EK28" i="11"/>
  <c r="EI28" i="11"/>
  <c r="FA27" i="11"/>
  <c r="ER27" i="11"/>
  <c r="EL27" i="11"/>
  <c r="EK27" i="11"/>
  <c r="EI27" i="11"/>
  <c r="FA26" i="11"/>
  <c r="ER26" i="11"/>
  <c r="EL26" i="11"/>
  <c r="EK26" i="11"/>
  <c r="EI26" i="11"/>
  <c r="FA25" i="11"/>
  <c r="ER25" i="11"/>
  <c r="EL25" i="11"/>
  <c r="EK25" i="11"/>
  <c r="EI25" i="11"/>
  <c r="EL24" i="11"/>
  <c r="EK24" i="11"/>
  <c r="EI24" i="11"/>
  <c r="EL23" i="11"/>
  <c r="EK23" i="11"/>
  <c r="EI23" i="11"/>
  <c r="EL22" i="11"/>
  <c r="EK22" i="11"/>
  <c r="EI22" i="11"/>
  <c r="EL21" i="11"/>
  <c r="EK21" i="11"/>
  <c r="EI21" i="11"/>
  <c r="EL20" i="11"/>
  <c r="EK20" i="11"/>
  <c r="EI20" i="11"/>
  <c r="EL19" i="11"/>
  <c r="EK19" i="11"/>
  <c r="EI19" i="11"/>
  <c r="EL18" i="11"/>
  <c r="EK18" i="11"/>
  <c r="EI18" i="11"/>
  <c r="EL17" i="11"/>
  <c r="EK17" i="11"/>
  <c r="EI17" i="11"/>
  <c r="EL16" i="11"/>
  <c r="EK16" i="11"/>
  <c r="EI16" i="11"/>
  <c r="EL15" i="11"/>
  <c r="EK15" i="11"/>
  <c r="EI15" i="11"/>
  <c r="EL14" i="11"/>
  <c r="EK14" i="11"/>
  <c r="EI14" i="11"/>
  <c r="EL13" i="11"/>
  <c r="EK13" i="11"/>
  <c r="EI13" i="11"/>
  <c r="EQ12" i="11"/>
  <c r="EL12" i="11"/>
  <c r="EK12" i="11"/>
  <c r="EI12" i="11"/>
  <c r="EQ11" i="11"/>
  <c r="EL11" i="11"/>
  <c r="EK11" i="11"/>
  <c r="EI11" i="11"/>
  <c r="EQ10" i="11"/>
  <c r="EL10" i="11"/>
  <c r="EK10" i="11"/>
  <c r="EI10" i="11"/>
  <c r="EQ9" i="11"/>
  <c r="EL9" i="11"/>
  <c r="EK9" i="11"/>
  <c r="EI9" i="11"/>
  <c r="EQ8" i="11"/>
  <c r="EL8" i="11"/>
  <c r="EK8" i="11"/>
  <c r="EI8" i="11"/>
  <c r="EQ7" i="11"/>
  <c r="EL7" i="11"/>
  <c r="EK7" i="11"/>
  <c r="EI7" i="11"/>
  <c r="EQ6" i="11"/>
  <c r="EL6" i="11"/>
  <c r="EK6" i="11"/>
  <c r="EI6" i="11"/>
  <c r="EQ5" i="11"/>
  <c r="EL5" i="11"/>
  <c r="EK5" i="11"/>
  <c r="EI5" i="11"/>
  <c r="EL4" i="11"/>
  <c r="EK4" i="11"/>
  <c r="EI4" i="11"/>
  <c r="EL3" i="11"/>
  <c r="EK3" i="11"/>
  <c r="EI3" i="11"/>
  <c r="L12" i="9"/>
  <c r="L14" i="9" s="1"/>
  <c r="K12" i="9"/>
  <c r="K14" i="9" s="1"/>
  <c r="J12" i="9"/>
  <c r="J14" i="9" s="1"/>
  <c r="I12" i="9"/>
  <c r="I14" i="9" s="1"/>
  <c r="M31" i="8"/>
  <c r="L31" i="8"/>
  <c r="V31" i="8" s="1"/>
  <c r="AA31" i="8" s="1"/>
  <c r="K31" i="8"/>
  <c r="U31" i="8" s="1"/>
  <c r="Z31" i="8" s="1"/>
  <c r="J31" i="8"/>
  <c r="T31" i="8" s="1"/>
  <c r="Y31" i="8" s="1"/>
  <c r="M30" i="8"/>
  <c r="L30" i="8"/>
  <c r="V30" i="8" s="1"/>
  <c r="AA30" i="8" s="1"/>
  <c r="K30" i="8"/>
  <c r="U30" i="8" s="1"/>
  <c r="Z30" i="8" s="1"/>
  <c r="J30" i="8"/>
  <c r="T30" i="8" s="1"/>
  <c r="Y30" i="8" s="1"/>
  <c r="M29" i="8"/>
  <c r="L29" i="8"/>
  <c r="K29" i="8"/>
  <c r="U29" i="8" s="1"/>
  <c r="Z29" i="8" s="1"/>
  <c r="J29" i="8"/>
  <c r="T29" i="8" s="1"/>
  <c r="Y29" i="8" s="1"/>
  <c r="B28" i="8"/>
  <c r="J28" i="8" s="1"/>
  <c r="V27" i="8"/>
  <c r="AA27" i="8" s="1"/>
  <c r="U27" i="8"/>
  <c r="Z27" i="8" s="1"/>
  <c r="T27" i="8"/>
  <c r="Y27" i="8" s="1"/>
  <c r="B27" i="8"/>
  <c r="B26" i="8"/>
  <c r="M26" i="8" s="1"/>
  <c r="B25" i="8"/>
  <c r="B24" i="8"/>
  <c r="K24" i="8" s="1"/>
  <c r="B23" i="8"/>
  <c r="M23" i="8" s="1"/>
  <c r="B22" i="8"/>
  <c r="M22" i="8" s="1"/>
  <c r="B21" i="8"/>
  <c r="R21" i="8" s="1"/>
  <c r="B20" i="8"/>
  <c r="K20" i="8" s="1"/>
  <c r="B19" i="8"/>
  <c r="J19" i="8" s="1"/>
  <c r="B18" i="8"/>
  <c r="M18" i="8" s="1"/>
  <c r="B17" i="8"/>
  <c r="J17" i="8" s="1"/>
  <c r="B16" i="8"/>
  <c r="K16" i="8" s="1"/>
  <c r="B15" i="8"/>
  <c r="M15" i="8" s="1"/>
  <c r="B14" i="8"/>
  <c r="M14" i="8" s="1"/>
  <c r="V13" i="8"/>
  <c r="AA13" i="8" s="1"/>
  <c r="U13" i="8"/>
  <c r="Z13" i="8" s="1"/>
  <c r="T13" i="8"/>
  <c r="Y13" i="8" s="1"/>
  <c r="B13" i="8"/>
  <c r="B12" i="8"/>
  <c r="R12" i="8" s="1"/>
  <c r="B11" i="8"/>
  <c r="B10" i="8"/>
  <c r="B9" i="8"/>
  <c r="B8" i="8"/>
  <c r="B7" i="8"/>
  <c r="K7" i="8" s="1"/>
  <c r="B6" i="8"/>
  <c r="M6" i="8" s="1"/>
  <c r="V5" i="8"/>
  <c r="AA5" i="8" s="1"/>
  <c r="U5" i="8"/>
  <c r="Z5" i="8" s="1"/>
  <c r="T5" i="8"/>
  <c r="Y5" i="8" s="1"/>
  <c r="B5" i="8"/>
  <c r="M4" i="8"/>
  <c r="R4" i="8" s="1"/>
  <c r="W4" i="8" s="1"/>
  <c r="AB4" i="8" s="1"/>
  <c r="L4" i="8"/>
  <c r="Q4" i="8" s="1"/>
  <c r="V4" i="8" s="1"/>
  <c r="AA4" i="8" s="1"/>
  <c r="K4" i="8"/>
  <c r="P4" i="8" s="1"/>
  <c r="U4" i="8" s="1"/>
  <c r="Z4" i="8" s="1"/>
  <c r="J4" i="8"/>
  <c r="O4" i="8" s="1"/>
  <c r="T4" i="8" s="1"/>
  <c r="Y4" i="8" s="1"/>
  <c r="J3" i="8"/>
  <c r="J2" i="8"/>
  <c r="N7" i="7"/>
  <c r="N6" i="7"/>
  <c r="N5" i="7"/>
  <c r="EI21" i="6"/>
  <c r="EI20" i="6"/>
  <c r="EI19" i="6"/>
  <c r="EI18" i="6"/>
  <c r="EI17" i="6"/>
  <c r="EI16" i="6"/>
  <c r="EI15" i="6"/>
  <c r="EI14" i="6"/>
  <c r="EH31" i="5"/>
  <c r="EJ30" i="5"/>
  <c r="EH30" i="5"/>
  <c r="EJ29" i="5"/>
  <c r="EH29" i="5"/>
  <c r="EJ28" i="5"/>
  <c r="EH28" i="5"/>
  <c r="EJ27" i="5"/>
  <c r="EH27" i="5"/>
  <c r="EJ26" i="5"/>
  <c r="EH26" i="5"/>
  <c r="EJ25" i="5"/>
  <c r="EH25" i="5"/>
  <c r="EJ24" i="5"/>
  <c r="EH24" i="5"/>
  <c r="EJ23" i="5"/>
  <c r="EH23" i="5"/>
  <c r="EJ22" i="5"/>
  <c r="EH22" i="5"/>
  <c r="EJ21" i="5"/>
  <c r="EH21" i="5"/>
  <c r="EJ20" i="5"/>
  <c r="EH20" i="5"/>
  <c r="EJ19" i="5"/>
  <c r="EH19" i="5"/>
  <c r="EJ18" i="5"/>
  <c r="EH18" i="5"/>
  <c r="EJ17" i="5"/>
  <c r="EH17" i="5"/>
  <c r="EJ16" i="5"/>
  <c r="AM11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EL21" i="4"/>
  <c r="EL20" i="4"/>
  <c r="EL19" i="4"/>
  <c r="EL18" i="4"/>
  <c r="EL17" i="4"/>
  <c r="EL16" i="4"/>
  <c r="EL15" i="4"/>
  <c r="EL14" i="4"/>
  <c r="H5" i="4"/>
  <c r="H4" i="4"/>
  <c r="H3" i="4"/>
  <c r="H2" i="4"/>
  <c r="F71" i="3"/>
  <c r="F70" i="3"/>
  <c r="F69" i="3"/>
  <c r="F68" i="3"/>
  <c r="F67" i="3"/>
  <c r="F66" i="3"/>
  <c r="F65" i="3"/>
  <c r="AC63" i="3"/>
  <c r="AL63" i="3" s="1"/>
  <c r="AB63" i="3"/>
  <c r="AK63" i="3" s="1"/>
  <c r="AA63" i="3"/>
  <c r="AJ63" i="3" s="1"/>
  <c r="AG62" i="3"/>
  <c r="AF62" i="3"/>
  <c r="AE62" i="3"/>
  <c r="AC62" i="3"/>
  <c r="AL62" i="3" s="1"/>
  <c r="AB62" i="3"/>
  <c r="AK62" i="3" s="1"/>
  <c r="AA62" i="3"/>
  <c r="AJ62" i="3" s="1"/>
  <c r="O62" i="3"/>
  <c r="H62" i="3"/>
  <c r="G62" i="3"/>
  <c r="AG61" i="3"/>
  <c r="AF61" i="3"/>
  <c r="AE61" i="3"/>
  <c r="AC61" i="3"/>
  <c r="AL61" i="3" s="1"/>
  <c r="AB61" i="3"/>
  <c r="AK61" i="3" s="1"/>
  <c r="AA61" i="3"/>
  <c r="AJ61" i="3" s="1"/>
  <c r="O61" i="3"/>
  <c r="H61" i="3"/>
  <c r="G61" i="3"/>
  <c r="AG60" i="3"/>
  <c r="AF60" i="3"/>
  <c r="AE60" i="3"/>
  <c r="AC60" i="3"/>
  <c r="AL60" i="3" s="1"/>
  <c r="AB60" i="3"/>
  <c r="AK60" i="3" s="1"/>
  <c r="AA60" i="3"/>
  <c r="AJ60" i="3" s="1"/>
  <c r="O60" i="3"/>
  <c r="H60" i="3"/>
  <c r="G60" i="3"/>
  <c r="AG59" i="3"/>
  <c r="AF59" i="3"/>
  <c r="AE59" i="3"/>
  <c r="AC59" i="3"/>
  <c r="AL59" i="3" s="1"/>
  <c r="AB59" i="3"/>
  <c r="AK59" i="3" s="1"/>
  <c r="AA59" i="3"/>
  <c r="AJ59" i="3" s="1"/>
  <c r="O59" i="3"/>
  <c r="H59" i="3"/>
  <c r="G59" i="3"/>
  <c r="AG58" i="3"/>
  <c r="AF58" i="3"/>
  <c r="AE58" i="3"/>
  <c r="AC58" i="3"/>
  <c r="AL58" i="3" s="1"/>
  <c r="AB58" i="3"/>
  <c r="AK58" i="3" s="1"/>
  <c r="AA58" i="3"/>
  <c r="AJ58" i="3" s="1"/>
  <c r="O58" i="3"/>
  <c r="H58" i="3"/>
  <c r="G58" i="3"/>
  <c r="AG57" i="3"/>
  <c r="AF57" i="3"/>
  <c r="AE57" i="3"/>
  <c r="AC57" i="3"/>
  <c r="AL57" i="3" s="1"/>
  <c r="AB57" i="3"/>
  <c r="AK57" i="3" s="1"/>
  <c r="AA57" i="3"/>
  <c r="AJ57" i="3" s="1"/>
  <c r="O57" i="3"/>
  <c r="H57" i="3"/>
  <c r="G57" i="3"/>
  <c r="AG56" i="3"/>
  <c r="AF56" i="3"/>
  <c r="AE56" i="3"/>
  <c r="AC56" i="3"/>
  <c r="AL56" i="3" s="1"/>
  <c r="AB56" i="3"/>
  <c r="AK56" i="3" s="1"/>
  <c r="AA56" i="3"/>
  <c r="AJ56" i="3" s="1"/>
  <c r="H56" i="3"/>
  <c r="G56" i="3"/>
  <c r="AG55" i="3"/>
  <c r="AF55" i="3"/>
  <c r="AE55" i="3"/>
  <c r="AC55" i="3"/>
  <c r="AL55" i="3" s="1"/>
  <c r="AB55" i="3"/>
  <c r="AK55" i="3" s="1"/>
  <c r="AA55" i="3"/>
  <c r="AJ55" i="3" s="1"/>
  <c r="O55" i="3"/>
  <c r="H55" i="3"/>
  <c r="G55" i="3"/>
  <c r="AG54" i="3"/>
  <c r="AF54" i="3"/>
  <c r="AE54" i="3"/>
  <c r="AC54" i="3"/>
  <c r="AL54" i="3" s="1"/>
  <c r="AB54" i="3"/>
  <c r="AK54" i="3" s="1"/>
  <c r="AA54" i="3"/>
  <c r="AJ54" i="3" s="1"/>
  <c r="T54" i="3"/>
  <c r="O54" i="3"/>
  <c r="H54" i="3"/>
  <c r="G54" i="3"/>
  <c r="AL50" i="3"/>
  <c r="AK50" i="3"/>
  <c r="AJ50" i="3"/>
  <c r="AG50" i="3"/>
  <c r="AF50" i="3"/>
  <c r="AE50" i="3"/>
  <c r="AL49" i="3"/>
  <c r="AK49" i="3"/>
  <c r="AJ49" i="3"/>
  <c r="AG49" i="3"/>
  <c r="AF49" i="3"/>
  <c r="AE49" i="3"/>
  <c r="AL48" i="3"/>
  <c r="AK48" i="3"/>
  <c r="AJ48" i="3"/>
  <c r="AG48" i="3"/>
  <c r="AF48" i="3"/>
  <c r="AE48" i="3"/>
  <c r="O48" i="3"/>
  <c r="H48" i="3"/>
  <c r="AG47" i="3"/>
  <c r="AF47" i="3"/>
  <c r="AE47" i="3"/>
  <c r="AC47" i="3"/>
  <c r="AL47" i="3" s="1"/>
  <c r="AB47" i="3"/>
  <c r="AK47" i="3" s="1"/>
  <c r="AA47" i="3"/>
  <c r="AJ47" i="3" s="1"/>
  <c r="O47" i="3"/>
  <c r="H47" i="3"/>
  <c r="G47" i="3"/>
  <c r="AG46" i="3"/>
  <c r="AF46" i="3"/>
  <c r="AE46" i="3"/>
  <c r="AC46" i="3"/>
  <c r="AL46" i="3" s="1"/>
  <c r="AB46" i="3"/>
  <c r="AK46" i="3" s="1"/>
  <c r="AA46" i="3"/>
  <c r="AJ46" i="3" s="1"/>
  <c r="O46" i="3"/>
  <c r="H46" i="3"/>
  <c r="G46" i="3"/>
  <c r="AG45" i="3"/>
  <c r="AF45" i="3"/>
  <c r="AE45" i="3"/>
  <c r="AC45" i="3"/>
  <c r="AL45" i="3" s="1"/>
  <c r="AB45" i="3"/>
  <c r="AK45" i="3" s="1"/>
  <c r="AA45" i="3"/>
  <c r="AJ45" i="3" s="1"/>
  <c r="O45" i="3"/>
  <c r="H45" i="3"/>
  <c r="G45" i="3"/>
  <c r="AG44" i="3"/>
  <c r="AF44" i="3"/>
  <c r="AE44" i="3"/>
  <c r="AC44" i="3"/>
  <c r="AL44" i="3" s="1"/>
  <c r="AB44" i="3"/>
  <c r="AK44" i="3" s="1"/>
  <c r="AA44" i="3"/>
  <c r="AJ44" i="3" s="1"/>
  <c r="O44" i="3"/>
  <c r="H44" i="3"/>
  <c r="G44" i="3"/>
  <c r="AG43" i="3"/>
  <c r="AF43" i="3"/>
  <c r="AE43" i="3"/>
  <c r="AC43" i="3"/>
  <c r="AL43" i="3" s="1"/>
  <c r="AB43" i="3"/>
  <c r="AK43" i="3" s="1"/>
  <c r="AA43" i="3"/>
  <c r="AJ43" i="3" s="1"/>
  <c r="O43" i="3"/>
  <c r="H43" i="3"/>
  <c r="G43" i="3"/>
  <c r="AG42" i="3"/>
  <c r="AF42" i="3"/>
  <c r="AE42" i="3"/>
  <c r="AC42" i="3"/>
  <c r="AL42" i="3" s="1"/>
  <c r="AB42" i="3"/>
  <c r="AK42" i="3" s="1"/>
  <c r="AA42" i="3"/>
  <c r="AJ42" i="3" s="1"/>
  <c r="O42" i="3"/>
  <c r="H42" i="3"/>
  <c r="G42" i="3"/>
  <c r="AG41" i="3"/>
  <c r="AF41" i="3"/>
  <c r="AE41" i="3"/>
  <c r="AC41" i="3"/>
  <c r="AL41" i="3" s="1"/>
  <c r="AB41" i="3"/>
  <c r="AK41" i="3" s="1"/>
  <c r="AA41" i="3"/>
  <c r="AJ41" i="3" s="1"/>
  <c r="H41" i="3"/>
  <c r="G41" i="3"/>
  <c r="AG40" i="3"/>
  <c r="AF40" i="3"/>
  <c r="AE40" i="3"/>
  <c r="AC40" i="3"/>
  <c r="AL40" i="3" s="1"/>
  <c r="AB40" i="3"/>
  <c r="AK40" i="3" s="1"/>
  <c r="AA40" i="3"/>
  <c r="AJ40" i="3" s="1"/>
  <c r="G40" i="3"/>
  <c r="AG39" i="3"/>
  <c r="AF39" i="3"/>
  <c r="AE39" i="3"/>
  <c r="AC39" i="3"/>
  <c r="AL39" i="3" s="1"/>
  <c r="AB39" i="3"/>
  <c r="AK39" i="3" s="1"/>
  <c r="AA39" i="3"/>
  <c r="AJ39" i="3" s="1"/>
  <c r="O39" i="3"/>
  <c r="H39" i="3"/>
  <c r="G39" i="3"/>
  <c r="AG38" i="3"/>
  <c r="AF38" i="3"/>
  <c r="AE38" i="3"/>
  <c r="AC38" i="3"/>
  <c r="AL38" i="3" s="1"/>
  <c r="AB38" i="3"/>
  <c r="AK38" i="3" s="1"/>
  <c r="AA38" i="3"/>
  <c r="AJ38" i="3" s="1"/>
  <c r="G38" i="3"/>
  <c r="AG37" i="3"/>
  <c r="AF37" i="3"/>
  <c r="AE37" i="3"/>
  <c r="AC37" i="3"/>
  <c r="AL37" i="3" s="1"/>
  <c r="AB37" i="3"/>
  <c r="AK37" i="3" s="1"/>
  <c r="AA37" i="3"/>
  <c r="AJ37" i="3" s="1"/>
  <c r="O37" i="3"/>
  <c r="H37" i="3"/>
  <c r="G37" i="3"/>
  <c r="AG36" i="3"/>
  <c r="AF36" i="3"/>
  <c r="AE36" i="3"/>
  <c r="AC36" i="3"/>
  <c r="AL36" i="3" s="1"/>
  <c r="AB36" i="3"/>
  <c r="AK36" i="3" s="1"/>
  <c r="AA36" i="3"/>
  <c r="AJ36" i="3" s="1"/>
  <c r="G36" i="3"/>
  <c r="AG35" i="3"/>
  <c r="AF35" i="3"/>
  <c r="AE35" i="3"/>
  <c r="AC35" i="3"/>
  <c r="AL35" i="3" s="1"/>
  <c r="AB35" i="3"/>
  <c r="AK35" i="3" s="1"/>
  <c r="AA35" i="3"/>
  <c r="AJ35" i="3" s="1"/>
  <c r="O35" i="3"/>
  <c r="H35" i="3"/>
  <c r="G35" i="3"/>
  <c r="AG34" i="3"/>
  <c r="AF34" i="3"/>
  <c r="AE34" i="3"/>
  <c r="AC34" i="3"/>
  <c r="AL34" i="3" s="1"/>
  <c r="AB34" i="3"/>
  <c r="AK34" i="3" s="1"/>
  <c r="AA34" i="3"/>
  <c r="AJ34" i="3" s="1"/>
  <c r="O34" i="3"/>
  <c r="H34" i="3"/>
  <c r="G34" i="3"/>
  <c r="AG33" i="3"/>
  <c r="AF33" i="3"/>
  <c r="AE33" i="3"/>
  <c r="AC33" i="3"/>
  <c r="AL33" i="3" s="1"/>
  <c r="AB33" i="3"/>
  <c r="AK33" i="3" s="1"/>
  <c r="AA33" i="3"/>
  <c r="AJ33" i="3" s="1"/>
  <c r="H33" i="3"/>
  <c r="G33" i="3"/>
  <c r="AG32" i="3"/>
  <c r="AF32" i="3"/>
  <c r="AE32" i="3"/>
  <c r="AC32" i="3"/>
  <c r="AL32" i="3" s="1"/>
  <c r="AB32" i="3"/>
  <c r="AK32" i="3" s="1"/>
  <c r="AA32" i="3"/>
  <c r="AJ32" i="3" s="1"/>
  <c r="O32" i="3"/>
  <c r="H32" i="3"/>
  <c r="G32" i="3"/>
  <c r="AG31" i="3"/>
  <c r="AF31" i="3"/>
  <c r="AE31" i="3"/>
  <c r="AC31" i="3"/>
  <c r="AL31" i="3" s="1"/>
  <c r="AB31" i="3"/>
  <c r="AK31" i="3" s="1"/>
  <c r="AA31" i="3"/>
  <c r="AJ31" i="3" s="1"/>
  <c r="T31" i="3"/>
  <c r="O31" i="3"/>
  <c r="H31" i="3"/>
  <c r="G31" i="3"/>
  <c r="I29" i="3"/>
  <c r="I52" i="3" s="1"/>
  <c r="E29" i="3"/>
  <c r="E52" i="3" s="1"/>
  <c r="EH32" i="5" s="1"/>
  <c r="AC26" i="3"/>
  <c r="AL26" i="3" s="1"/>
  <c r="AB26" i="3"/>
  <c r="AK26" i="3" s="1"/>
  <c r="AA26" i="3"/>
  <c r="AJ26" i="3" s="1"/>
  <c r="AC25" i="3"/>
  <c r="AL25" i="3" s="1"/>
  <c r="AB25" i="3"/>
  <c r="AK25" i="3" s="1"/>
  <c r="AA25" i="3"/>
  <c r="AJ25" i="3" s="1"/>
  <c r="AG24" i="3"/>
  <c r="AF24" i="3"/>
  <c r="AE24" i="3"/>
  <c r="AC24" i="3"/>
  <c r="AL24" i="3" s="1"/>
  <c r="AB24" i="3"/>
  <c r="AK24" i="3" s="1"/>
  <c r="AA24" i="3"/>
  <c r="AJ24" i="3" s="1"/>
  <c r="O24" i="3"/>
  <c r="H24" i="3"/>
  <c r="AG23" i="3"/>
  <c r="AF23" i="3"/>
  <c r="AE23" i="3"/>
  <c r="AC23" i="3"/>
  <c r="AL23" i="3" s="1"/>
  <c r="AB23" i="3"/>
  <c r="AK23" i="3" s="1"/>
  <c r="AA23" i="3"/>
  <c r="AJ23" i="3" s="1"/>
  <c r="O23" i="3"/>
  <c r="H23" i="3"/>
  <c r="AG22" i="3"/>
  <c r="AF22" i="3"/>
  <c r="AE22" i="3"/>
  <c r="AC22" i="3"/>
  <c r="AL22" i="3" s="1"/>
  <c r="AB22" i="3"/>
  <c r="AK22" i="3" s="1"/>
  <c r="AA22" i="3"/>
  <c r="AJ22" i="3" s="1"/>
  <c r="O22" i="3"/>
  <c r="H22" i="3"/>
  <c r="AG21" i="3"/>
  <c r="AF21" i="3"/>
  <c r="AE21" i="3"/>
  <c r="AC21" i="3"/>
  <c r="AL21" i="3" s="1"/>
  <c r="AB21" i="3"/>
  <c r="AK21" i="3" s="1"/>
  <c r="AA21" i="3"/>
  <c r="AJ21" i="3" s="1"/>
  <c r="O21" i="3"/>
  <c r="H21" i="3"/>
  <c r="AG20" i="3"/>
  <c r="AF20" i="3"/>
  <c r="AE20" i="3"/>
  <c r="AC20" i="3"/>
  <c r="AL20" i="3" s="1"/>
  <c r="AB20" i="3"/>
  <c r="AK20" i="3" s="1"/>
  <c r="AA20" i="3"/>
  <c r="AJ20" i="3" s="1"/>
  <c r="O20" i="3"/>
  <c r="H20" i="3"/>
  <c r="AG19" i="3"/>
  <c r="AF19" i="3"/>
  <c r="AE19" i="3"/>
  <c r="AC19" i="3"/>
  <c r="AL19" i="3" s="1"/>
  <c r="AB19" i="3"/>
  <c r="AK19" i="3" s="1"/>
  <c r="AA19" i="3"/>
  <c r="AJ19" i="3" s="1"/>
  <c r="O19" i="3"/>
  <c r="H19" i="3"/>
  <c r="AG18" i="3"/>
  <c r="AF18" i="3"/>
  <c r="AE18" i="3"/>
  <c r="AC18" i="3"/>
  <c r="AL18" i="3" s="1"/>
  <c r="AB18" i="3"/>
  <c r="AK18" i="3" s="1"/>
  <c r="AA18" i="3"/>
  <c r="AJ18" i="3" s="1"/>
  <c r="O18" i="3"/>
  <c r="H18" i="3"/>
  <c r="AG17" i="3"/>
  <c r="AF17" i="3"/>
  <c r="AE17" i="3"/>
  <c r="AC17" i="3"/>
  <c r="AL17" i="3" s="1"/>
  <c r="AB17" i="3"/>
  <c r="AK17" i="3" s="1"/>
  <c r="AA17" i="3"/>
  <c r="AJ17" i="3" s="1"/>
  <c r="T17" i="3"/>
  <c r="O17" i="3"/>
  <c r="H17" i="3"/>
  <c r="I15" i="3"/>
  <c r="E15" i="3"/>
  <c r="AC12" i="3"/>
  <c r="AL12" i="3" s="1"/>
  <c r="AB12" i="3"/>
  <c r="AK12" i="3" s="1"/>
  <c r="AA12" i="3"/>
  <c r="AJ12" i="3" s="1"/>
  <c r="AC11" i="3"/>
  <c r="AL11" i="3" s="1"/>
  <c r="AB11" i="3"/>
  <c r="AK11" i="3" s="1"/>
  <c r="AA11" i="3"/>
  <c r="AJ11" i="3" s="1"/>
  <c r="AG10" i="3"/>
  <c r="AF10" i="3"/>
  <c r="AE10" i="3"/>
  <c r="AC10" i="3"/>
  <c r="AL10" i="3" s="1"/>
  <c r="AB10" i="3"/>
  <c r="AK10" i="3" s="1"/>
  <c r="AA10" i="3"/>
  <c r="AJ10" i="3" s="1"/>
  <c r="O10" i="3"/>
  <c r="AG9" i="3"/>
  <c r="AF9" i="3"/>
  <c r="AE9" i="3"/>
  <c r="AC9" i="3"/>
  <c r="AL9" i="3" s="1"/>
  <c r="AB9" i="3"/>
  <c r="AK9" i="3" s="1"/>
  <c r="AA9" i="3"/>
  <c r="AJ9" i="3" s="1"/>
  <c r="O9" i="3"/>
  <c r="AG8" i="3"/>
  <c r="AF8" i="3"/>
  <c r="AE8" i="3"/>
  <c r="AC8" i="3"/>
  <c r="AL8" i="3" s="1"/>
  <c r="AB8" i="3"/>
  <c r="AK8" i="3" s="1"/>
  <c r="AA8" i="3"/>
  <c r="AJ8" i="3" s="1"/>
  <c r="O8" i="3"/>
  <c r="AG7" i="3"/>
  <c r="AF7" i="3"/>
  <c r="AE7" i="3"/>
  <c r="AC7" i="3"/>
  <c r="AL7" i="3" s="1"/>
  <c r="AB7" i="3"/>
  <c r="AK7" i="3" s="1"/>
  <c r="AA7" i="3"/>
  <c r="AJ7" i="3" s="1"/>
  <c r="T7" i="3"/>
  <c r="O7" i="3"/>
  <c r="E5" i="3"/>
  <c r="S4" i="3"/>
  <c r="S15" i="3" s="1"/>
  <c r="S29" i="3" s="1"/>
  <c r="S52" i="3" s="1"/>
  <c r="R4" i="3"/>
  <c r="R15" i="3" s="1"/>
  <c r="R29" i="3" s="1"/>
  <c r="R52" i="3" s="1"/>
  <c r="Q4" i="3"/>
  <c r="W4" i="3" s="1"/>
  <c r="AK4" i="3" s="1"/>
  <c r="P4" i="3"/>
  <c r="P15" i="3" s="1"/>
  <c r="P29" i="3" s="1"/>
  <c r="P52" i="3" s="1"/>
  <c r="I1" i="3"/>
  <c r="A2" i="8" s="1"/>
  <c r="E1" i="3"/>
  <c r="C1" i="8" s="1"/>
  <c r="R65" i="2"/>
  <c r="W65" i="2" s="1"/>
  <c r="E65" i="2"/>
  <c r="K65" i="2" s="1"/>
  <c r="R64" i="2"/>
  <c r="W64" i="2" s="1"/>
  <c r="E64" i="2"/>
  <c r="J64" i="2" s="1"/>
  <c r="T64" i="2" s="1"/>
  <c r="Y64" i="2" s="1"/>
  <c r="E57" i="2"/>
  <c r="I57" i="2" s="1"/>
  <c r="E56" i="2"/>
  <c r="H56" i="2" s="1"/>
  <c r="E55" i="2"/>
  <c r="I55" i="2" s="1"/>
  <c r="E54" i="2"/>
  <c r="K54" i="2" s="1"/>
  <c r="E53" i="2"/>
  <c r="J53" i="2" s="1"/>
  <c r="E52" i="2"/>
  <c r="J52" i="2" s="1"/>
  <c r="E51" i="2"/>
  <c r="I51" i="2" s="1"/>
  <c r="E50" i="2"/>
  <c r="H50" i="2" s="1"/>
  <c r="E49" i="2"/>
  <c r="K49" i="2" s="1"/>
  <c r="E48" i="2"/>
  <c r="J48" i="2" s="1"/>
  <c r="E47" i="2"/>
  <c r="I47" i="2" s="1"/>
  <c r="E45" i="2"/>
  <c r="J45" i="2" s="1"/>
  <c r="E44" i="2"/>
  <c r="I44" i="2" s="1"/>
  <c r="E43" i="2"/>
  <c r="K43" i="2" s="1"/>
  <c r="E42" i="2"/>
  <c r="H42" i="2" s="1"/>
  <c r="E41" i="2"/>
  <c r="J41" i="2" s="1"/>
  <c r="E40" i="2"/>
  <c r="K40" i="2" s="1"/>
  <c r="E39" i="2"/>
  <c r="H39" i="2" s="1"/>
  <c r="E38" i="2"/>
  <c r="K38" i="2" s="1"/>
  <c r="E37" i="2"/>
  <c r="I37" i="2" s="1"/>
  <c r="E36" i="2"/>
  <c r="I36" i="2" s="1"/>
  <c r="E35" i="2"/>
  <c r="K35" i="2" s="1"/>
  <c r="E34" i="2"/>
  <c r="H34" i="2" s="1"/>
  <c r="E33" i="2"/>
  <c r="J33" i="2" s="1"/>
  <c r="E32" i="2"/>
  <c r="I32" i="2" s="1"/>
  <c r="E31" i="2"/>
  <c r="H31" i="2" s="1"/>
  <c r="E30" i="2"/>
  <c r="K30" i="2" s="1"/>
  <c r="E29" i="2"/>
  <c r="I29" i="2" s="1"/>
  <c r="E28" i="2"/>
  <c r="J28" i="2" s="1"/>
  <c r="E27" i="2"/>
  <c r="K27" i="2" s="1"/>
  <c r="E26" i="2"/>
  <c r="I26" i="2" s="1"/>
  <c r="E25" i="2"/>
  <c r="K25" i="2" s="1"/>
  <c r="E24" i="2"/>
  <c r="K24" i="2" s="1"/>
  <c r="E23" i="2"/>
  <c r="I23" i="2" s="1"/>
  <c r="E22" i="2"/>
  <c r="K22" i="2" s="1"/>
  <c r="E21" i="2"/>
  <c r="J21" i="2" s="1"/>
  <c r="E20" i="2"/>
  <c r="J20" i="2" s="1"/>
  <c r="E19" i="2"/>
  <c r="K19" i="2" s="1"/>
  <c r="E18" i="2"/>
  <c r="J18" i="2" s="1"/>
  <c r="E16" i="2"/>
  <c r="K16" i="2" s="1"/>
  <c r="E15" i="2"/>
  <c r="J15" i="2" s="1"/>
  <c r="E14" i="2"/>
  <c r="K14" i="2" s="1"/>
  <c r="E13" i="2"/>
  <c r="J13" i="2" s="1"/>
  <c r="E12" i="2"/>
  <c r="K12" i="2" s="1"/>
  <c r="E11" i="2"/>
  <c r="K11" i="2" s="1"/>
  <c r="E9" i="2"/>
  <c r="K9" i="2" s="1"/>
  <c r="E8" i="2"/>
  <c r="H8" i="2" s="1"/>
  <c r="E7" i="2"/>
  <c r="I7" i="2" s="1"/>
  <c r="P6" i="2"/>
  <c r="U6" i="2" s="1"/>
  <c r="Z6" i="2" s="1"/>
  <c r="O6" i="2"/>
  <c r="T6" i="2" s="1"/>
  <c r="Y6" i="2" s="1"/>
  <c r="N6" i="2"/>
  <c r="S6" i="2" s="1"/>
  <c r="X6" i="2" s="1"/>
  <c r="M6" i="2"/>
  <c r="R6" i="2" s="1"/>
  <c r="W6" i="2" s="1"/>
  <c r="E6" i="2"/>
  <c r="AI60" i="1"/>
  <c r="AH60" i="1"/>
  <c r="AG60" i="1"/>
  <c r="AF60" i="1"/>
  <c r="AE60" i="1"/>
  <c r="AD60" i="1"/>
  <c r="AC60" i="1"/>
  <c r="AB60" i="1"/>
  <c r="AI57" i="1"/>
  <c r="AH57" i="1"/>
  <c r="AG57" i="1"/>
  <c r="AF57" i="1"/>
  <c r="AE57" i="1"/>
  <c r="AD57" i="1"/>
  <c r="AC57" i="1"/>
  <c r="AB57" i="1"/>
  <c r="AI54" i="1"/>
  <c r="AH54" i="1"/>
  <c r="AG54" i="1"/>
  <c r="AF54" i="1"/>
  <c r="AE54" i="1"/>
  <c r="AD54" i="1"/>
  <c r="AC54" i="1"/>
  <c r="AB54" i="1"/>
  <c r="AI51" i="1"/>
  <c r="AH51" i="1"/>
  <c r="AG51" i="1"/>
  <c r="AF51" i="1"/>
  <c r="AE51" i="1"/>
  <c r="AD51" i="1"/>
  <c r="AC51" i="1"/>
  <c r="AB51" i="1"/>
  <c r="AI48" i="1"/>
  <c r="AH48" i="1"/>
  <c r="AG48" i="1"/>
  <c r="AF48" i="1"/>
  <c r="AE48" i="1"/>
  <c r="AD48" i="1"/>
  <c r="AC48" i="1"/>
  <c r="AB48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K39" i="2" l="1"/>
  <c r="K47" i="2"/>
  <c r="K31" i="2"/>
  <c r="K23" i="2"/>
  <c r="K15" i="2"/>
  <c r="K55" i="2"/>
  <c r="K56" i="2"/>
  <c r="K48" i="2"/>
  <c r="K32" i="2"/>
  <c r="K53" i="2"/>
  <c r="K45" i="2"/>
  <c r="K37" i="2"/>
  <c r="K29" i="2"/>
  <c r="K21" i="2"/>
  <c r="K13" i="2"/>
  <c r="K52" i="2"/>
  <c r="K44" i="2"/>
  <c r="K36" i="2"/>
  <c r="K28" i="2"/>
  <c r="K20" i="2"/>
  <c r="K51" i="2"/>
  <c r="K50" i="2"/>
  <c r="K42" i="2"/>
  <c r="K34" i="2"/>
  <c r="K26" i="2"/>
  <c r="K18" i="2"/>
  <c r="K57" i="2"/>
  <c r="K41" i="2"/>
  <c r="K33" i="2"/>
  <c r="J39" i="2"/>
  <c r="T39" i="2" s="1"/>
  <c r="Y39" i="2" s="1"/>
  <c r="J31" i="2"/>
  <c r="T31" i="2" s="1"/>
  <c r="Y31" i="2" s="1"/>
  <c r="J23" i="2"/>
  <c r="T23" i="2" s="1"/>
  <c r="Y23" i="2" s="1"/>
  <c r="J55" i="2"/>
  <c r="T55" i="2" s="1"/>
  <c r="Y55" i="2" s="1"/>
  <c r="J47" i="2"/>
  <c r="T47" i="2" s="1"/>
  <c r="Y47" i="2" s="1"/>
  <c r="K8" i="2"/>
  <c r="J56" i="2"/>
  <c r="J40" i="2"/>
  <c r="J32" i="2"/>
  <c r="T32" i="2" s="1"/>
  <c r="Y32" i="2" s="1"/>
  <c r="J24" i="2"/>
  <c r="T24" i="2" s="1"/>
  <c r="Y24" i="2" s="1"/>
  <c r="J16" i="2"/>
  <c r="T16" i="2" s="1"/>
  <c r="Y16" i="2" s="1"/>
  <c r="J54" i="2"/>
  <c r="T54" i="2" s="1"/>
  <c r="Y54" i="2" s="1"/>
  <c r="J38" i="2"/>
  <c r="J30" i="2"/>
  <c r="T30" i="2" s="1"/>
  <c r="Y30" i="2" s="1"/>
  <c r="J22" i="2"/>
  <c r="T22" i="2" s="1"/>
  <c r="Y22" i="2" s="1"/>
  <c r="J14" i="2"/>
  <c r="T14" i="2" s="1"/>
  <c r="Y14" i="2" s="1"/>
  <c r="J37" i="2"/>
  <c r="T37" i="2" s="1"/>
  <c r="Y37" i="2" s="1"/>
  <c r="J29" i="2"/>
  <c r="J44" i="2"/>
  <c r="J36" i="2"/>
  <c r="T36" i="2" s="1"/>
  <c r="Y36" i="2" s="1"/>
  <c r="J12" i="2"/>
  <c r="T12" i="2" s="1"/>
  <c r="Y12" i="2" s="1"/>
  <c r="J51" i="2"/>
  <c r="T51" i="2" s="1"/>
  <c r="Y51" i="2" s="1"/>
  <c r="J43" i="2"/>
  <c r="T43" i="2" s="1"/>
  <c r="Y43" i="2" s="1"/>
  <c r="J35" i="2"/>
  <c r="T35" i="2" s="1"/>
  <c r="Y35" i="2" s="1"/>
  <c r="J27" i="2"/>
  <c r="T27" i="2" s="1"/>
  <c r="Y27" i="2" s="1"/>
  <c r="J19" i="2"/>
  <c r="T19" i="2" s="1"/>
  <c r="Y19" i="2" s="1"/>
  <c r="J11" i="2"/>
  <c r="T11" i="2" s="1"/>
  <c r="Y11" i="2" s="1"/>
  <c r="J50" i="2"/>
  <c r="T50" i="2" s="1"/>
  <c r="Y50" i="2" s="1"/>
  <c r="J42" i="2"/>
  <c r="T42" i="2" s="1"/>
  <c r="Y42" i="2" s="1"/>
  <c r="J34" i="2"/>
  <c r="J26" i="2"/>
  <c r="T26" i="2" s="1"/>
  <c r="Y26" i="2" s="1"/>
  <c r="J57" i="2"/>
  <c r="J49" i="2"/>
  <c r="T49" i="2" s="1"/>
  <c r="Y49" i="2" s="1"/>
  <c r="J25" i="2"/>
  <c r="T25" i="2" s="1"/>
  <c r="Y25" i="2" s="1"/>
  <c r="J9" i="2"/>
  <c r="T9" i="2" s="1"/>
  <c r="Y9" i="2" s="1"/>
  <c r="I39" i="2"/>
  <c r="S39" i="2" s="1"/>
  <c r="X39" i="2" s="1"/>
  <c r="I31" i="2"/>
  <c r="S31" i="2" s="1"/>
  <c r="X31" i="2" s="1"/>
  <c r="I15" i="2"/>
  <c r="S15" i="2" s="1"/>
  <c r="X15" i="2" s="1"/>
  <c r="J8" i="2"/>
  <c r="I56" i="2"/>
  <c r="I48" i="2"/>
  <c r="S48" i="2" s="1"/>
  <c r="X48" i="2" s="1"/>
  <c r="I40" i="2"/>
  <c r="S40" i="2" s="1"/>
  <c r="X40" i="2" s="1"/>
  <c r="I24" i="2"/>
  <c r="S24" i="2" s="1"/>
  <c r="X24" i="2" s="1"/>
  <c r="I16" i="2"/>
  <c r="S16" i="2" s="1"/>
  <c r="X16" i="2" s="1"/>
  <c r="I54" i="2"/>
  <c r="S54" i="2" s="1"/>
  <c r="X54" i="2" s="1"/>
  <c r="I38" i="2"/>
  <c r="S38" i="2" s="1"/>
  <c r="X38" i="2" s="1"/>
  <c r="I30" i="2"/>
  <c r="S30" i="2" s="1"/>
  <c r="X30" i="2" s="1"/>
  <c r="I22" i="2"/>
  <c r="S22" i="2" s="1"/>
  <c r="X22" i="2" s="1"/>
  <c r="I14" i="2"/>
  <c r="S14" i="2" s="1"/>
  <c r="X14" i="2" s="1"/>
  <c r="I53" i="2"/>
  <c r="S53" i="2" s="1"/>
  <c r="X53" i="2" s="1"/>
  <c r="I45" i="2"/>
  <c r="S45" i="2" s="1"/>
  <c r="X45" i="2" s="1"/>
  <c r="I21" i="2"/>
  <c r="S21" i="2" s="1"/>
  <c r="X21" i="2" s="1"/>
  <c r="I13" i="2"/>
  <c r="I52" i="2"/>
  <c r="S52" i="2" s="1"/>
  <c r="X52" i="2" s="1"/>
  <c r="I28" i="2"/>
  <c r="S28" i="2" s="1"/>
  <c r="X28" i="2" s="1"/>
  <c r="I20" i="2"/>
  <c r="S20" i="2" s="1"/>
  <c r="X20" i="2" s="1"/>
  <c r="I12" i="2"/>
  <c r="S12" i="2" s="1"/>
  <c r="X12" i="2" s="1"/>
  <c r="I43" i="2"/>
  <c r="S43" i="2" s="1"/>
  <c r="X43" i="2" s="1"/>
  <c r="I35" i="2"/>
  <c r="S35" i="2" s="1"/>
  <c r="X35" i="2" s="1"/>
  <c r="I27" i="2"/>
  <c r="S27" i="2" s="1"/>
  <c r="X27" i="2" s="1"/>
  <c r="I19" i="2"/>
  <c r="I11" i="2"/>
  <c r="S11" i="2" s="1"/>
  <c r="X11" i="2" s="1"/>
  <c r="I50" i="2"/>
  <c r="I42" i="2"/>
  <c r="S42" i="2" s="1"/>
  <c r="X42" i="2" s="1"/>
  <c r="I34" i="2"/>
  <c r="S34" i="2" s="1"/>
  <c r="X34" i="2" s="1"/>
  <c r="I18" i="2"/>
  <c r="S18" i="2" s="1"/>
  <c r="X18" i="2" s="1"/>
  <c r="I49" i="2"/>
  <c r="S49" i="2" s="1"/>
  <c r="X49" i="2" s="1"/>
  <c r="I41" i="2"/>
  <c r="S41" i="2" s="1"/>
  <c r="X41" i="2" s="1"/>
  <c r="I33" i="2"/>
  <c r="I25" i="2"/>
  <c r="S25" i="2" s="1"/>
  <c r="X25" i="2" s="1"/>
  <c r="I9" i="2"/>
  <c r="H55" i="2"/>
  <c r="R55" i="2" s="1"/>
  <c r="W55" i="2" s="1"/>
  <c r="H47" i="2"/>
  <c r="R47" i="2" s="1"/>
  <c r="W47" i="2" s="1"/>
  <c r="I8" i="2"/>
  <c r="H48" i="2"/>
  <c r="R48" i="2" s="1"/>
  <c r="W48" i="2" s="1"/>
  <c r="H40" i="2"/>
  <c r="R40" i="2" s="1"/>
  <c r="W40" i="2" s="1"/>
  <c r="H32" i="2"/>
  <c r="R32" i="2" s="1"/>
  <c r="W32" i="2" s="1"/>
  <c r="H24" i="2"/>
  <c r="R24" i="2" s="1"/>
  <c r="W24" i="2" s="1"/>
  <c r="H16" i="2"/>
  <c r="R16" i="2" s="1"/>
  <c r="W16" i="2" s="1"/>
  <c r="H23" i="2"/>
  <c r="R23" i="2" s="1"/>
  <c r="W23" i="2" s="1"/>
  <c r="H15" i="2"/>
  <c r="R15" i="2" s="1"/>
  <c r="W15" i="2" s="1"/>
  <c r="H54" i="2"/>
  <c r="R54" i="2" s="1"/>
  <c r="W54" i="2" s="1"/>
  <c r="H38" i="2"/>
  <c r="H30" i="2"/>
  <c r="R30" i="2" s="1"/>
  <c r="W30" i="2" s="1"/>
  <c r="H22" i="2"/>
  <c r="R22" i="2" s="1"/>
  <c r="W22" i="2" s="1"/>
  <c r="H14" i="2"/>
  <c r="R14" i="2" s="1"/>
  <c r="W14" i="2" s="1"/>
  <c r="H53" i="2"/>
  <c r="R53" i="2" s="1"/>
  <c r="W53" i="2" s="1"/>
  <c r="H45" i="2"/>
  <c r="R45" i="2" s="1"/>
  <c r="W45" i="2" s="1"/>
  <c r="H37" i="2"/>
  <c r="R37" i="2" s="1"/>
  <c r="W37" i="2" s="1"/>
  <c r="H29" i="2"/>
  <c r="H21" i="2"/>
  <c r="R21" i="2" s="1"/>
  <c r="W21" i="2" s="1"/>
  <c r="H13" i="2"/>
  <c r="R13" i="2" s="1"/>
  <c r="W13" i="2" s="1"/>
  <c r="H52" i="2"/>
  <c r="R52" i="2" s="1"/>
  <c r="W52" i="2" s="1"/>
  <c r="H44" i="2"/>
  <c r="R44" i="2" s="1"/>
  <c r="W44" i="2" s="1"/>
  <c r="H36" i="2"/>
  <c r="R36" i="2" s="1"/>
  <c r="W36" i="2" s="1"/>
  <c r="H28" i="2"/>
  <c r="R28" i="2" s="1"/>
  <c r="W28" i="2" s="1"/>
  <c r="H20" i="2"/>
  <c r="R20" i="2" s="1"/>
  <c r="W20" i="2" s="1"/>
  <c r="H12" i="2"/>
  <c r="R12" i="2" s="1"/>
  <c r="W12" i="2" s="1"/>
  <c r="H51" i="2"/>
  <c r="H43" i="2"/>
  <c r="R43" i="2" s="1"/>
  <c r="W43" i="2" s="1"/>
  <c r="H35" i="2"/>
  <c r="R35" i="2" s="1"/>
  <c r="W35" i="2" s="1"/>
  <c r="H27" i="2"/>
  <c r="R27" i="2" s="1"/>
  <c r="W27" i="2" s="1"/>
  <c r="H19" i="2"/>
  <c r="R19" i="2" s="1"/>
  <c r="W19" i="2" s="1"/>
  <c r="H11" i="2"/>
  <c r="R11" i="2" s="1"/>
  <c r="W11" i="2" s="1"/>
  <c r="H26" i="2"/>
  <c r="R26" i="2" s="1"/>
  <c r="W26" i="2" s="1"/>
  <c r="H18" i="2"/>
  <c r="R18" i="2" s="1"/>
  <c r="W18" i="2" s="1"/>
  <c r="H57" i="2"/>
  <c r="H49" i="2"/>
  <c r="H41" i="2"/>
  <c r="R41" i="2" s="1"/>
  <c r="W41" i="2" s="1"/>
  <c r="H33" i="2"/>
  <c r="R33" i="2" s="1"/>
  <c r="W33" i="2" s="1"/>
  <c r="H25" i="2"/>
  <c r="H9" i="2"/>
  <c r="R9" i="2" s="1"/>
  <c r="W9" i="2" s="1"/>
  <c r="H103" i="11"/>
  <c r="H105" i="11"/>
  <c r="H87" i="11"/>
  <c r="I105" i="11"/>
  <c r="H63" i="11"/>
  <c r="EF21" i="7"/>
  <c r="CZ21" i="7"/>
  <c r="DA21" i="7"/>
  <c r="BU21" i="7"/>
  <c r="DB21" i="7"/>
  <c r="BT21" i="7"/>
  <c r="AN21" i="7"/>
  <c r="EG20" i="7"/>
  <c r="EG23" i="6"/>
  <c r="U54" i="3" s="1"/>
  <c r="EG26" i="4"/>
  <c r="U17" i="3" s="1"/>
  <c r="EG39" i="5"/>
  <c r="U31" i="3" s="1"/>
  <c r="R17" i="8"/>
  <c r="R25" i="8"/>
  <c r="R15" i="8"/>
  <c r="W15" i="8" s="1"/>
  <c r="AB15" i="8" s="1"/>
  <c r="R23" i="8"/>
  <c r="W23" i="8" s="1"/>
  <c r="AB23" i="8" s="1"/>
  <c r="R20" i="8"/>
  <c r="T17" i="8"/>
  <c r="Y17" i="8" s="1"/>
  <c r="R18" i="8"/>
  <c r="W18" i="8" s="1"/>
  <c r="AB18" i="8" s="1"/>
  <c r="W26" i="8"/>
  <c r="AB26" i="8" s="1"/>
  <c r="U16" i="8"/>
  <c r="Z16" i="8" s="1"/>
  <c r="T28" i="8"/>
  <c r="Y28" i="8" s="1"/>
  <c r="U24" i="8"/>
  <c r="Z24" i="8" s="1"/>
  <c r="U7" i="8"/>
  <c r="Z7" i="8" s="1"/>
  <c r="R7" i="8"/>
  <c r="R16" i="8"/>
  <c r="R24" i="8"/>
  <c r="R19" i="8"/>
  <c r="U20" i="8"/>
  <c r="Z20" i="8" s="1"/>
  <c r="T19" i="8"/>
  <c r="Y19" i="8" s="1"/>
  <c r="V29" i="8"/>
  <c r="AA29" i="8" s="1"/>
  <c r="R14" i="8"/>
  <c r="W14" i="8" s="1"/>
  <c r="AB14" i="8" s="1"/>
  <c r="R22" i="8"/>
  <c r="W22" i="8" s="1"/>
  <c r="AB22" i="8" s="1"/>
  <c r="R42" i="2"/>
  <c r="W42" i="2" s="1"/>
  <c r="S55" i="2"/>
  <c r="X55" i="2" s="1"/>
  <c r="S23" i="2"/>
  <c r="X23" i="2" s="1"/>
  <c r="R34" i="2"/>
  <c r="W34" i="2" s="1"/>
  <c r="S47" i="2"/>
  <c r="X47" i="2" s="1"/>
  <c r="T48" i="2"/>
  <c r="Y48" i="2" s="1"/>
  <c r="T15" i="2"/>
  <c r="Y15" i="2" s="1"/>
  <c r="S26" i="2"/>
  <c r="X26" i="2" s="1"/>
  <c r="T41" i="2"/>
  <c r="Y41" i="2" s="1"/>
  <c r="S36" i="2"/>
  <c r="X36" i="2" s="1"/>
  <c r="S44" i="2"/>
  <c r="X44" i="2" s="1"/>
  <c r="T18" i="2"/>
  <c r="Y18" i="2" s="1"/>
  <c r="S29" i="2"/>
  <c r="X29" i="2" s="1"/>
  <c r="S37" i="2"/>
  <c r="X37" i="2" s="1"/>
  <c r="T20" i="2"/>
  <c r="Y20" i="2" s="1"/>
  <c r="T28" i="2"/>
  <c r="Y28" i="2" s="1"/>
  <c r="T21" i="2"/>
  <c r="Y21" i="2" s="1"/>
  <c r="R50" i="2"/>
  <c r="W50" i="2" s="1"/>
  <c r="T13" i="2"/>
  <c r="Y13" i="2" s="1"/>
  <c r="T45" i="2"/>
  <c r="Y45" i="2" s="1"/>
  <c r="S51" i="2"/>
  <c r="X51" i="2" s="1"/>
  <c r="S7" i="2"/>
  <c r="X7" i="2" s="1"/>
  <c r="R31" i="2"/>
  <c r="W31" i="2" s="1"/>
  <c r="R39" i="2"/>
  <c r="W39" i="2" s="1"/>
  <c r="T52" i="2"/>
  <c r="Y52" i="2" s="1"/>
  <c r="T33" i="2"/>
  <c r="Y33" i="2" s="1"/>
  <c r="S32" i="2"/>
  <c r="X32" i="2" s="1"/>
  <c r="T53" i="2"/>
  <c r="Y53" i="2" s="1"/>
  <c r="J16" i="8"/>
  <c r="T16" i="8" s="1"/>
  <c r="Y16" i="8" s="1"/>
  <c r="B3" i="1"/>
  <c r="O11" i="5"/>
  <c r="AE11" i="5"/>
  <c r="X11" i="5"/>
  <c r="AF11" i="5"/>
  <c r="EM19" i="11"/>
  <c r="A19" i="11" s="1"/>
  <c r="I64" i="2"/>
  <c r="S64" i="2" s="1"/>
  <c r="X64" i="2" s="1"/>
  <c r="J23" i="8"/>
  <c r="T23" i="8" s="1"/>
  <c r="Y23" i="8" s="1"/>
  <c r="K23" i="8"/>
  <c r="U23" i="8" s="1"/>
  <c r="Z23" i="8" s="1"/>
  <c r="U11" i="5"/>
  <c r="AC11" i="5"/>
  <c r="AK11" i="5"/>
  <c r="L20" i="8"/>
  <c r="W11" i="5"/>
  <c r="K64" i="2"/>
  <c r="L15" i="8"/>
  <c r="V15" i="8" s="1"/>
  <c r="AA15" i="8" s="1"/>
  <c r="X4" i="3"/>
  <c r="AL4" i="3" s="1"/>
  <c r="M19" i="8"/>
  <c r="L22" i="8"/>
  <c r="V22" i="8" s="1"/>
  <c r="AA22" i="8" s="1"/>
  <c r="K14" i="8"/>
  <c r="L16" i="8"/>
  <c r="V16" i="8" s="1"/>
  <c r="AA16" i="8" s="1"/>
  <c r="M20" i="8"/>
  <c r="L14" i="8"/>
  <c r="V14" i="8" s="1"/>
  <c r="AA14" i="8" s="1"/>
  <c r="M16" i="8"/>
  <c r="J65" i="2"/>
  <c r="T65" i="2" s="1"/>
  <c r="Y65" i="2" s="1"/>
  <c r="K19" i="8"/>
  <c r="U19" i="8" s="1"/>
  <c r="Z19" i="8" s="1"/>
  <c r="EM32" i="11"/>
  <c r="A32" i="11" s="1"/>
  <c r="H7" i="2"/>
  <c r="R7" i="2" s="1"/>
  <c r="W7" i="2" s="1"/>
  <c r="Y4" i="3"/>
  <c r="AM4" i="3" s="1"/>
  <c r="P11" i="5"/>
  <c r="L19" i="8"/>
  <c r="V19" i="8" s="1"/>
  <c r="AA19" i="8" s="1"/>
  <c r="AE4" i="3"/>
  <c r="Q11" i="5"/>
  <c r="Y11" i="5"/>
  <c r="AG11" i="5"/>
  <c r="K22" i="8"/>
  <c r="U22" i="8" s="1"/>
  <c r="Z22" i="8" s="1"/>
  <c r="EM6" i="11"/>
  <c r="A6" i="11" s="1"/>
  <c r="EM10" i="11"/>
  <c r="A10" i="11" s="1"/>
  <c r="EM17" i="11"/>
  <c r="A17" i="11" s="1"/>
  <c r="L24" i="8"/>
  <c r="V24" i="8" s="1"/>
  <c r="AA24" i="8" s="1"/>
  <c r="B2" i="1"/>
  <c r="V11" i="5"/>
  <c r="AD11" i="5"/>
  <c r="AL11" i="5"/>
  <c r="M24" i="8"/>
  <c r="K28" i="8"/>
  <c r="U28" i="8" s="1"/>
  <c r="Z28" i="8" s="1"/>
  <c r="T4" i="3"/>
  <c r="J7" i="8"/>
  <c r="T7" i="8" s="1"/>
  <c r="Y7" i="8" s="1"/>
  <c r="J15" i="8"/>
  <c r="T15" i="8" s="1"/>
  <c r="Y15" i="8" s="1"/>
  <c r="L23" i="8"/>
  <c r="V23" i="8" s="1"/>
  <c r="AA23" i="8" s="1"/>
  <c r="L28" i="8"/>
  <c r="V28" i="8" s="1"/>
  <c r="AA28" i="8" s="1"/>
  <c r="J14" i="8"/>
  <c r="T14" i="8" s="1"/>
  <c r="Y14" i="8" s="1"/>
  <c r="K15" i="8"/>
  <c r="U15" i="8" s="1"/>
  <c r="Z15" i="8" s="1"/>
  <c r="J20" i="8"/>
  <c r="T20" i="8" s="1"/>
  <c r="Y20" i="8" s="1"/>
  <c r="J22" i="8"/>
  <c r="T22" i="8" s="1"/>
  <c r="Y22" i="8" s="1"/>
  <c r="M28" i="8"/>
  <c r="R11" i="5"/>
  <c r="Z11" i="5"/>
  <c r="AH11" i="5"/>
  <c r="EM29" i="11"/>
  <c r="A29" i="11" s="1"/>
  <c r="EX46" i="11"/>
  <c r="T11" i="5"/>
  <c r="AB11" i="5"/>
  <c r="AJ11" i="5"/>
  <c r="J24" i="8"/>
  <c r="T24" i="8" s="1"/>
  <c r="Y24" i="8" s="1"/>
  <c r="EM7" i="11"/>
  <c r="A7" i="11" s="1"/>
  <c r="I65" i="2"/>
  <c r="S65" i="2" s="1"/>
  <c r="X65" i="2" s="1"/>
  <c r="V4" i="3"/>
  <c r="AJ4" i="3" s="1"/>
  <c r="M21" i="8"/>
  <c r="W21" i="8" s="1"/>
  <c r="AB21" i="8" s="1"/>
  <c r="L21" i="8"/>
  <c r="V21" i="8" s="1"/>
  <c r="AA21" i="8" s="1"/>
  <c r="K21" i="8"/>
  <c r="U21" i="8" s="1"/>
  <c r="Z21" i="8" s="1"/>
  <c r="J21" i="8"/>
  <c r="T21" i="8" s="1"/>
  <c r="Y21" i="8" s="1"/>
  <c r="H104" i="11"/>
  <c r="H100" i="11"/>
  <c r="H96" i="11"/>
  <c r="H92" i="11"/>
  <c r="H88" i="11"/>
  <c r="H84" i="11"/>
  <c r="H80" i="11"/>
  <c r="H76" i="11"/>
  <c r="H72" i="11"/>
  <c r="H68" i="11"/>
  <c r="H64" i="11"/>
  <c r="H99" i="11"/>
  <c r="H95" i="11"/>
  <c r="H91" i="11"/>
  <c r="H83" i="11"/>
  <c r="H79" i="11"/>
  <c r="H75" i="11"/>
  <c r="H71" i="11"/>
  <c r="H67" i="11"/>
  <c r="H102" i="11"/>
  <c r="H98" i="11"/>
  <c r="H94" i="11"/>
  <c r="H90" i="11"/>
  <c r="H86" i="11"/>
  <c r="H82" i="11"/>
  <c r="H78" i="11"/>
  <c r="H74" i="11"/>
  <c r="H70" i="11"/>
  <c r="H66" i="11"/>
  <c r="H89" i="11"/>
  <c r="H73" i="11"/>
  <c r="H101" i="11"/>
  <c r="H85" i="11"/>
  <c r="H69" i="11"/>
  <c r="H97" i="11"/>
  <c r="H81" i="11"/>
  <c r="H65" i="11"/>
  <c r="H93" i="11"/>
  <c r="H77" i="11"/>
  <c r="AF4" i="3"/>
  <c r="I103" i="11"/>
  <c r="I99" i="11"/>
  <c r="I95" i="11"/>
  <c r="I91" i="11"/>
  <c r="I87" i="11"/>
  <c r="I83" i="11"/>
  <c r="I79" i="11"/>
  <c r="I75" i="11"/>
  <c r="I71" i="11"/>
  <c r="I67" i="11"/>
  <c r="I63" i="11"/>
  <c r="I102" i="11"/>
  <c r="I98" i="11"/>
  <c r="I94" i="11"/>
  <c r="I90" i="11"/>
  <c r="I86" i="11"/>
  <c r="I82" i="11"/>
  <c r="I78" i="11"/>
  <c r="I74" i="11"/>
  <c r="I70" i="11"/>
  <c r="I66" i="11"/>
  <c r="I101" i="11"/>
  <c r="I97" i="11"/>
  <c r="I93" i="11"/>
  <c r="I89" i="11"/>
  <c r="I85" i="11"/>
  <c r="I81" i="11"/>
  <c r="I77" i="11"/>
  <c r="I73" i="11"/>
  <c r="I69" i="11"/>
  <c r="I65" i="11"/>
  <c r="I104" i="11"/>
  <c r="I100" i="11"/>
  <c r="I84" i="11"/>
  <c r="I68" i="11"/>
  <c r="I96" i="11"/>
  <c r="I80" i="11"/>
  <c r="I64" i="11"/>
  <c r="I92" i="11"/>
  <c r="I76" i="11"/>
  <c r="J7" i="2"/>
  <c r="AG4" i="3"/>
  <c r="Q15" i="3"/>
  <c r="Q29" i="3" s="1"/>
  <c r="Q52" i="3" s="1"/>
  <c r="I72" i="11"/>
  <c r="K7" i="2"/>
  <c r="AH4" i="3"/>
  <c r="EM37" i="11"/>
  <c r="A39" i="11" s="1"/>
  <c r="I88" i="11"/>
  <c r="EM3" i="11"/>
  <c r="A3" i="11" s="1"/>
  <c r="L12" i="8"/>
  <c r="V12" i="8" s="1"/>
  <c r="AA12" i="8" s="1"/>
  <c r="K12" i="8"/>
  <c r="U12" i="8" s="1"/>
  <c r="Z12" i="8" s="1"/>
  <c r="J12" i="8"/>
  <c r="T12" i="8" s="1"/>
  <c r="Y12" i="8" s="1"/>
  <c r="M12" i="8"/>
  <c r="W12" i="8" s="1"/>
  <c r="AB12" i="8" s="1"/>
  <c r="M25" i="8"/>
  <c r="L25" i="8"/>
  <c r="K25" i="8"/>
  <c r="U25" i="8" s="1"/>
  <c r="Z25" i="8" s="1"/>
  <c r="J26" i="8"/>
  <c r="T26" i="8" s="1"/>
  <c r="Y26" i="8" s="1"/>
  <c r="EM38" i="11"/>
  <c r="A40" i="11" s="1"/>
  <c r="EM46" i="11"/>
  <c r="A48" i="11" s="1"/>
  <c r="EM39" i="11"/>
  <c r="A41" i="11" s="1"/>
  <c r="EM34" i="11"/>
  <c r="A34" i="11" s="1"/>
  <c r="EM28" i="11"/>
  <c r="A28" i="11" s="1"/>
  <c r="EM23" i="11"/>
  <c r="A23" i="11" s="1"/>
  <c r="EM15" i="11"/>
  <c r="A15" i="11" s="1"/>
  <c r="EM12" i="11"/>
  <c r="A12" i="11" s="1"/>
  <c r="EM8" i="11"/>
  <c r="A8" i="11" s="1"/>
  <c r="EM9" i="11"/>
  <c r="A9" i="11" s="1"/>
  <c r="EM5" i="11"/>
  <c r="A5" i="11" s="1"/>
  <c r="EM31" i="11"/>
  <c r="A31" i="11" s="1"/>
  <c r="EM53" i="11"/>
  <c r="A55" i="11" s="1"/>
  <c r="J25" i="8"/>
  <c r="T25" i="8" s="1"/>
  <c r="Y25" i="8" s="1"/>
  <c r="K26" i="8"/>
  <c r="U26" i="8" s="1"/>
  <c r="Z26" i="8" s="1"/>
  <c r="EM4" i="11"/>
  <c r="A4" i="11" s="1"/>
  <c r="EM14" i="11"/>
  <c r="A14" i="11" s="1"/>
  <c r="EM16" i="11"/>
  <c r="A16" i="11" s="1"/>
  <c r="EM18" i="11"/>
  <c r="A18" i="11" s="1"/>
  <c r="EM20" i="11"/>
  <c r="A20" i="11" s="1"/>
  <c r="EM22" i="11"/>
  <c r="A22" i="11" s="1"/>
  <c r="EM24" i="11"/>
  <c r="A24" i="11" s="1"/>
  <c r="EM27" i="11"/>
  <c r="A27" i="11" s="1"/>
  <c r="EM43" i="11"/>
  <c r="A45" i="11" s="1"/>
  <c r="S11" i="5"/>
  <c r="AA11" i="5"/>
  <c r="AI11" i="5"/>
  <c r="L6" i="8"/>
  <c r="K6" i="8"/>
  <c r="J6" i="8"/>
  <c r="M7" i="8"/>
  <c r="L7" i="8"/>
  <c r="V7" i="8" s="1"/>
  <c r="AA7" i="8" s="1"/>
  <c r="M17" i="8"/>
  <c r="L17" i="8"/>
  <c r="V17" i="8" s="1"/>
  <c r="AA17" i="8" s="1"/>
  <c r="K17" i="8"/>
  <c r="U17" i="8" s="1"/>
  <c r="Z17" i="8" s="1"/>
  <c r="J18" i="8"/>
  <c r="T18" i="8" s="1"/>
  <c r="Y18" i="8" s="1"/>
  <c r="L26" i="8"/>
  <c r="V26" i="8" s="1"/>
  <c r="AA26" i="8" s="1"/>
  <c r="EM30" i="11"/>
  <c r="A30" i="11" s="1"/>
  <c r="EM45" i="11"/>
  <c r="A47" i="11" s="1"/>
  <c r="EM51" i="11"/>
  <c r="A53" i="11" s="1"/>
  <c r="K18" i="8"/>
  <c r="U18" i="8" s="1"/>
  <c r="Z18" i="8" s="1"/>
  <c r="EM40" i="11"/>
  <c r="A42" i="11" s="1"/>
  <c r="EM11" i="11"/>
  <c r="A11" i="11" s="1"/>
  <c r="EM26" i="11"/>
  <c r="A26" i="11" s="1"/>
  <c r="EM36" i="11"/>
  <c r="A38" i="11" s="1"/>
  <c r="EM42" i="11"/>
  <c r="A44" i="11" s="1"/>
  <c r="L18" i="8"/>
  <c r="V18" i="8" s="1"/>
  <c r="AA18" i="8" s="1"/>
  <c r="EM33" i="11"/>
  <c r="A33" i="11" s="1"/>
  <c r="EM44" i="11"/>
  <c r="A46" i="11" s="1"/>
  <c r="EM49" i="11"/>
  <c r="A51" i="11" s="1"/>
  <c r="EM54" i="11"/>
  <c r="A56" i="11" s="1"/>
  <c r="EM25" i="11"/>
  <c r="A25" i="11" s="1"/>
  <c r="EM35" i="11"/>
  <c r="A35" i="11" s="1"/>
  <c r="EM41" i="11"/>
  <c r="A43" i="11" s="1"/>
  <c r="EM47" i="11"/>
  <c r="A49" i="11" s="1"/>
  <c r="EM13" i="11"/>
  <c r="A13" i="11" s="1"/>
  <c r="EM21" i="11"/>
  <c r="A21" i="11" s="1"/>
  <c r="EM48" i="11"/>
  <c r="A50" i="11" s="1"/>
  <c r="EM50" i="11"/>
  <c r="A52" i="11" s="1"/>
  <c r="EM52" i="11"/>
  <c r="A54" i="11" s="1"/>
  <c r="K4" i="2" l="1"/>
  <c r="T8" i="2"/>
  <c r="Y8" i="2" s="1"/>
  <c r="J4" i="2"/>
  <c r="I4" i="2"/>
  <c r="H4" i="2"/>
  <c r="U7" i="3"/>
  <c r="EH20" i="7"/>
  <c r="W28" i="8"/>
  <c r="AB28" i="8" s="1"/>
  <c r="W17" i="8"/>
  <c r="AB17" i="8" s="1"/>
  <c r="W7" i="8"/>
  <c r="AB7" i="8" s="1"/>
  <c r="W20" i="8"/>
  <c r="AB20" i="8" s="1"/>
  <c r="W16" i="8"/>
  <c r="AB16" i="8" s="1"/>
  <c r="W24" i="8"/>
  <c r="AB24" i="8" s="1"/>
  <c r="W19" i="8"/>
  <c r="AB19" i="8" s="1"/>
  <c r="O35" i="8"/>
  <c r="P35" i="8"/>
  <c r="Q35" i="8"/>
  <c r="R6" i="8"/>
  <c r="U14" i="8"/>
  <c r="Z14" i="8" s="1"/>
  <c r="V25" i="8"/>
  <c r="AA25" i="8" s="1"/>
  <c r="W25" i="8"/>
  <c r="AB25" i="8" s="1"/>
  <c r="V20" i="8"/>
  <c r="AA20" i="8" s="1"/>
  <c r="T40" i="2"/>
  <c r="Y40" i="2" s="1"/>
  <c r="S9" i="2"/>
  <c r="X9" i="2" s="1"/>
  <c r="T29" i="2"/>
  <c r="Y29" i="2" s="1"/>
  <c r="O58" i="2"/>
  <c r="S50" i="2"/>
  <c r="X50" i="2" s="1"/>
  <c r="M4" i="2"/>
  <c r="R51" i="2"/>
  <c r="W51" i="2" s="1"/>
  <c r="R29" i="2"/>
  <c r="W29" i="2" s="1"/>
  <c r="M58" i="2"/>
  <c r="T44" i="2"/>
  <c r="Y44" i="2" s="1"/>
  <c r="N4" i="2"/>
  <c r="R49" i="2"/>
  <c r="W49" i="2" s="1"/>
  <c r="S19" i="2"/>
  <c r="X19" i="2" s="1"/>
  <c r="S33" i="2"/>
  <c r="X33" i="2" s="1"/>
  <c r="O4" i="2"/>
  <c r="R25" i="2"/>
  <c r="W25" i="2" s="1"/>
  <c r="N58" i="2"/>
  <c r="R8" i="2"/>
  <c r="W8" i="2" s="1"/>
  <c r="T34" i="2"/>
  <c r="Y34" i="2" s="1"/>
  <c r="S8" i="2"/>
  <c r="X8" i="2" s="1"/>
  <c r="S13" i="2"/>
  <c r="X13" i="2" s="1"/>
  <c r="M35" i="8"/>
  <c r="J35" i="8"/>
  <c r="T6" i="8"/>
  <c r="Y6" i="8" s="1"/>
  <c r="K58" i="2"/>
  <c r="R38" i="2"/>
  <c r="W38" i="2" s="1"/>
  <c r="L35" i="8"/>
  <c r="V6" i="8"/>
  <c r="AA6" i="8" s="1"/>
  <c r="T38" i="2"/>
  <c r="Y38" i="2" s="1"/>
  <c r="U6" i="8"/>
  <c r="Z6" i="8" s="1"/>
  <c r="K35" i="8"/>
  <c r="T7" i="2"/>
  <c r="Y7" i="2" s="1"/>
  <c r="J58" i="2"/>
  <c r="I58" i="2"/>
  <c r="A36" i="11"/>
  <c r="H58" i="2"/>
  <c r="A37" i="11"/>
  <c r="W6" i="8" l="1"/>
  <c r="AB6" i="8" s="1"/>
  <c r="R35" i="8"/>
  <c r="L58" i="2"/>
  <c r="Q39" i="8"/>
  <c r="Q37" i="8"/>
  <c r="P39" i="8"/>
  <c r="P37" i="8"/>
  <c r="N35" i="8"/>
  <c r="U4" i="3" s="1"/>
  <c r="O39" i="8"/>
  <c r="O3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Nardhathai Niphitakul</author>
  </authors>
  <commentList>
    <comment ref="A49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Nardhathai Niphitakul:
BPK แยก packing 6 pcs to CPN -TP !!!</t>
        </r>
      </text>
    </comment>
    <comment ref="A50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Nardhathai Niphitakul:
BPK แยก packing 6 pcs to CPN -TP !!!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Nardhathai Niphitakul</author>
  </authors>
  <commentList>
    <comment ref="I1" authorId="0" shapeId="0" xr:uid="{118546A9-FF2B-44FB-AD59-AB838B444C85}">
      <text>
        <r>
          <rPr>
            <b/>
            <sz val="9"/>
            <color indexed="81"/>
            <rFont val="Tahoma"/>
            <family val="2"/>
          </rPr>
          <t>Nardhathai Niphitakul:</t>
        </r>
        <r>
          <rPr>
            <sz val="9"/>
            <color indexed="81"/>
            <rFont val="Tahoma"/>
            <family val="2"/>
          </rPr>
          <t xml:space="preserve">
update 27-Jan-26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Nardhathai Niphitakul</author>
  </authors>
  <commentList>
    <comment ref="A2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Nardhathai Niphitakul:
แยก QTY to CPN : TP</t>
        </r>
      </text>
    </comment>
    <comment ref="A30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Nardhathai Niphitakul:
new</t>
        </r>
      </text>
    </comment>
    <comment ref="A3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Nardhathai Niphitakul:
new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Nardhathai Niphitakul</author>
  </authors>
  <commentList>
    <comment ref="EF16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Nardhathai Niphitakul:
ใช้แค่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Nardhathai Niphitakul</author>
  </authors>
  <commentList>
    <comment ref="B34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Nardhathai Niphitakul:
new</t>
        </r>
      </text>
    </comment>
    <comment ref="B35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Nardhathai Niphitakul:
new</t>
        </r>
      </text>
    </comment>
  </commentList>
</comments>
</file>

<file path=xl/sharedStrings.xml><?xml version="1.0" encoding="utf-8"?>
<sst xmlns="http://schemas.openxmlformats.org/spreadsheetml/2006/main" count="3028" uniqueCount="495">
  <si>
    <t>TMT Camera production plan summary by part</t>
  </si>
  <si>
    <t>Upadte</t>
  </si>
  <si>
    <t>Production Month</t>
  </si>
  <si>
    <t>NETH Doc</t>
  </si>
  <si>
    <t>Part No.</t>
  </si>
  <si>
    <t>Model</t>
  </si>
  <si>
    <t>Mar</t>
  </si>
  <si>
    <t>Apr</t>
  </si>
  <si>
    <t>May</t>
  </si>
  <si>
    <t>Jun</t>
  </si>
  <si>
    <t>Jul</t>
  </si>
  <si>
    <t>Aug</t>
  </si>
  <si>
    <t>Sep</t>
  </si>
  <si>
    <t>Nov</t>
  </si>
  <si>
    <t>Dec</t>
  </si>
  <si>
    <t>Jan</t>
  </si>
  <si>
    <t>Feb</t>
  </si>
  <si>
    <t>Oct</t>
  </si>
  <si>
    <t>86790-0K050-00</t>
  </si>
  <si>
    <t>867B</t>
  </si>
  <si>
    <t>Last FC</t>
  </si>
  <si>
    <t>Diff</t>
  </si>
  <si>
    <t>86790-0K080-00</t>
  </si>
  <si>
    <t>86790-0K110-00</t>
  </si>
  <si>
    <t>86790-0K130-00</t>
  </si>
  <si>
    <t>86790-0K140-A</t>
  </si>
  <si>
    <t>86790-0K170-A</t>
  </si>
  <si>
    <t>86790-0K180-A</t>
  </si>
  <si>
    <t>86790-0K190-B</t>
  </si>
  <si>
    <t>86790-0K120</t>
  </si>
  <si>
    <t>867B (BIS TKM)</t>
  </si>
  <si>
    <t>86790-0K200</t>
  </si>
  <si>
    <t>86790-0K220</t>
  </si>
  <si>
    <t>86790-BZ270-J</t>
  </si>
  <si>
    <t>D33H (D26A)</t>
  </si>
  <si>
    <t>86790-BZ280-J</t>
  </si>
  <si>
    <t>86790-BZ210-J</t>
  </si>
  <si>
    <t>D41H (D92A)</t>
  </si>
  <si>
    <t>86790-BZ220-J</t>
  </si>
  <si>
    <t>86790-0K141</t>
  </si>
  <si>
    <t>188D (ECI)</t>
  </si>
  <si>
    <t>86790-0K171</t>
  </si>
  <si>
    <t>86790-0K181</t>
  </si>
  <si>
    <t>By Plant</t>
  </si>
  <si>
    <t>Update</t>
  </si>
  <si>
    <t>Firm-0</t>
  </si>
  <si>
    <t>PO Dec</t>
  </si>
  <si>
    <t>P/n</t>
  </si>
  <si>
    <t>Part Type</t>
  </si>
  <si>
    <t>Plant</t>
  </si>
  <si>
    <t>Packing Type</t>
  </si>
  <si>
    <t xml:space="preserve">Packing Size </t>
  </si>
  <si>
    <t>Remark to follow TDEM</t>
  </si>
  <si>
    <t>86790-0K050</t>
  </si>
  <si>
    <t>Back</t>
  </si>
  <si>
    <t>SR</t>
  </si>
  <si>
    <t>TP341</t>
  </si>
  <si>
    <t xml:space="preserve">	86790-0K080-B</t>
  </si>
  <si>
    <t>86790-0K080</t>
  </si>
  <si>
    <t>86790-0K141-A TP</t>
  </si>
  <si>
    <t>Front</t>
  </si>
  <si>
    <t>BPK</t>
  </si>
  <si>
    <t>TP1</t>
  </si>
  <si>
    <t>86790-0K141 TP</t>
  </si>
  <si>
    <t>BP</t>
  </si>
  <si>
    <t>86790-0K110-B</t>
  </si>
  <si>
    <t>86790-0K110</t>
  </si>
  <si>
    <t>86790-0K141-A</t>
  </si>
  <si>
    <t xml:space="preserve">86790-0K141-A SN1 </t>
  </si>
  <si>
    <t>SN1</t>
  </si>
  <si>
    <t>86790-0K171 TP</t>
  </si>
  <si>
    <t>86790-0K230-A</t>
  </si>
  <si>
    <t>86790-0K230</t>
  </si>
  <si>
    <t>86790-0K050 SN1</t>
  </si>
  <si>
    <t xml:space="preserve">86790-0K050 TP </t>
  </si>
  <si>
    <t>86790-0K110-B SN1</t>
  </si>
  <si>
    <t>86790-0K110-B TP</t>
  </si>
  <si>
    <t>86790-0K130</t>
  </si>
  <si>
    <t>86790-0K171-A</t>
  </si>
  <si>
    <t xml:space="preserve">86790-0K171-A SN1 </t>
  </si>
  <si>
    <t>86790-0K171-A TP</t>
  </si>
  <si>
    <t>86790-0K120-A</t>
  </si>
  <si>
    <t>BIS TKM</t>
  </si>
  <si>
    <t xml:space="preserve">	86790-0K200-A</t>
  </si>
  <si>
    <t>86790-0K220-A</t>
  </si>
  <si>
    <t>86790-0K230-A SN1</t>
  </si>
  <si>
    <t>86790-BZ270-J FC1</t>
  </si>
  <si>
    <t>86790-BZ270</t>
  </si>
  <si>
    <t>GW</t>
  </si>
  <si>
    <t>FC1</t>
  </si>
  <si>
    <t>86790-BZ280-L SN1</t>
  </si>
  <si>
    <t>86790-BZ280</t>
  </si>
  <si>
    <t>86790-BZ210-L</t>
  </si>
  <si>
    <t>86790-BZ210</t>
  </si>
  <si>
    <t>86790-BZ220-K</t>
  </si>
  <si>
    <t>86790-BZ220</t>
  </si>
  <si>
    <t>86790-BZ310-L SN1</t>
  </si>
  <si>
    <t>86790-BZ310</t>
  </si>
  <si>
    <t>86790-BZ310-L</t>
  </si>
  <si>
    <t xml:space="preserve">	86790-0K051-A</t>
  </si>
  <si>
    <t>86790-0K051</t>
  </si>
  <si>
    <t>86790-0K051-A SN1</t>
  </si>
  <si>
    <t>86790-0K051-A TP</t>
  </si>
  <si>
    <t>86790-BZ320-K</t>
  </si>
  <si>
    <t>86790-BZ320</t>
  </si>
  <si>
    <t>86790-BZ321-J</t>
  </si>
  <si>
    <t>86790-BZ321</t>
  </si>
  <si>
    <t>86790-0K181-A</t>
  </si>
  <si>
    <t xml:space="preserve">86790-0K181-A SN1 </t>
  </si>
  <si>
    <t>86790-BZ271-J FC1</t>
  </si>
  <si>
    <t>86790-BZ271</t>
  </si>
  <si>
    <t>86790-BZ271GW</t>
  </si>
  <si>
    <t>86790-0K190-C TP</t>
  </si>
  <si>
    <t>86790-0K190</t>
  </si>
  <si>
    <t xml:space="preserve">86790-0K190-C FC1 </t>
  </si>
  <si>
    <t>86790-BZ350-M</t>
  </si>
  <si>
    <t>86790-BZ350</t>
  </si>
  <si>
    <t>86790-0K310</t>
  </si>
  <si>
    <t>86790-0K400</t>
  </si>
  <si>
    <t>SUM</t>
  </si>
  <si>
    <t>Remark</t>
  </si>
  <si>
    <t>Used TP Box same as domestic</t>
  </si>
  <si>
    <t>86790-0K051-A TP1</t>
  </si>
  <si>
    <t>86790-0K190-C</t>
  </si>
  <si>
    <t>SCP Update</t>
  </si>
  <si>
    <t>change to 024J model</t>
  </si>
  <si>
    <t>Sum Qty</t>
  </si>
  <si>
    <t>Check</t>
  </si>
  <si>
    <t>SAMRONG</t>
  </si>
  <si>
    <t>Quantity</t>
  </si>
  <si>
    <t>Forecast Quantity</t>
  </si>
  <si>
    <t>Last Forecast</t>
  </si>
  <si>
    <t>Compare FC</t>
  </si>
  <si>
    <t>Sl. No.</t>
  </si>
  <si>
    <t>Part Code</t>
  </si>
  <si>
    <t>Part Description</t>
  </si>
  <si>
    <t>Dock Code</t>
  </si>
  <si>
    <t>Shipping Dock</t>
  </si>
  <si>
    <t>Packing Size</t>
  </si>
  <si>
    <t>(N)</t>
  </si>
  <si>
    <t>N+1</t>
  </si>
  <si>
    <t>N+2</t>
  </si>
  <si>
    <t>N+3</t>
  </si>
  <si>
    <t>TDEM PIC</t>
  </si>
  <si>
    <t>E-mail</t>
  </si>
  <si>
    <t>Request</t>
  </si>
  <si>
    <t>Reason feed back from TDEM</t>
  </si>
  <si>
    <t>Veh</t>
  </si>
  <si>
    <t>438D&gt; 481D</t>
  </si>
  <si>
    <t>86790-0K051-00</t>
  </si>
  <si>
    <t>L342</t>
  </si>
  <si>
    <t>CAMERA ASSY TELEVISION</t>
  </si>
  <si>
    <t>S1</t>
  </si>
  <si>
    <t>024J</t>
  </si>
  <si>
    <t>x</t>
  </si>
  <si>
    <t>Kittipod Trirattanavanich</t>
  </si>
  <si>
    <t>ktriratt@toyota.co.th</t>
  </si>
  <si>
    <t>demand sudden decrease in Dec 20%</t>
  </si>
  <si>
    <t>G871</t>
  </si>
  <si>
    <t>demand sudden increase in Dec and Jan 40%</t>
  </si>
  <si>
    <t>86790-0K141-00</t>
  </si>
  <si>
    <t>J788</t>
  </si>
  <si>
    <t>86790-0K171-00</t>
  </si>
  <si>
    <t>J789</t>
  </si>
  <si>
    <t>demand sudden decrease in Dec 40%</t>
  </si>
  <si>
    <t>581D</t>
  </si>
  <si>
    <t>86790-0K310-00</t>
  </si>
  <si>
    <t>N748</t>
  </si>
  <si>
    <t>86790-0K400-00</t>
  </si>
  <si>
    <t>N749</t>
  </si>
  <si>
    <t xml:space="preserve">Banpho </t>
  </si>
  <si>
    <t>I338</t>
  </si>
  <si>
    <t>CAMERA ASSY  TELEVISION</t>
  </si>
  <si>
    <t>P1</t>
  </si>
  <si>
    <t>975W/ 438D&gt;&gt;&gt; 024J</t>
  </si>
  <si>
    <t>Pongsakorn Meesuk</t>
  </si>
  <si>
    <t>pmeesuk@toyota.co.th</t>
  </si>
  <si>
    <t>A369</t>
  </si>
  <si>
    <t>demand sudden increase in Dec 30%</t>
  </si>
  <si>
    <t>A370</t>
  </si>
  <si>
    <t>F165</t>
  </si>
  <si>
    <t>demand sudden increase in Dec and Jan &gt;50%</t>
  </si>
  <si>
    <t>F320</t>
  </si>
  <si>
    <t>86790-0K181-00</t>
  </si>
  <si>
    <t>F323</t>
  </si>
  <si>
    <t>86790-0K190-00</t>
  </si>
  <si>
    <t>D331</t>
  </si>
  <si>
    <t>86790-0K230-00</t>
  </si>
  <si>
    <t>F530</t>
  </si>
  <si>
    <t>AU19</t>
  </si>
  <si>
    <t>E1,P1</t>
  </si>
  <si>
    <t>025J</t>
  </si>
  <si>
    <t>AU20</t>
  </si>
  <si>
    <t>Packing</t>
  </si>
  <si>
    <t>M666</t>
  </si>
  <si>
    <t>B2</t>
  </si>
  <si>
    <t>889W</t>
  </si>
  <si>
    <t>Ms. Pattarawan Leangwattana/ Ms. Teeraporn Siritaweewat</t>
  </si>
  <si>
    <t>pattarawan_lea@tdem.toyota-asia.com</t>
  </si>
  <si>
    <t>86790-0K220-00</t>
  </si>
  <si>
    <t>T742</t>
  </si>
  <si>
    <t>D1</t>
  </si>
  <si>
    <t>758W</t>
  </si>
  <si>
    <t>BIS EOL</t>
  </si>
  <si>
    <t>demand sudden decrease in Nov -22% and sudden double increase in Feb</t>
  </si>
  <si>
    <t>W036</t>
  </si>
  <si>
    <t>BN</t>
  </si>
  <si>
    <t>975W &gt;&gt;&gt;024J</t>
  </si>
  <si>
    <t xml:space="preserve">demand sudden increase in Jan </t>
  </si>
  <si>
    <t>M523</t>
  </si>
  <si>
    <t xml:space="preserve">demand sudden increase in Feb </t>
  </si>
  <si>
    <t>86790-0K120-00</t>
  </si>
  <si>
    <t>T962</t>
  </si>
  <si>
    <t>BIS</t>
  </si>
  <si>
    <t>U324</t>
  </si>
  <si>
    <t>demand sudden decrease in Nov -33% and sudden increase in Jan 19%</t>
  </si>
  <si>
    <t>U325</t>
  </si>
  <si>
    <t>U326</t>
  </si>
  <si>
    <t>T023</t>
  </si>
  <si>
    <t>demand sudden increase in Feb</t>
  </si>
  <si>
    <t>86790-0K200-00</t>
  </si>
  <si>
    <t>T741</t>
  </si>
  <si>
    <t>U750</t>
  </si>
  <si>
    <t>demand sudden decrease in Nov -48% and sudden increase in Jan 35% and Feb</t>
  </si>
  <si>
    <t>86790-BZ310-00</t>
  </si>
  <si>
    <t>W976</t>
  </si>
  <si>
    <t>O401</t>
  </si>
  <si>
    <t>D54H</t>
  </si>
  <si>
    <t>sum</t>
  </si>
  <si>
    <t>B-MPV</t>
  </si>
  <si>
    <t>J</t>
  </si>
  <si>
    <t>86790-BZ270-00</t>
  </si>
  <si>
    <t>V641</t>
  </si>
  <si>
    <t>Z1</t>
  </si>
  <si>
    <t>D33H</t>
  </si>
  <si>
    <t>B-SUV</t>
  </si>
  <si>
    <t>86790-BZ320-00</t>
  </si>
  <si>
    <t>B801</t>
  </si>
  <si>
    <t>G2</t>
  </si>
  <si>
    <t>D46H</t>
  </si>
  <si>
    <t>Tanasan Krittopakarn</t>
  </si>
  <si>
    <t>tkrittop@toyota.co.th</t>
  </si>
  <si>
    <t>H</t>
  </si>
  <si>
    <t>86790-BZ271-00</t>
  </si>
  <si>
    <t>A055</t>
  </si>
  <si>
    <t>demand sudden decrease in Dec -20% and sudden increase in Feb</t>
  </si>
  <si>
    <t>86790-BZ280-00</t>
  </si>
  <si>
    <t>V642</t>
  </si>
  <si>
    <t>teeraporn_sir@tdem.toyota-asia.com</t>
  </si>
  <si>
    <t>DG7</t>
  </si>
  <si>
    <t>86790-BZ210-00</t>
  </si>
  <si>
    <t>5U62</t>
  </si>
  <si>
    <t>D41H</t>
  </si>
  <si>
    <t>Ittipat Wongchaikul</t>
  </si>
  <si>
    <t>iwongcha@toyota.co.th</t>
  </si>
  <si>
    <t>86790-BZ220-00</t>
  </si>
  <si>
    <t>5U63</t>
  </si>
  <si>
    <t>J- SN1</t>
  </si>
  <si>
    <t>W611</t>
  </si>
  <si>
    <t>B800</t>
  </si>
  <si>
    <t>demand sudden decrease in Dec -20% and sudden increase in Jan 30%</t>
  </si>
  <si>
    <t>add</t>
  </si>
  <si>
    <t>86790-BZ321-00</t>
  </si>
  <si>
    <t>B901</t>
  </si>
  <si>
    <t>86790-BZ350-00</t>
  </si>
  <si>
    <t>17U2</t>
  </si>
  <si>
    <t>HEADER</t>
  </si>
  <si>
    <t>Part name</t>
  </si>
  <si>
    <t>Kanban No.</t>
  </si>
  <si>
    <t>Start From
#Order No.</t>
  </si>
  <si>
    <t>Remain Order Q'ty (Pcs.)</t>
  </si>
  <si>
    <t>pending PO Dec</t>
  </si>
  <si>
    <t>Actual</t>
  </si>
  <si>
    <t>PLANT CODE</t>
  </si>
  <si>
    <t>867900K05100</t>
  </si>
  <si>
    <t>PART TYPE</t>
  </si>
  <si>
    <t>867900K14100</t>
  </si>
  <si>
    <t>PRODUCTION MONTH</t>
  </si>
  <si>
    <t>867900K17100</t>
  </si>
  <si>
    <t>REVISION TYPE</t>
  </si>
  <si>
    <t>867900K23000</t>
  </si>
  <si>
    <t>FORECAST TYPE</t>
  </si>
  <si>
    <t>F</t>
  </si>
  <si>
    <t>WOC WEEK</t>
  </si>
  <si>
    <t>00-00</t>
  </si>
  <si>
    <t>REVISION NUMBER</t>
  </si>
  <si>
    <t>0</t>
  </si>
  <si>
    <t>ISSUE DATE</t>
  </si>
  <si>
    <t>23/05/2025</t>
  </si>
  <si>
    <t>REMARKS</t>
  </si>
  <si>
    <t>DETAILS</t>
  </si>
  <si>
    <t>N</t>
  </si>
  <si>
    <t>PART NUMBER</t>
  </si>
  <si>
    <t>PART CODE</t>
  </si>
  <si>
    <t>PART DESC</t>
  </si>
  <si>
    <t>SUPP CODE</t>
  </si>
  <si>
    <t>SHIPPING DOCK</t>
  </si>
  <si>
    <t>DOCK CODE</t>
  </si>
  <si>
    <t>CAR FAMILY</t>
  </si>
  <si>
    <t>PACKING SIZE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</si>
  <si>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</si>
  <si>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</si>
  <si>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</si>
  <si>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</si>
  <si>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</si>
  <si>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</si>
  <si>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</si>
  <si>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</si>
  <si>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</si>
  <si>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</si>
  <si>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</si>
  <si>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</si>
  <si>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</si>
  <si>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</si>
  <si>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</si>
  <si>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</si>
  <si>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</si>
  <si>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</si>
  <si>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</si>
  <si>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</si>
  <si>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</si>
  <si>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</si>
  <si>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</si>
  <si>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</si>
  <si>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</si>
  <si>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</si>
  <si>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</si>
  <si>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</si>
  <si>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</si>
  <si>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</si>
  <si>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</si>
  <si>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TTETA</t>
  </si>
  <si>
    <t>MS</t>
  </si>
  <si>
    <t>438D</t>
  </si>
  <si>
    <t>E1</t>
  </si>
  <si>
    <t>N2</t>
  </si>
  <si>
    <t>B</t>
  </si>
  <si>
    <t>P</t>
  </si>
  <si>
    <t>202503</t>
  </si>
  <si>
    <t>M</t>
  </si>
  <si>
    <t>Sum of N</t>
  </si>
  <si>
    <t>Sum of N+1</t>
  </si>
  <si>
    <t>Sum of N+2</t>
  </si>
  <si>
    <t>Sum of N+3</t>
  </si>
  <si>
    <t>X402</t>
  </si>
  <si>
    <t>X403</t>
  </si>
  <si>
    <t>Grand Total</t>
  </si>
  <si>
    <t>G</t>
  </si>
  <si>
    <t>R1</t>
  </si>
  <si>
    <t>S</t>
  </si>
  <si>
    <t>V</t>
  </si>
  <si>
    <t>Part No</t>
  </si>
  <si>
    <t>Suffix</t>
  </si>
  <si>
    <t>Dock</t>
  </si>
  <si>
    <t>Supplier</t>
  </si>
  <si>
    <t>Splant</t>
  </si>
  <si>
    <t>Sdock</t>
  </si>
  <si>
    <t>Kbn No.</t>
  </si>
  <si>
    <t>Box Q'ty</t>
  </si>
  <si>
    <t>Start C/D OrderNo</t>
  </si>
  <si>
    <t>Remaining (pcs) from Standard</t>
  </si>
  <si>
    <t>867900K051</t>
  </si>
  <si>
    <t>00</t>
  </si>
  <si>
    <t>TTET</t>
  </si>
  <si>
    <t>A</t>
  </si>
  <si>
    <t>O1</t>
  </si>
  <si>
    <t>867900K141</t>
  </si>
  <si>
    <t>867900K171</t>
  </si>
  <si>
    <t>LT : 135 days.</t>
  </si>
  <si>
    <t>Jun's production</t>
  </si>
  <si>
    <t xml:space="preserve">Part </t>
  </si>
  <si>
    <t>for up forecast</t>
  </si>
  <si>
    <t>Customer code</t>
  </si>
  <si>
    <t>Remain June deli</t>
  </si>
  <si>
    <t>OH today</t>
  </si>
  <si>
    <t>OH Est end mth</t>
  </si>
  <si>
    <t>HILUX REVO D-CAB</t>
  </si>
  <si>
    <t>188D-D CAB</t>
  </si>
  <si>
    <t>HILUX REVO C-CAB</t>
  </si>
  <si>
    <t>188D-CAB</t>
  </si>
  <si>
    <t>188D-FORTUNER</t>
  </si>
  <si>
    <t>INOVA</t>
  </si>
  <si>
    <t>867B-INOVA</t>
  </si>
  <si>
    <t xml:space="preserve">86790-0K170-A </t>
  </si>
  <si>
    <t xml:space="preserve">86790-0K180-A </t>
  </si>
  <si>
    <t>86790-0K190-C FC1</t>
  </si>
  <si>
    <t>188D-INOVA</t>
  </si>
  <si>
    <t>VELOZ</t>
  </si>
  <si>
    <t>D28A</t>
  </si>
  <si>
    <t>867B (BIS)</t>
  </si>
  <si>
    <t>86790-0K200-A</t>
  </si>
  <si>
    <t>FORETUNER</t>
  </si>
  <si>
    <t>YARIS SEDAN</t>
  </si>
  <si>
    <t>D92A</t>
  </si>
  <si>
    <t>86790-0K141-A SN1</t>
  </si>
  <si>
    <t>86790-0K181-A SN1</t>
  </si>
  <si>
    <t>188D</t>
  </si>
  <si>
    <t>86790-BZ310-J</t>
  </si>
  <si>
    <t>B-Segment SUV</t>
  </si>
  <si>
    <t>D03B</t>
  </si>
  <si>
    <t>86790-0K051-A</t>
  </si>
  <si>
    <t>D54B</t>
  </si>
  <si>
    <t>Next IMV</t>
  </si>
  <si>
    <t>86790-BZ280-J SN1</t>
  </si>
  <si>
    <t>86790-BZ310-J SN1</t>
  </si>
  <si>
    <t>Firm 0 (Production as of July'23)</t>
  </si>
  <si>
    <t>July</t>
  </si>
  <si>
    <t>August</t>
  </si>
  <si>
    <t>September</t>
  </si>
  <si>
    <t>October</t>
  </si>
  <si>
    <t>Data from K'Chaiyo</t>
  </si>
  <si>
    <t>Imp.CD</t>
  </si>
  <si>
    <t>CFC</t>
  </si>
  <si>
    <t>Jul'23</t>
  </si>
  <si>
    <t>Aug'23</t>
  </si>
  <si>
    <t>Sep'23</t>
  </si>
  <si>
    <t>Oct'23</t>
  </si>
  <si>
    <t>301B</t>
  </si>
  <si>
    <t>867900K050</t>
  </si>
  <si>
    <t>537B</t>
  </si>
  <si>
    <t>704B</t>
  </si>
  <si>
    <t>717C</t>
  </si>
  <si>
    <t>Sum</t>
  </si>
  <si>
    <t>Gap</t>
  </si>
  <si>
    <t>Row Labels</t>
  </si>
  <si>
    <t>PART NUMBERPlant</t>
  </si>
  <si>
    <t>975W</t>
  </si>
  <si>
    <t>UPLD</t>
  </si>
  <si>
    <t>DUMMY</t>
  </si>
  <si>
    <t>86790-0K080BP</t>
  </si>
  <si>
    <t>86790-0K080SR</t>
  </si>
  <si>
    <t>86790-0K110BP</t>
  </si>
  <si>
    <t>86790-0K110BPK</t>
  </si>
  <si>
    <t>86790-0K120BPK</t>
  </si>
  <si>
    <t>86790-0K141BP</t>
  </si>
  <si>
    <t>86790-0K141BPK</t>
  </si>
  <si>
    <t>86790-0K141SR</t>
  </si>
  <si>
    <t>86790-0K171BP</t>
  </si>
  <si>
    <t>86790-0K171SR</t>
  </si>
  <si>
    <t>86790-0K181BP</t>
  </si>
  <si>
    <t>86790-0K181BPK</t>
  </si>
  <si>
    <t>86790-0K190BP</t>
  </si>
  <si>
    <t>86790-0K190BPK</t>
  </si>
  <si>
    <t>86790-0K200BPK</t>
  </si>
  <si>
    <t>86790-0K220BPK</t>
  </si>
  <si>
    <t>86790-0K230BP</t>
  </si>
  <si>
    <t>86790-0K230BPK</t>
  </si>
  <si>
    <t>86790-BZ210GW</t>
  </si>
  <si>
    <t>86790-BZ220GW</t>
  </si>
  <si>
    <t>86790-BZ280GW</t>
  </si>
  <si>
    <t>86790-BZ310GW</t>
  </si>
  <si>
    <t>86790-0K051BP</t>
  </si>
  <si>
    <t>86790-0K051SR</t>
  </si>
  <si>
    <t>86790-0K110BPKTP1</t>
  </si>
  <si>
    <t>86790-0K051BPKTP1</t>
  </si>
  <si>
    <t>86790-0K051BPKSN1</t>
  </si>
  <si>
    <t>86790-BZ310GWSN1</t>
  </si>
  <si>
    <t>86790-0K171BPKTP1</t>
  </si>
  <si>
    <t>86790-BZ321GW</t>
  </si>
  <si>
    <t>86790-0K141BPKTP1</t>
  </si>
  <si>
    <t>86790-0K171BPK</t>
  </si>
  <si>
    <t>86790-BZ310BPK</t>
  </si>
  <si>
    <t>86790-BZ350GW</t>
  </si>
  <si>
    <t>86790-0K310BP</t>
  </si>
  <si>
    <t>86790-0K400BP</t>
  </si>
  <si>
    <t>86790-0K310SR</t>
  </si>
  <si>
    <t>86790-0K400SR</t>
  </si>
  <si>
    <t>86790-0K190BPKTP1</t>
  </si>
  <si>
    <t>86790-0K310BPK</t>
  </si>
  <si>
    <t>86790-0K400BPK</t>
  </si>
  <si>
    <t>Feb'26</t>
  </si>
  <si>
    <t>Values</t>
  </si>
  <si>
    <t>Ms. Manusanan Songpichet / Ms. Teeraporn Siritaweewat</t>
  </si>
  <si>
    <t>Mr. Teerapat Triviboonvanich / Ms.Manachanok Sompen</t>
  </si>
  <si>
    <t>manusanan_son@toyota-asia.com / teeraporn_sir@toyota-asia.com</t>
  </si>
  <si>
    <t>teerapat_tri@toyota-asia.com / manachanok_som@toyota-asia.com</t>
  </si>
  <si>
    <t>Part no</t>
  </si>
  <si>
    <t>Part code</t>
  </si>
  <si>
    <t>Last Pack</t>
  </si>
  <si>
    <t>Runout</t>
  </si>
  <si>
    <t>Order</t>
  </si>
  <si>
    <t>Remain</t>
  </si>
  <si>
    <t>20260228</t>
  </si>
  <si>
    <t>Runout Spc_N+1</t>
  </si>
  <si>
    <t>ZERO Order</t>
  </si>
  <si>
    <t>867900K12000</t>
  </si>
  <si>
    <t>20260430</t>
  </si>
  <si>
    <t>Runout Part_N+3</t>
  </si>
  <si>
    <t>867900K20000</t>
  </si>
  <si>
    <t>2026010802</t>
  </si>
  <si>
    <t>1180</t>
  </si>
  <si>
    <t>2026010901</t>
  </si>
  <si>
    <t>10760</t>
  </si>
  <si>
    <t>Runout Spc_N+3</t>
  </si>
  <si>
    <r>
      <rPr>
        <b/>
        <u/>
        <sz val="10"/>
        <color rgb="FF0000CC"/>
        <rFont val="Arial"/>
        <family val="2"/>
      </rPr>
      <t xml:space="preserve">Start From
</t>
    </r>
    <r>
      <rPr>
        <b/>
        <sz val="10"/>
        <color rgb="FF0000CC"/>
        <rFont val="Arial"/>
        <family val="2"/>
      </rPr>
      <t>#Order No.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</si>
</sst>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###0"/>
    <numFmt numFmtId="166" formatCode="_-* #,##0.00_-;\-* #,##0.00_-;_-* &quot;-&quot;??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rgb="FF0066FF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rgb="FFFF0000"/>
      <name val="Arial"/>
      <family val="2"/>
    </font>
    <font>
      <sz val="11"/>
      <color rgb="FF9C0006"/>
      <name val="Calibri"/>
      <family val="2"/>
      <scheme val="minor"/>
    </font>
    <font>
      <sz val="9"/>
      <name val="Arial"/>
      <family val="2"/>
    </font>
    <font>
      <b/>
      <sz val="8"/>
      <name val="Arial"/>
      <family val="2"/>
    </font>
    <font>
      <b/>
      <sz val="10"/>
      <color rgb="FF0000CC"/>
      <name val="Arial"/>
      <family val="2"/>
    </font>
    <font>
      <sz val="8"/>
      <name val="Arial"/>
      <family val="2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Tahoma"/>
      <family val="2"/>
    </font>
    <font>
      <b/>
      <sz val="10"/>
      <color rgb="FF0066FF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u/>
      <sz val="10"/>
      <color rgb="FF0000CC"/>
      <name val="Arial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rgb="FFFF81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7CE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rgb="FF00B050"/>
        <bgColor indexed="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1" fillId="0" borderId="0"/>
    <xf numFmtId="9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27" fillId="0" borderId="0"/>
    <xf numFmtId="0" fontId="38" fillId="24" borderId="0"/>
    <xf numFmtId="0" fontId="51" fillId="0" borderId="0"/>
  </cellStyleXfs>
  <cellXfs count="292">
    <xf numFmtId="0" fontId="0" fillId="0" borderId="0" xfId="0"/>
    <xf numFmtId="0" fontId="2" fillId="0" borderId="0" xfId="0" applyFont="1"/>
    <xf numFmtId="15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3" fontId="4" fillId="0" borderId="0" xfId="0" applyNumberFormat="1" applyFont="1"/>
    <xf numFmtId="15" fontId="4" fillId="0" borderId="0" xfId="0" applyNumberFormat="1" applyFont="1"/>
    <xf numFmtId="0" fontId="4" fillId="2" borderId="0" xfId="0" applyFont="1" applyFill="1"/>
    <xf numFmtId="3" fontId="4" fillId="2" borderId="0" xfId="0" applyNumberFormat="1" applyFont="1" applyFill="1"/>
    <xf numFmtId="15" fontId="2" fillId="4" borderId="0" xfId="0" applyNumberFormat="1" applyFont="1" applyFill="1" applyAlignment="1">
      <alignment horizontal="left"/>
    </xf>
    <xf numFmtId="15" fontId="4" fillId="4" borderId="0" xfId="0" applyNumberFormat="1" applyFont="1" applyFill="1"/>
    <xf numFmtId="0" fontId="4" fillId="6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4" fillId="0" borderId="0" xfId="1" applyNumberFormat="1" applyFont="1"/>
    <xf numFmtId="0" fontId="4" fillId="0" borderId="0" xfId="0" applyFont="1" applyAlignment="1">
      <alignment horizontal="right"/>
    </xf>
    <xf numFmtId="3" fontId="4" fillId="0" borderId="2" xfId="0" applyNumberFormat="1" applyFont="1" applyBorder="1"/>
    <xf numFmtId="0" fontId="4" fillId="0" borderId="0" xfId="0" applyFont="1" applyAlignment="1">
      <alignment horizontal="left"/>
    </xf>
    <xf numFmtId="15" fontId="4" fillId="0" borderId="0" xfId="0" applyNumberFormat="1" applyFont="1" applyAlignment="1">
      <alignment horizontal="left"/>
    </xf>
    <xf numFmtId="3" fontId="5" fillId="0" borderId="8" xfId="0" applyNumberFormat="1" applyFont="1" applyBorder="1" applyAlignment="1">
      <alignment horizontal="center"/>
    </xf>
    <xf numFmtId="3" fontId="5" fillId="2" borderId="9" xfId="0" applyNumberFormat="1" applyFont="1" applyFill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9" fontId="3" fillId="0" borderId="10" xfId="2" applyFont="1" applyBorder="1" applyAlignment="1">
      <alignment horizontal="center"/>
    </xf>
    <xf numFmtId="9" fontId="3" fillId="0" borderId="17" xfId="2" applyFont="1" applyBorder="1" applyAlignment="1">
      <alignment horizontal="center"/>
    </xf>
    <xf numFmtId="9" fontId="3" fillId="0" borderId="14" xfId="2" applyFont="1" applyBorder="1" applyAlignment="1">
      <alignment horizontal="center"/>
    </xf>
    <xf numFmtId="3" fontId="4" fillId="0" borderId="5" xfId="0" applyNumberFormat="1" applyFont="1" applyBorder="1"/>
    <xf numFmtId="3" fontId="4" fillId="0" borderId="11" xfId="0" applyNumberFormat="1" applyFont="1" applyBorder="1"/>
    <xf numFmtId="3" fontId="4" fillId="0" borderId="15" xfId="0" applyNumberFormat="1" applyFont="1" applyBorder="1"/>
    <xf numFmtId="3" fontId="4" fillId="0" borderId="12" xfId="0" applyNumberFormat="1" applyFont="1" applyBorder="1"/>
    <xf numFmtId="3" fontId="4" fillId="2" borderId="6" xfId="0" applyNumberFormat="1" applyFont="1" applyFill="1" applyBorder="1"/>
    <xf numFmtId="3" fontId="4" fillId="2" borderId="7" xfId="0" applyNumberFormat="1" applyFont="1" applyFill="1" applyBorder="1"/>
    <xf numFmtId="3" fontId="4" fillId="2" borderId="16" xfId="0" applyNumberFormat="1" applyFont="1" applyFill="1" applyBorder="1"/>
    <xf numFmtId="3" fontId="4" fillId="2" borderId="13" xfId="0" applyNumberFormat="1" applyFont="1" applyFill="1" applyBorder="1"/>
    <xf numFmtId="9" fontId="3" fillId="2" borderId="18" xfId="2" applyFont="1" applyFill="1" applyBorder="1" applyAlignment="1">
      <alignment horizontal="center"/>
    </xf>
    <xf numFmtId="9" fontId="3" fillId="2" borderId="19" xfId="2" applyFont="1" applyFill="1" applyBorder="1" applyAlignment="1">
      <alignment horizontal="center"/>
    </xf>
    <xf numFmtId="0" fontId="2" fillId="0" borderId="0" xfId="0" applyFont="1" applyAlignment="1">
      <alignment horizontal="left"/>
    </xf>
    <xf numFmtId="3" fontId="6" fillId="5" borderId="21" xfId="0" applyNumberFormat="1" applyFont="1" applyFill="1" applyBorder="1" applyAlignment="1">
      <alignment horizontal="center"/>
    </xf>
    <xf numFmtId="3" fontId="6" fillId="5" borderId="22" xfId="0" applyNumberFormat="1" applyFont="1" applyFill="1" applyBorder="1" applyAlignment="1">
      <alignment horizontal="center"/>
    </xf>
    <xf numFmtId="9" fontId="4" fillId="0" borderId="0" xfId="2" applyFont="1"/>
    <xf numFmtId="0" fontId="7" fillId="0" borderId="0" xfId="0" applyFont="1"/>
    <xf numFmtId="3" fontId="3" fillId="2" borderId="20" xfId="2" applyNumberFormat="1" applyFont="1" applyFill="1" applyBorder="1" applyAlignment="1">
      <alignment horizontal="center"/>
    </xf>
    <xf numFmtId="3" fontId="4" fillId="2" borderId="20" xfId="2" applyNumberFormat="1" applyFont="1" applyFill="1" applyBorder="1" applyAlignment="1">
      <alignment horizontal="right"/>
    </xf>
    <xf numFmtId="3" fontId="4" fillId="0" borderId="12" xfId="0" applyNumberFormat="1" applyFont="1" applyBorder="1" applyAlignment="1">
      <alignment horizontal="right"/>
    </xf>
    <xf numFmtId="9" fontId="9" fillId="0" borderId="14" xfId="2" applyFont="1" applyBorder="1" applyAlignment="1">
      <alignment horizontal="center"/>
    </xf>
    <xf numFmtId="0" fontId="4" fillId="7" borderId="0" xfId="0" applyFont="1" applyFill="1"/>
    <xf numFmtId="0" fontId="0" fillId="2" borderId="0" xfId="0" applyFill="1"/>
    <xf numFmtId="3" fontId="4" fillId="8" borderId="0" xfId="0" applyNumberFormat="1" applyFont="1" applyFill="1"/>
    <xf numFmtId="3" fontId="6" fillId="5" borderId="23" xfId="0" applyNumberFormat="1" applyFont="1" applyFill="1" applyBorder="1" applyAlignment="1">
      <alignment horizontal="center"/>
    </xf>
    <xf numFmtId="3" fontId="11" fillId="2" borderId="13" xfId="0" applyNumberFormat="1" applyFont="1" applyFill="1" applyBorder="1"/>
    <xf numFmtId="3" fontId="11" fillId="2" borderId="20" xfId="2" applyNumberFormat="1" applyFont="1" applyFill="1" applyBorder="1" applyAlignment="1">
      <alignment horizontal="right"/>
    </xf>
    <xf numFmtId="0" fontId="2" fillId="5" borderId="26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0" borderId="7" xfId="0" applyFont="1" applyBorder="1"/>
    <xf numFmtId="3" fontId="4" fillId="9" borderId="0" xfId="0" applyNumberFormat="1" applyFont="1" applyFill="1"/>
    <xf numFmtId="2" fontId="4" fillId="0" borderId="0" xfId="2" applyNumberFormat="1" applyFont="1"/>
    <xf numFmtId="0" fontId="4" fillId="6" borderId="0" xfId="0" applyFont="1" applyFill="1" applyAlignment="1">
      <alignment horizontal="center"/>
    </xf>
    <xf numFmtId="3" fontId="4" fillId="4" borderId="7" xfId="0" applyNumberFormat="1" applyFont="1" applyFill="1" applyBorder="1"/>
    <xf numFmtId="0" fontId="4" fillId="0" borderId="0" xfId="0" quotePrefix="1" applyFont="1"/>
    <xf numFmtId="0" fontId="4" fillId="8" borderId="7" xfId="0" applyFont="1" applyFill="1" applyBorder="1"/>
    <xf numFmtId="3" fontId="12" fillId="0" borderId="0" xfId="0" applyNumberFormat="1" applyFont="1"/>
    <xf numFmtId="3" fontId="4" fillId="6" borderId="0" xfId="0" applyNumberFormat="1" applyFont="1" applyFill="1" applyAlignment="1">
      <alignment horizontal="center"/>
    </xf>
    <xf numFmtId="0" fontId="4" fillId="10" borderId="0" xfId="0" applyFont="1" applyFill="1"/>
    <xf numFmtId="3" fontId="4" fillId="10" borderId="0" xfId="0" applyNumberFormat="1" applyFont="1" applyFill="1"/>
    <xf numFmtId="0" fontId="0" fillId="0" borderId="0" xfId="0" applyAlignment="1">
      <alignment horizontal="right"/>
    </xf>
    <xf numFmtId="0" fontId="13" fillId="0" borderId="1" xfId="0" applyFont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49" fontId="4" fillId="0" borderId="0" xfId="0" applyNumberFormat="1" applyFont="1"/>
    <xf numFmtId="49" fontId="1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0" fontId="4" fillId="9" borderId="0" xfId="0" applyFont="1" applyFill="1"/>
    <xf numFmtId="3" fontId="4" fillId="11" borderId="0" xfId="0" applyNumberFormat="1" applyFont="1" applyFill="1"/>
    <xf numFmtId="0" fontId="4" fillId="11" borderId="0" xfId="0" applyFont="1" applyFill="1"/>
    <xf numFmtId="0" fontId="14" fillId="0" borderId="0" xfId="0" applyFont="1"/>
    <xf numFmtId="0" fontId="15" fillId="0" borderId="29" xfId="0" applyFont="1" applyBorder="1" applyAlignment="1">
      <alignment horizontal="right"/>
    </xf>
    <xf numFmtId="3" fontId="4" fillId="0" borderId="30" xfId="0" applyNumberFormat="1" applyFont="1" applyBorder="1"/>
    <xf numFmtId="9" fontId="4" fillId="10" borderId="0" xfId="2" applyFont="1" applyFill="1"/>
    <xf numFmtId="0" fontId="4" fillId="10" borderId="7" xfId="0" applyFont="1" applyFill="1" applyBorder="1"/>
    <xf numFmtId="3" fontId="4" fillId="10" borderId="7" xfId="0" applyNumberFormat="1" applyFont="1" applyFill="1" applyBorder="1"/>
    <xf numFmtId="0" fontId="4" fillId="9" borderId="7" xfId="0" applyFont="1" applyFill="1" applyBorder="1" applyAlignment="1">
      <alignment horizontal="center"/>
    </xf>
    <xf numFmtId="3" fontId="4" fillId="0" borderId="7" xfId="0" applyNumberFormat="1" applyFont="1" applyBorder="1"/>
    <xf numFmtId="9" fontId="4" fillId="0" borderId="7" xfId="2" applyFont="1" applyBorder="1" applyAlignment="1">
      <alignment horizontal="center"/>
    </xf>
    <xf numFmtId="9" fontId="4" fillId="10" borderId="7" xfId="2" applyFont="1" applyFill="1" applyBorder="1" applyAlignment="1">
      <alignment horizontal="center"/>
    </xf>
    <xf numFmtId="0" fontId="2" fillId="6" borderId="0" xfId="0" applyFont="1" applyFill="1"/>
    <xf numFmtId="0" fontId="2" fillId="9" borderId="0" xfId="0" applyFont="1" applyFill="1"/>
    <xf numFmtId="0" fontId="2" fillId="6" borderId="0" xfId="0" applyFont="1" applyFill="1" applyAlignment="1">
      <alignment horizontal="center"/>
    </xf>
    <xf numFmtId="0" fontId="2" fillId="2" borderId="31" xfId="0" applyFont="1" applyFill="1" applyBorder="1" applyAlignment="1">
      <alignment horizontal="center"/>
    </xf>
    <xf numFmtId="164" fontId="4" fillId="12" borderId="28" xfId="1" applyNumberFormat="1" applyFont="1" applyFill="1" applyBorder="1"/>
    <xf numFmtId="0" fontId="2" fillId="12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top"/>
    </xf>
    <xf numFmtId="0" fontId="10" fillId="0" borderId="0" xfId="3" applyFont="1"/>
    <xf numFmtId="165" fontId="0" fillId="0" borderId="0" xfId="0" applyNumberFormat="1"/>
    <xf numFmtId="0" fontId="4" fillId="13" borderId="0" xfId="0" applyFont="1" applyFill="1"/>
    <xf numFmtId="0" fontId="11" fillId="13" borderId="0" xfId="0" applyFont="1" applyFill="1"/>
    <xf numFmtId="9" fontId="4" fillId="14" borderId="0" xfId="2" applyFont="1" applyFill="1"/>
    <xf numFmtId="3" fontId="4" fillId="14" borderId="0" xfId="0" applyNumberFormat="1" applyFont="1" applyFill="1"/>
    <xf numFmtId="3" fontId="4" fillId="13" borderId="0" xfId="0" applyNumberFormat="1" applyFont="1" applyFill="1"/>
    <xf numFmtId="0" fontId="0" fillId="15" borderId="0" xfId="0" applyFill="1"/>
    <xf numFmtId="0" fontId="4" fillId="15" borderId="0" xfId="0" applyFont="1" applyFill="1"/>
    <xf numFmtId="0" fontId="0" fillId="8" borderId="0" xfId="0" applyFill="1"/>
    <xf numFmtId="0" fontId="0" fillId="12" borderId="0" xfId="0" applyFill="1"/>
    <xf numFmtId="0" fontId="4" fillId="8" borderId="0" xfId="0" applyFont="1" applyFill="1"/>
    <xf numFmtId="0" fontId="0" fillId="13" borderId="0" xfId="0" applyFill="1"/>
    <xf numFmtId="0" fontId="4" fillId="14" borderId="0" xfId="0" applyFont="1" applyFill="1"/>
    <xf numFmtId="3" fontId="0" fillId="14" borderId="0" xfId="0" applyNumberFormat="1" applyFill="1"/>
    <xf numFmtId="9" fontId="4" fillId="8" borderId="0" xfId="2" applyFont="1" applyFill="1"/>
    <xf numFmtId="0" fontId="14" fillId="2" borderId="0" xfId="0" applyFont="1" applyFill="1"/>
    <xf numFmtId="0" fontId="4" fillId="6" borderId="7" xfId="0" applyFont="1" applyFill="1" applyBorder="1"/>
    <xf numFmtId="0" fontId="4" fillId="9" borderId="7" xfId="0" applyFont="1" applyFill="1" applyBorder="1"/>
    <xf numFmtId="0" fontId="16" fillId="0" borderId="0" xfId="4" applyFont="1"/>
    <xf numFmtId="0" fontId="17" fillId="0" borderId="0" xfId="4" applyFont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165" fontId="17" fillId="0" borderId="1" xfId="0" applyNumberFormat="1" applyFont="1" applyBorder="1" applyAlignment="1">
      <alignment horizontal="left" vertical="top" wrapText="1"/>
    </xf>
    <xf numFmtId="165" fontId="0" fillId="12" borderId="0" xfId="0" applyNumberFormat="1" applyFill="1"/>
    <xf numFmtId="0" fontId="17" fillId="2" borderId="1" xfId="0" applyFont="1" applyFill="1" applyBorder="1" applyAlignment="1">
      <alignment horizontal="left" vertical="top"/>
    </xf>
    <xf numFmtId="165" fontId="17" fillId="0" borderId="0" xfId="4" applyNumberFormat="1" applyFont="1" applyAlignment="1">
      <alignment horizontal="left" vertical="top" wrapText="1"/>
    </xf>
    <xf numFmtId="10" fontId="4" fillId="0" borderId="0" xfId="2" applyNumberFormat="1" applyFont="1"/>
    <xf numFmtId="0" fontId="19" fillId="0" borderId="7" xfId="0" applyFont="1" applyBorder="1" applyAlignment="1">
      <alignment vertical="center"/>
    </xf>
    <xf numFmtId="0" fontId="19" fillId="0" borderId="32" xfId="0" applyFont="1" applyBorder="1" applyAlignment="1">
      <alignment vertical="center"/>
    </xf>
    <xf numFmtId="0" fontId="19" fillId="0" borderId="7" xfId="0" applyFont="1" applyBorder="1" applyAlignment="1">
      <alignment horizontal="center" vertical="center" textRotation="90"/>
    </xf>
    <xf numFmtId="0" fontId="20" fillId="0" borderId="7" xfId="0" applyFont="1" applyBorder="1" applyAlignment="1">
      <alignment horizontal="right" vertical="center"/>
    </xf>
    <xf numFmtId="164" fontId="0" fillId="4" borderId="32" xfId="1" applyNumberFormat="1" applyFont="1" applyFill="1" applyBorder="1"/>
    <xf numFmtId="164" fontId="18" fillId="0" borderId="7" xfId="0" applyNumberFormat="1" applyFont="1" applyBorder="1"/>
    <xf numFmtId="0" fontId="21" fillId="0" borderId="1" xfId="0" applyFont="1" applyBorder="1" applyAlignment="1">
      <alignment horizontal="left" vertical="top"/>
    </xf>
    <xf numFmtId="0" fontId="0" fillId="10" borderId="0" xfId="0" applyFill="1"/>
    <xf numFmtId="0" fontId="17" fillId="10" borderId="1" xfId="0" applyFont="1" applyFill="1" applyBorder="1" applyAlignment="1">
      <alignment horizontal="left" vertical="top"/>
    </xf>
    <xf numFmtId="0" fontId="23" fillId="0" borderId="0" xfId="5" applyFont="1"/>
    <xf numFmtId="0" fontId="22" fillId="0" borderId="0" xfId="5" applyFont="1" applyAlignment="1">
      <alignment horizontal="left" vertical="top"/>
    </xf>
    <xf numFmtId="0" fontId="11" fillId="0" borderId="0" xfId="0" applyFont="1"/>
    <xf numFmtId="0" fontId="17" fillId="0" borderId="0" xfId="0" applyFont="1" applyAlignment="1">
      <alignment horizontal="left" vertical="top"/>
    </xf>
    <xf numFmtId="0" fontId="4" fillId="16" borderId="7" xfId="0" applyFont="1" applyFill="1" applyBorder="1"/>
    <xf numFmtId="0" fontId="7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21" fillId="0" borderId="1" xfId="5" applyFont="1" applyBorder="1" applyAlignment="1">
      <alignment horizontal="left" vertical="top"/>
    </xf>
    <xf numFmtId="49" fontId="4" fillId="10" borderId="0" xfId="0" applyNumberFormat="1" applyFont="1" applyFill="1"/>
    <xf numFmtId="49" fontId="0" fillId="10" borderId="0" xfId="0" applyNumberFormat="1" applyFill="1"/>
    <xf numFmtId="3" fontId="12" fillId="10" borderId="0" xfId="0" applyNumberFormat="1" applyFont="1" applyFill="1"/>
    <xf numFmtId="164" fontId="0" fillId="0" borderId="0" xfId="1" applyNumberFormat="1" applyFont="1"/>
    <xf numFmtId="3" fontId="0" fillId="0" borderId="0" xfId="0" applyNumberFormat="1"/>
    <xf numFmtId="0" fontId="0" fillId="7" borderId="0" xfId="0" applyFill="1"/>
    <xf numFmtId="0" fontId="17" fillId="7" borderId="1" xfId="0" applyFont="1" applyFill="1" applyBorder="1" applyAlignment="1">
      <alignment horizontal="left" vertical="top"/>
    </xf>
    <xf numFmtId="3" fontId="4" fillId="6" borderId="0" xfId="0" applyNumberFormat="1" applyFont="1" applyFill="1"/>
    <xf numFmtId="49" fontId="28" fillId="0" borderId="0" xfId="0" applyNumberFormat="1" applyFont="1"/>
    <xf numFmtId="0" fontId="26" fillId="0" borderId="1" xfId="0" applyFont="1" applyBorder="1" applyAlignment="1">
      <alignment horizontal="left" vertical="top"/>
    </xf>
    <xf numFmtId="165" fontId="26" fillId="0" borderId="1" xfId="0" applyNumberFormat="1" applyFont="1" applyBorder="1" applyAlignment="1">
      <alignment horizontal="left" vertical="top" wrapText="1"/>
    </xf>
    <xf numFmtId="164" fontId="0" fillId="12" borderId="0" xfId="1" applyNumberFormat="1" applyFont="1" applyFill="1"/>
    <xf numFmtId="164" fontId="23" fillId="0" borderId="0" xfId="1" applyNumberFormat="1" applyFont="1"/>
    <xf numFmtId="0" fontId="30" fillId="0" borderId="0" xfId="0" applyFont="1"/>
    <xf numFmtId="0" fontId="30" fillId="0" borderId="0" xfId="0" applyFont="1" applyAlignment="1">
      <alignment wrapText="1"/>
    </xf>
    <xf numFmtId="0" fontId="4" fillId="18" borderId="7" xfId="0" applyFont="1" applyFill="1" applyBorder="1"/>
    <xf numFmtId="49" fontId="4" fillId="18" borderId="0" xfId="0" applyNumberFormat="1" applyFont="1" applyFill="1"/>
    <xf numFmtId="0" fontId="4" fillId="18" borderId="0" xfId="0" applyFont="1" applyFill="1" applyAlignment="1">
      <alignment horizontal="left"/>
    </xf>
    <xf numFmtId="0" fontId="4" fillId="18" borderId="0" xfId="0" applyFont="1" applyFill="1"/>
    <xf numFmtId="49" fontId="4" fillId="18" borderId="0" xfId="0" applyNumberFormat="1" applyFont="1" applyFill="1" applyAlignment="1">
      <alignment horizontal="left"/>
    </xf>
    <xf numFmtId="0" fontId="25" fillId="0" borderId="1" xfId="0" applyFont="1" applyBorder="1" applyAlignment="1">
      <alignment horizontal="left" vertical="top"/>
    </xf>
    <xf numFmtId="0" fontId="17" fillId="2" borderId="0" xfId="0" applyFont="1" applyFill="1" applyAlignment="1">
      <alignment horizontal="left" vertical="top"/>
    </xf>
    <xf numFmtId="0" fontId="17" fillId="10" borderId="0" xfId="0" applyFont="1" applyFill="1" applyAlignment="1">
      <alignment horizontal="left" vertical="top"/>
    </xf>
    <xf numFmtId="3" fontId="31" fillId="13" borderId="0" xfId="0" applyNumberFormat="1" applyFont="1" applyFill="1"/>
    <xf numFmtId="0" fontId="4" fillId="7" borderId="7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 wrapText="1"/>
    </xf>
    <xf numFmtId="0" fontId="32" fillId="0" borderId="0" xfId="7"/>
    <xf numFmtId="165" fontId="17" fillId="0" borderId="0" xfId="0" applyNumberFormat="1" applyFont="1" applyAlignment="1">
      <alignment horizontal="left" vertical="top" wrapText="1"/>
    </xf>
    <xf numFmtId="165" fontId="18" fillId="0" borderId="0" xfId="0" applyNumberFormat="1" applyFont="1"/>
    <xf numFmtId="0" fontId="18" fillId="0" borderId="0" xfId="0" applyFont="1"/>
    <xf numFmtId="0" fontId="33" fillId="0" borderId="0" xfId="0" applyFont="1"/>
    <xf numFmtId="0" fontId="26" fillId="2" borderId="1" xfId="6" applyFont="1" applyFill="1" applyBorder="1" applyAlignment="1">
      <alignment horizontal="left" vertical="top"/>
    </xf>
    <xf numFmtId="0" fontId="26" fillId="0" borderId="1" xfId="6" applyFont="1" applyBorder="1" applyAlignment="1">
      <alignment horizontal="left" vertical="top"/>
    </xf>
    <xf numFmtId="165" fontId="26" fillId="0" borderId="1" xfId="6" applyNumberFormat="1" applyFont="1" applyBorder="1" applyAlignment="1">
      <alignment horizontal="left" vertical="top" wrapText="1"/>
    </xf>
    <xf numFmtId="0" fontId="29" fillId="13" borderId="0" xfId="0" applyFont="1" applyFill="1"/>
    <xf numFmtId="3" fontId="4" fillId="0" borderId="0" xfId="0" applyNumberFormat="1" applyFont="1" applyAlignment="1">
      <alignment horizontal="center"/>
    </xf>
    <xf numFmtId="3" fontId="4" fillId="16" borderId="0" xfId="0" applyNumberFormat="1" applyFont="1" applyFill="1"/>
    <xf numFmtId="49" fontId="4" fillId="10" borderId="0" xfId="0" applyNumberFormat="1" applyFont="1" applyFill="1" applyAlignment="1">
      <alignment horizontal="left"/>
    </xf>
    <xf numFmtId="15" fontId="4" fillId="10" borderId="0" xfId="0" applyNumberFormat="1" applyFont="1" applyFill="1" applyAlignment="1">
      <alignment horizontal="left"/>
    </xf>
    <xf numFmtId="3" fontId="4" fillId="19" borderId="0" xfId="0" applyNumberFormat="1" applyFont="1" applyFill="1"/>
    <xf numFmtId="0" fontId="4" fillId="10" borderId="0" xfId="0" applyFont="1" applyFill="1" applyAlignment="1">
      <alignment horizontal="right"/>
    </xf>
    <xf numFmtId="3" fontId="0" fillId="10" borderId="0" xfId="0" applyNumberFormat="1" applyFill="1"/>
    <xf numFmtId="3" fontId="4" fillId="19" borderId="7" xfId="0" applyNumberFormat="1" applyFont="1" applyFill="1" applyBorder="1"/>
    <xf numFmtId="0" fontId="10" fillId="0" borderId="0" xfId="4" applyFont="1"/>
    <xf numFmtId="3" fontId="4" fillId="16" borderId="7" xfId="0" applyNumberFormat="1" applyFont="1" applyFill="1" applyBorder="1"/>
    <xf numFmtId="15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3" fontId="4" fillId="12" borderId="0" xfId="0" applyNumberFormat="1" applyFont="1" applyFill="1" applyAlignment="1">
      <alignment horizontal="center"/>
    </xf>
    <xf numFmtId="3" fontId="4" fillId="10" borderId="0" xfId="0" applyNumberFormat="1" applyFont="1" applyFill="1" applyAlignment="1">
      <alignment horizontal="center"/>
    </xf>
    <xf numFmtId="3" fontId="0" fillId="12" borderId="0" xfId="0" applyNumberForma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6" fillId="20" borderId="1" xfId="6" applyFont="1" applyFill="1" applyBorder="1" applyAlignment="1">
      <alignment horizontal="left" vertical="top"/>
    </xf>
    <xf numFmtId="165" fontId="26" fillId="20" borderId="1" xfId="6" applyNumberFormat="1" applyFont="1" applyFill="1" applyBorder="1" applyAlignment="1">
      <alignment horizontal="left" vertical="top" wrapText="1"/>
    </xf>
    <xf numFmtId="3" fontId="4" fillId="12" borderId="25" xfId="0" applyNumberFormat="1" applyFont="1" applyFill="1" applyBorder="1" applyAlignment="1">
      <alignment horizontal="center" vertical="top"/>
    </xf>
    <xf numFmtId="0" fontId="2" fillId="17" borderId="7" xfId="0" applyFont="1" applyFill="1" applyBorder="1" applyAlignment="1">
      <alignment horizontal="center" vertical="center"/>
    </xf>
    <xf numFmtId="0" fontId="2" fillId="2" borderId="0" xfId="0" applyFont="1" applyFill="1"/>
    <xf numFmtId="15" fontId="4" fillId="2" borderId="0" xfId="0" applyNumberFormat="1" applyFont="1" applyFill="1"/>
    <xf numFmtId="0" fontId="2" fillId="21" borderId="7" xfId="0" applyFont="1" applyFill="1" applyBorder="1" applyAlignment="1">
      <alignment horizontal="center" vertical="center"/>
    </xf>
    <xf numFmtId="0" fontId="7" fillId="21" borderId="7" xfId="0" applyFont="1" applyFill="1" applyBorder="1" applyAlignment="1">
      <alignment horizontal="center" vertical="center"/>
    </xf>
    <xf numFmtId="0" fontId="34" fillId="12" borderId="0" xfId="0" applyFont="1" applyFill="1"/>
    <xf numFmtId="0" fontId="4" fillId="12" borderId="0" xfId="0" applyFont="1" applyFill="1"/>
    <xf numFmtId="0" fontId="27" fillId="0" borderId="0" xfId="6"/>
    <xf numFmtId="0" fontId="25" fillId="3" borderId="0" xfId="6" applyFont="1" applyFill="1" applyAlignment="1">
      <alignment horizontal="left" vertical="top"/>
    </xf>
    <xf numFmtId="0" fontId="25" fillId="0" borderId="0" xfId="6" applyFont="1" applyAlignment="1">
      <alignment horizontal="left" vertical="top"/>
    </xf>
    <xf numFmtId="0" fontId="26" fillId="0" borderId="0" xfId="6" applyFont="1" applyAlignment="1">
      <alignment horizontal="left" vertical="top"/>
    </xf>
    <xf numFmtId="0" fontId="4" fillId="21" borderId="7" xfId="0" applyFont="1" applyFill="1" applyBorder="1"/>
    <xf numFmtId="3" fontId="4" fillId="21" borderId="7" xfId="0" applyNumberFormat="1" applyFont="1" applyFill="1" applyBorder="1"/>
    <xf numFmtId="0" fontId="26" fillId="21" borderId="1" xfId="6" applyFont="1" applyFill="1" applyBorder="1" applyAlignment="1">
      <alignment horizontal="left" vertical="top"/>
    </xf>
    <xf numFmtId="0" fontId="0" fillId="21" borderId="0" xfId="0" applyFill="1"/>
    <xf numFmtId="0" fontId="17" fillId="9" borderId="0" xfId="0" applyFont="1" applyFill="1" applyAlignment="1">
      <alignment horizontal="left" vertical="top"/>
    </xf>
    <xf numFmtId="0" fontId="0" fillId="9" borderId="0" xfId="0" applyFill="1"/>
    <xf numFmtId="0" fontId="26" fillId="9" borderId="1" xfId="6" applyFont="1" applyFill="1" applyBorder="1" applyAlignment="1">
      <alignment horizontal="left" vertical="top"/>
    </xf>
    <xf numFmtId="49" fontId="4" fillId="12" borderId="0" xfId="0" applyNumberFormat="1" applyFont="1" applyFill="1"/>
    <xf numFmtId="49" fontId="11" fillId="12" borderId="0" xfId="0" applyNumberFormat="1" applyFont="1" applyFill="1"/>
    <xf numFmtId="49" fontId="4" fillId="12" borderId="0" xfId="0" applyNumberFormat="1" applyFont="1" applyFill="1" applyAlignment="1">
      <alignment horizontal="left"/>
    </xf>
    <xf numFmtId="49" fontId="4" fillId="22" borderId="0" xfId="0" applyNumberFormat="1" applyFont="1" applyFill="1"/>
    <xf numFmtId="0" fontId="4" fillId="22" borderId="0" xfId="0" applyFont="1" applyFill="1"/>
    <xf numFmtId="3" fontId="12" fillId="22" borderId="0" xfId="0" applyNumberFormat="1" applyFont="1" applyFill="1"/>
    <xf numFmtId="9" fontId="4" fillId="22" borderId="0" xfId="2" applyFont="1" applyFill="1"/>
    <xf numFmtId="3" fontId="4" fillId="22" borderId="0" xfId="0" applyNumberFormat="1" applyFont="1" applyFill="1"/>
    <xf numFmtId="0" fontId="8" fillId="3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165" fontId="36" fillId="0" borderId="1" xfId="0" applyNumberFormat="1" applyFont="1" applyBorder="1" applyAlignment="1">
      <alignment horizontal="left" vertical="top" wrapText="1"/>
    </xf>
    <xf numFmtId="0" fontId="4" fillId="12" borderId="7" xfId="0" applyFont="1" applyFill="1" applyBorder="1"/>
    <xf numFmtId="0" fontId="4" fillId="16" borderId="0" xfId="0" applyFont="1" applyFill="1" applyAlignment="1">
      <alignment horizontal="center"/>
    </xf>
    <xf numFmtId="0" fontId="2" fillId="16" borderId="31" xfId="0" applyFont="1" applyFill="1" applyBorder="1" applyAlignment="1">
      <alignment horizontal="center"/>
    </xf>
    <xf numFmtId="166" fontId="1" fillId="16" borderId="0" xfId="1" applyFill="1" applyAlignment="1">
      <alignment vertical="center"/>
    </xf>
    <xf numFmtId="166" fontId="1" fillId="2" borderId="0" xfId="1" applyFill="1" applyAlignment="1">
      <alignment vertical="center"/>
    </xf>
    <xf numFmtId="0" fontId="35" fillId="16" borderId="0" xfId="0" applyFont="1" applyFill="1" applyAlignment="1">
      <alignment horizontal="center"/>
    </xf>
    <xf numFmtId="165" fontId="16" fillId="0" borderId="0" xfId="4" applyNumberFormat="1" applyFont="1"/>
    <xf numFmtId="0" fontId="17" fillId="9" borderId="1" xfId="6" applyFont="1" applyFill="1" applyBorder="1" applyAlignment="1">
      <alignment horizontal="left" vertical="top"/>
    </xf>
    <xf numFmtId="0" fontId="17" fillId="6" borderId="1" xfId="6" applyFont="1" applyFill="1" applyBorder="1" applyAlignment="1">
      <alignment horizontal="left" vertical="top"/>
    </xf>
    <xf numFmtId="0" fontId="17" fillId="23" borderId="1" xfId="0" applyFont="1" applyFill="1" applyBorder="1" applyAlignment="1">
      <alignment horizontal="left" vertical="top"/>
    </xf>
    <xf numFmtId="9" fontId="4" fillId="10" borderId="0" xfId="2" applyFont="1" applyFill="1" applyAlignment="1">
      <alignment horizontal="center"/>
    </xf>
    <xf numFmtId="9" fontId="4" fillId="9" borderId="7" xfId="2" applyFont="1" applyFill="1" applyBorder="1" applyAlignment="1">
      <alignment horizontal="center"/>
    </xf>
    <xf numFmtId="0" fontId="17" fillId="21" borderId="1" xfId="6" applyFont="1" applyFill="1" applyBorder="1" applyAlignment="1">
      <alignment horizontal="left" vertical="top"/>
    </xf>
    <xf numFmtId="3" fontId="4" fillId="12" borderId="28" xfId="0" applyNumberFormat="1" applyFont="1" applyFill="1" applyBorder="1"/>
    <xf numFmtId="165" fontId="10" fillId="0" borderId="0" xfId="4" applyNumberFormat="1" applyFont="1"/>
    <xf numFmtId="0" fontId="37" fillId="2" borderId="1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center" vertical="center"/>
    </xf>
    <xf numFmtId="49" fontId="4" fillId="9" borderId="0" xfId="0" applyNumberFormat="1" applyFont="1" applyFill="1"/>
    <xf numFmtId="0" fontId="38" fillId="24" borderId="0" xfId="9"/>
    <xf numFmtId="0" fontId="39" fillId="0" borderId="1" xfId="0" applyFont="1" applyBorder="1" applyAlignment="1">
      <alignment horizontal="left" vertical="top"/>
    </xf>
    <xf numFmtId="0" fontId="39" fillId="7" borderId="1" xfId="0" applyFont="1" applyFill="1" applyBorder="1" applyAlignment="1">
      <alignment horizontal="left" vertical="top"/>
    </xf>
    <xf numFmtId="0" fontId="2" fillId="12" borderId="7" xfId="0" applyFont="1" applyFill="1" applyBorder="1" applyAlignment="1">
      <alignment horizontal="center" vertical="center"/>
    </xf>
    <xf numFmtId="165" fontId="37" fillId="0" borderId="1" xfId="0" applyNumberFormat="1" applyFont="1" applyBorder="1" applyAlignment="1">
      <alignment horizontal="left" vertical="top" wrapText="1"/>
    </xf>
    <xf numFmtId="49" fontId="40" fillId="0" borderId="7" xfId="0" applyNumberFormat="1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3" fontId="41" fillId="25" borderId="7" xfId="0" applyNumberFormat="1" applyFont="1" applyFill="1" applyBorder="1" applyAlignment="1">
      <alignment horizontal="center" vertical="center" wrapText="1"/>
    </xf>
    <xf numFmtId="3" fontId="40" fillId="25" borderId="7" xfId="0" applyNumberFormat="1" applyFont="1" applyFill="1" applyBorder="1" applyAlignment="1">
      <alignment horizontal="center" vertical="center" wrapText="1"/>
    </xf>
    <xf numFmtId="0" fontId="0" fillId="26" borderId="7" xfId="0" applyFill="1" applyBorder="1" applyAlignment="1">
      <alignment horizontal="center"/>
    </xf>
    <xf numFmtId="0" fontId="42" fillId="26" borderId="7" xfId="0" applyFont="1" applyFill="1" applyBorder="1" applyAlignment="1">
      <alignment vertical="center"/>
    </xf>
    <xf numFmtId="0" fontId="0" fillId="26" borderId="7" xfId="0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43" fillId="26" borderId="7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165" fontId="37" fillId="2" borderId="1" xfId="0" applyNumberFormat="1" applyFont="1" applyFill="1" applyBorder="1" applyAlignment="1">
      <alignment horizontal="left" vertical="top" wrapText="1"/>
    </xf>
    <xf numFmtId="0" fontId="46" fillId="2" borderId="0" xfId="4" applyFont="1" applyFill="1" applyAlignment="1">
      <alignment horizontal="center" vertical="center"/>
    </xf>
    <xf numFmtId="0" fontId="47" fillId="12" borderId="0" xfId="4" applyFont="1" applyFill="1" applyAlignment="1">
      <alignment horizontal="center" vertical="center" wrapText="1"/>
    </xf>
    <xf numFmtId="0" fontId="4" fillId="26" borderId="7" xfId="0" quotePrefix="1" applyFont="1" applyFill="1" applyBorder="1" applyAlignment="1">
      <alignment horizontal="center"/>
    </xf>
    <xf numFmtId="49" fontId="48" fillId="25" borderId="7" xfId="0" applyNumberFormat="1" applyFont="1" applyFill="1" applyBorder="1" applyAlignment="1">
      <alignment horizontal="center" vertical="center" wrapText="1"/>
    </xf>
    <xf numFmtId="49" fontId="49" fillId="25" borderId="7" xfId="0" applyNumberFormat="1" applyFont="1" applyFill="1" applyBorder="1" applyAlignment="1">
      <alignment horizontal="center" vertical="center" wrapText="1"/>
    </xf>
    <xf numFmtId="0" fontId="48" fillId="25" borderId="7" xfId="0" applyFont="1" applyFill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7" xfId="0" quotePrefix="1" applyFont="1" applyBorder="1" applyAlignment="1">
      <alignment horizontal="center" vertical="center"/>
    </xf>
    <xf numFmtId="0" fontId="50" fillId="0" borderId="7" xfId="1" applyNumberFormat="1" applyFont="1" applyBorder="1" applyAlignment="1">
      <alignment horizontal="center" vertical="center"/>
    </xf>
    <xf numFmtId="0" fontId="47" fillId="2" borderId="0" xfId="4" applyFont="1" applyFill="1"/>
    <xf numFmtId="3" fontId="47" fillId="2" borderId="0" xfId="5" applyNumberFormat="1" applyFont="1" applyFill="1"/>
    <xf numFmtId="3" fontId="4" fillId="27" borderId="0" xfId="0" applyNumberFormat="1" applyFont="1" applyFill="1"/>
    <xf numFmtId="0" fontId="52" fillId="28" borderId="7" xfId="10" applyFont="1" applyFill="1" applyBorder="1" applyAlignment="1">
      <alignment horizontal="center" textRotation="90"/>
    </xf>
    <xf numFmtId="0" fontId="52" fillId="29" borderId="7" xfId="10" applyFont="1" applyFill="1" applyBorder="1" applyAlignment="1">
      <alignment horizontal="left" textRotation="90"/>
    </xf>
    <xf numFmtId="0" fontId="52" fillId="29" borderId="7" xfId="10" applyFont="1" applyFill="1" applyBorder="1" applyAlignment="1">
      <alignment horizontal="center" textRotation="90"/>
    </xf>
    <xf numFmtId="0" fontId="52" fillId="0" borderId="7" xfId="10" applyFont="1" applyBorder="1" applyAlignment="1">
      <alignment wrapText="1"/>
    </xf>
    <xf numFmtId="0" fontId="52" fillId="0" borderId="7" xfId="10" applyFont="1" applyBorder="1" applyAlignment="1">
      <alignment horizontal="left" wrapText="1"/>
    </xf>
    <xf numFmtId="0" fontId="52" fillId="2" borderId="7" xfId="10" applyFont="1" applyFill="1" applyBorder="1" applyAlignment="1">
      <alignment wrapText="1"/>
    </xf>
    <xf numFmtId="3" fontId="5" fillId="0" borderId="28" xfId="0" applyNumberFormat="1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3" fontId="5" fillId="0" borderId="29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6" borderId="7" xfId="0" applyFont="1" applyFill="1" applyBorder="1" applyAlignment="1">
      <alignment horizontal="center"/>
    </xf>
    <xf numFmtId="0" fontId="0" fillId="0" borderId="31" xfId="0" applyBorder="1"/>
    <xf numFmtId="0" fontId="0" fillId="0" borderId="33" xfId="0" applyBorder="1"/>
    <xf numFmtId="0" fontId="4" fillId="6" borderId="0" xfId="0" applyFont="1" applyFill="1" applyAlignment="1">
      <alignment horizontal="center"/>
    </xf>
    <xf numFmtId="0" fontId="4" fillId="0" borderId="0" xfId="0" applyFont="1"/>
    <xf numFmtId="0" fontId="54" fillId="26" borderId="7" xfId="0" quotePrefix="1" applyFont="1" applyFill="1" applyBorder="1" applyAlignment="1">
      <alignment horizontal="center"/>
    </xf>
    <xf numFmtId="3" fontId="54" fillId="26" borderId="7" xfId="0" applyNumberFormat="1" applyFont="1" applyFill="1" applyBorder="1" applyAlignment="1">
      <alignment horizontal="center"/>
    </xf>
  </cellXfs>
  <cellStyles count="11">
    <cellStyle name="Bad" xfId="9" builtinId="27"/>
    <cellStyle name="Comma" xfId="1" builtinId="3"/>
    <cellStyle name="Hyperlink" xfId="7" builtinId="8"/>
    <cellStyle name="Normal" xfId="0" builtinId="0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_Sheet1" xfId="10" xr:uid="{4D8CCD79-2E32-4D10-9409-89126843A6BD}"/>
    <cellStyle name="Percent" xfId="2" builtinId="5"/>
    <cellStyle name="常规 2" xfId="8" xr:uid="{00000000-0005-0000-0000-000008000000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dhathai Niphitakul" refreshedDate="45711.856204745367" createdVersion="8" refreshedVersion="8" minRefreshableVersion="3" recordCount="19" xr:uid="{00000000-000A-0000-FFFF-FFFF00000000}">
  <cacheSource type="worksheet">
    <worksheetSource ref="A13:EF32" sheet="BPK Daily"/>
  </cacheSource>
  <cacheFields count="136">
    <cacheField name="PART NUMBER" numFmtId="0">
      <sharedItems count="11">
        <s v="86790-0K220-00"/>
        <s v="86790-0K051-00"/>
        <s v="86790-0K110-00"/>
        <s v="86790-0K120-00"/>
        <s v="86790-0K141-00"/>
        <s v="86790-0K171-00"/>
        <s v="86790-0K181-00"/>
        <s v="86790-0K190-00"/>
        <s v="86790-0K200-00"/>
        <s v="86790-0K230-00"/>
        <s v="86790-BZ310-00"/>
      </sharedItems>
    </cacheField>
    <cacheField name="PART CODE" numFmtId="0">
      <sharedItems/>
    </cacheField>
    <cacheField name="PART DESC" numFmtId="0">
      <sharedItems/>
    </cacheField>
    <cacheField name="SUPP CODE" numFmtId="0">
      <sharedItems/>
    </cacheField>
    <cacheField name="SHIPPING DOCK" numFmtId="0">
      <sharedItems containsBlank="1"/>
    </cacheField>
    <cacheField name="DOCK CODE" numFmtId="0">
      <sharedItems count="2">
        <s v="D1"/>
        <s v="BN"/>
      </sharedItems>
    </cacheField>
    <cacheField name="CAR FAMILY" numFmtId="0">
      <sharedItems/>
    </cacheField>
    <cacheField name="PACKING SIZE" numFmtId="165">
      <sharedItems containsSemiMixedTypes="0" containsString="0" containsNumber="1" containsInteger="1" minValue="1" maxValue="42"/>
    </cacheField>
    <cacheField name="1" numFmtId="165">
      <sharedItems containsSemiMixedTypes="0" containsString="0" containsNumber="1" containsInteger="1" minValue="0" maxValue="0"/>
    </cacheField>
    <cacheField name="2" numFmtId="165">
      <sharedItems containsSemiMixedTypes="0" containsString="0" containsNumber="1" containsInteger="1" minValue="0" maxValue="0"/>
    </cacheField>
    <cacheField name="3" numFmtId="165">
      <sharedItems containsSemiMixedTypes="0" containsString="0" containsNumber="1" containsInteger="1" minValue="0" maxValue="360"/>
    </cacheField>
    <cacheField name="4" numFmtId="165">
      <sharedItems containsSemiMixedTypes="0" containsString="0" containsNumber="1" containsInteger="1" minValue="0" maxValue="390"/>
    </cacheField>
    <cacheField name="5" numFmtId="165">
      <sharedItems containsSemiMixedTypes="0" containsString="0" containsNumber="1" containsInteger="1" minValue="0" maxValue="390"/>
    </cacheField>
    <cacheField name="6" numFmtId="165">
      <sharedItems containsSemiMixedTypes="0" containsString="0" containsNumber="1" containsInteger="1" minValue="0" maxValue="360"/>
    </cacheField>
    <cacheField name="7" numFmtId="165">
      <sharedItems containsSemiMixedTypes="0" containsString="0" containsNumber="1" containsInteger="1" minValue="0" maxValue="390"/>
    </cacheField>
    <cacheField name="8" numFmtId="165">
      <sharedItems containsSemiMixedTypes="0" containsString="0" containsNumber="1" containsInteger="1" minValue="0" maxValue="150"/>
    </cacheField>
    <cacheField name="9" numFmtId="165">
      <sharedItems containsSemiMixedTypes="0" containsString="0" containsNumber="1" containsInteger="1" minValue="0" maxValue="0"/>
    </cacheField>
    <cacheField name="10" numFmtId="165">
      <sharedItems containsSemiMixedTypes="0" containsString="0" containsNumber="1" containsInteger="1" minValue="0" maxValue="330"/>
    </cacheField>
    <cacheField name="11" numFmtId="165">
      <sharedItems containsSemiMixedTypes="0" containsString="0" containsNumber="1" containsInteger="1" minValue="0" maxValue="360"/>
    </cacheField>
    <cacheField name="12" numFmtId="165">
      <sharedItems containsSemiMixedTypes="0" containsString="0" containsNumber="1" containsInteger="1" minValue="0" maxValue="390"/>
    </cacheField>
    <cacheField name="13" numFmtId="165">
      <sharedItems containsSemiMixedTypes="0" containsString="0" containsNumber="1" containsInteger="1" minValue="0" maxValue="360"/>
    </cacheField>
    <cacheField name="14" numFmtId="165">
      <sharedItems containsSemiMixedTypes="0" containsString="0" containsNumber="1" containsInteger="1" minValue="0" maxValue="390"/>
    </cacheField>
    <cacheField name="15" numFmtId="165">
      <sharedItems containsSemiMixedTypes="0" containsString="0" containsNumber="1" containsInteger="1" minValue="0" maxValue="330"/>
    </cacheField>
    <cacheField name="16" numFmtId="165">
      <sharedItems containsSemiMixedTypes="0" containsString="0" containsNumber="1" containsInteger="1" minValue="0" maxValue="0"/>
    </cacheField>
    <cacheField name="17" numFmtId="165">
      <sharedItems containsSemiMixedTypes="0" containsString="0" containsNumber="1" containsInteger="1" minValue="0" maxValue="330"/>
    </cacheField>
    <cacheField name="18" numFmtId="165">
      <sharedItems containsSemiMixedTypes="0" containsString="0" containsNumber="1" containsInteger="1" minValue="0" maxValue="390"/>
    </cacheField>
    <cacheField name="19" numFmtId="165">
      <sharedItems containsSemiMixedTypes="0" containsString="0" containsNumber="1" containsInteger="1" minValue="0" maxValue="420"/>
    </cacheField>
    <cacheField name="20" numFmtId="165">
      <sharedItems containsSemiMixedTypes="0" containsString="0" containsNumber="1" containsInteger="1" minValue="0" maxValue="390"/>
    </cacheField>
    <cacheField name="21" numFmtId="165">
      <sharedItems containsSemiMixedTypes="0" containsString="0" containsNumber="1" containsInteger="1" minValue="0" maxValue="420"/>
    </cacheField>
    <cacheField name="22" numFmtId="165">
      <sharedItems containsSemiMixedTypes="0" containsString="0" containsNumber="1" containsInteger="1" minValue="0" maxValue="0"/>
    </cacheField>
    <cacheField name="23" numFmtId="165">
      <sharedItems containsSemiMixedTypes="0" containsString="0" containsNumber="1" containsInteger="1" minValue="0" maxValue="0"/>
    </cacheField>
    <cacheField name="24" numFmtId="165">
      <sharedItems containsSemiMixedTypes="0" containsString="0" containsNumber="1" containsInteger="1" minValue="0" maxValue="390"/>
    </cacheField>
    <cacheField name="25" numFmtId="165">
      <sharedItems containsSemiMixedTypes="0" containsString="0" containsNumber="1" containsInteger="1" minValue="0" maxValue="390"/>
    </cacheField>
    <cacheField name="26" numFmtId="165">
      <sharedItems containsSemiMixedTypes="0" containsString="0" containsNumber="1" containsInteger="1" minValue="0" maxValue="420"/>
    </cacheField>
    <cacheField name="27" numFmtId="165">
      <sharedItems containsSemiMixedTypes="0" containsString="0" containsNumber="1" containsInteger="1" minValue="0" maxValue="390"/>
    </cacheField>
    <cacheField name="28" numFmtId="165">
      <sharedItems containsSemiMixedTypes="0" containsString="0" containsNumber="1" containsInteger="1" minValue="0" maxValue="450"/>
    </cacheField>
    <cacheField name="29" numFmtId="165">
      <sharedItems containsSemiMixedTypes="0" containsString="0" containsNumber="1" containsInteger="1" minValue="0" maxValue="420"/>
    </cacheField>
    <cacheField name="30" numFmtId="165">
      <sharedItems containsSemiMixedTypes="0" containsString="0" containsNumber="1" containsInteger="1" minValue="0" maxValue="0"/>
    </cacheField>
    <cacheField name="31" numFmtId="165">
      <sharedItems containsSemiMixedTypes="0" containsString="0" containsNumber="1" containsInteger="1" minValue="0" maxValue="390"/>
    </cacheField>
    <cacheField name="N" numFmtId="165">
      <sharedItems containsSemiMixedTypes="0" containsString="0" containsNumber="1" containsInteger="1" minValue="0" maxValue="9000"/>
    </cacheField>
    <cacheField name="110" numFmtId="165">
      <sharedItems containsSemiMixedTypes="0" containsString="0" containsNumber="1" containsInteger="1" minValue="0" maxValue="300"/>
    </cacheField>
    <cacheField name="210" numFmtId="165">
      <sharedItems containsSemiMixedTypes="0" containsString="0" containsNumber="1" containsInteger="1" minValue="0" maxValue="330"/>
    </cacheField>
    <cacheField name="32" numFmtId="165">
      <sharedItems containsSemiMixedTypes="0" containsString="0" containsNumber="1" containsInteger="1" minValue="0" maxValue="300"/>
    </cacheField>
    <cacheField name="42" numFmtId="165">
      <sharedItems containsSemiMixedTypes="0" containsString="0" containsNumber="1" containsInteger="1" minValue="0" maxValue="300"/>
    </cacheField>
    <cacheField name="52" numFmtId="165">
      <sharedItems containsSemiMixedTypes="0" containsString="0" containsNumber="1" containsInteger="1" minValue="0" maxValue="150"/>
    </cacheField>
    <cacheField name="62" numFmtId="165">
      <sharedItems containsSemiMixedTypes="0" containsString="0" containsNumber="1" containsInteger="1" minValue="0" maxValue="0"/>
    </cacheField>
    <cacheField name="72" numFmtId="165">
      <sharedItems containsSemiMixedTypes="0" containsString="0" containsNumber="1" containsInteger="1" minValue="0" maxValue="270"/>
    </cacheField>
    <cacheField name="82" numFmtId="165">
      <sharedItems containsSemiMixedTypes="0" containsString="0" containsNumber="1" containsInteger="1" minValue="0" maxValue="300"/>
    </cacheField>
    <cacheField name="92" numFmtId="165">
      <sharedItems containsSemiMixedTypes="0" containsString="0" containsNumber="1" containsInteger="1" minValue="0" maxValue="330"/>
    </cacheField>
    <cacheField name="102" numFmtId="165">
      <sharedItems containsSemiMixedTypes="0" containsString="0" containsNumber="1" containsInteger="1" minValue="0" maxValue="300"/>
    </cacheField>
    <cacheField name="112" numFmtId="165">
      <sharedItems containsSemiMixedTypes="0" containsString="0" containsNumber="1" containsInteger="1" minValue="0" maxValue="220"/>
    </cacheField>
    <cacheField name="122" numFmtId="165">
      <sharedItems containsSemiMixedTypes="0" containsString="0" containsNumber="1" containsInteger="1" minValue="0" maxValue="0"/>
    </cacheField>
    <cacheField name="132" numFmtId="165">
      <sharedItems containsSemiMixedTypes="0" containsString="0" containsNumber="1" containsInteger="1" minValue="0" maxValue="0"/>
    </cacheField>
    <cacheField name="142" numFmtId="165">
      <sharedItems containsSemiMixedTypes="0" containsString="0" containsNumber="1" containsInteger="1" minValue="0" maxValue="0"/>
    </cacheField>
    <cacheField name="152" numFmtId="165">
      <sharedItems containsSemiMixedTypes="0" containsString="0" containsNumber="1" containsInteger="1" minValue="0" maxValue="0"/>
    </cacheField>
    <cacheField name="162" numFmtId="165">
      <sharedItems containsSemiMixedTypes="0" containsString="0" containsNumber="1" containsInteger="1" minValue="0" maxValue="0"/>
    </cacheField>
    <cacheField name="172" numFmtId="165">
      <sharedItems containsSemiMixedTypes="0" containsString="0" containsNumber="1" containsInteger="1" minValue="0" maxValue="0"/>
    </cacheField>
    <cacheField name="182" numFmtId="165">
      <sharedItems containsSemiMixedTypes="0" containsString="0" containsNumber="1" containsInteger="1" minValue="0" maxValue="0"/>
    </cacheField>
    <cacheField name="192" numFmtId="165">
      <sharedItems containsSemiMixedTypes="0" containsString="0" containsNumber="1" containsInteger="1" minValue="0" maxValue="0"/>
    </cacheField>
    <cacheField name="202" numFmtId="165">
      <sharedItems containsSemiMixedTypes="0" containsString="0" containsNumber="1" containsInteger="1" minValue="0" maxValue="0"/>
    </cacheField>
    <cacheField name="212" numFmtId="165">
      <sharedItems containsSemiMixedTypes="0" containsString="0" containsNumber="1" containsInteger="1" minValue="0" maxValue="210"/>
    </cacheField>
    <cacheField name="222" numFmtId="165">
      <sharedItems containsSemiMixedTypes="0" containsString="0" containsNumber="1" containsInteger="1" minValue="0" maxValue="240"/>
    </cacheField>
    <cacheField name="232" numFmtId="165">
      <sharedItems containsSemiMixedTypes="0" containsString="0" containsNumber="1" containsInteger="1" minValue="0" maxValue="270"/>
    </cacheField>
    <cacheField name="242" numFmtId="165">
      <sharedItems containsSemiMixedTypes="0" containsString="0" containsNumber="1" containsInteger="1" minValue="0" maxValue="260"/>
    </cacheField>
    <cacheField name="252" numFmtId="165">
      <sharedItems containsSemiMixedTypes="0" containsString="0" containsNumber="1" containsInteger="1" minValue="0" maxValue="300"/>
    </cacheField>
    <cacheField name="262" numFmtId="165">
      <sharedItems containsSemiMixedTypes="0" containsString="0" containsNumber="1" containsInteger="1" minValue="0" maxValue="270"/>
    </cacheField>
    <cacheField name="272" numFmtId="165">
      <sharedItems containsSemiMixedTypes="0" containsString="0" containsNumber="1" containsInteger="1" minValue="0" maxValue="0"/>
    </cacheField>
    <cacheField name="282" numFmtId="165">
      <sharedItems containsSemiMixedTypes="0" containsString="0" containsNumber="1" containsInteger="1" minValue="0" maxValue="260"/>
    </cacheField>
    <cacheField name="292" numFmtId="165">
      <sharedItems containsSemiMixedTypes="0" containsString="0" containsNumber="1" containsInteger="1" minValue="0" maxValue="300"/>
    </cacheField>
    <cacheField name="302" numFmtId="165">
      <sharedItems containsSemiMixedTypes="0" containsString="0" containsNumber="1" containsInteger="1" minValue="0" maxValue="280"/>
    </cacheField>
    <cacheField name="312" numFmtId="165">
      <sharedItems containsSemiMixedTypes="0" containsString="0" containsNumber="1" containsInteger="1" minValue="0" maxValue="0"/>
    </cacheField>
    <cacheField name="N+1" numFmtId="165">
      <sharedItems containsSemiMixedTypes="0" containsString="0" containsNumber="1" containsInteger="1" minValue="0" maxValue="5130"/>
    </cacheField>
    <cacheField name="111" numFmtId="165">
      <sharedItems containsSemiMixedTypes="0" containsString="0" containsNumber="1" containsInteger="1" minValue="0" maxValue="0"/>
    </cacheField>
    <cacheField name="211" numFmtId="165">
      <sharedItems containsSemiMixedTypes="0" containsString="0" containsNumber="1" containsInteger="1" minValue="0" maxValue="0"/>
    </cacheField>
    <cacheField name="33" numFmtId="165">
      <sharedItems containsSemiMixedTypes="0" containsString="0" containsNumber="1" containsInteger="1" minValue="0" maxValue="0"/>
    </cacheField>
    <cacheField name="43" numFmtId="165">
      <sharedItems containsSemiMixedTypes="0" containsString="0" containsNumber="1" containsInteger="1" minValue="0" maxValue="0"/>
    </cacheField>
    <cacheField name="53" numFmtId="165">
      <sharedItems containsSemiMixedTypes="0" containsString="0" containsNumber="1" containsInteger="1" minValue="0" maxValue="345"/>
    </cacheField>
    <cacheField name="63" numFmtId="165">
      <sharedItems containsSemiMixedTypes="0" containsString="0" containsNumber="1" containsInteger="1" minValue="0" maxValue="345"/>
    </cacheField>
    <cacheField name="73" numFmtId="165">
      <sharedItems containsSemiMixedTypes="0" containsString="0" containsNumber="1" containsInteger="1" minValue="0" maxValue="345"/>
    </cacheField>
    <cacheField name="83" numFmtId="165">
      <sharedItems containsSemiMixedTypes="0" containsString="0" containsNumber="1" containsInteger="1" minValue="0" maxValue="345"/>
    </cacheField>
    <cacheField name="93" numFmtId="165">
      <sharedItems containsSemiMixedTypes="0" containsString="0" containsNumber="1" containsInteger="1" minValue="0" maxValue="345"/>
    </cacheField>
    <cacheField name="103" numFmtId="165">
      <sharedItems containsSemiMixedTypes="0" containsString="0" containsNumber="1" containsInteger="1" minValue="0" maxValue="345"/>
    </cacheField>
    <cacheField name="113" numFmtId="165">
      <sharedItems containsSemiMixedTypes="0" containsString="0" containsNumber="1" containsInteger="1" minValue="0" maxValue="0"/>
    </cacheField>
    <cacheField name="123" numFmtId="165">
      <sharedItems containsSemiMixedTypes="0" containsString="0" containsNumber="1" containsInteger="1" minValue="0" maxValue="345"/>
    </cacheField>
    <cacheField name="133" numFmtId="165">
      <sharedItems containsSemiMixedTypes="0" containsString="0" containsNumber="1" containsInteger="1" minValue="0" maxValue="345"/>
    </cacheField>
    <cacheField name="143" numFmtId="165">
      <sharedItems containsSemiMixedTypes="0" containsString="0" containsNumber="1" containsInteger="1" minValue="0" maxValue="345"/>
    </cacheField>
    <cacheField name="153" numFmtId="165">
      <sharedItems containsSemiMixedTypes="0" containsString="0" containsNumber="1" containsInteger="1" minValue="0" maxValue="345"/>
    </cacheField>
    <cacheField name="163" numFmtId="165">
      <sharedItems containsSemiMixedTypes="0" containsString="0" containsNumber="1" containsInteger="1" minValue="0" maxValue="345"/>
    </cacheField>
    <cacheField name="173" numFmtId="165">
      <sharedItems containsSemiMixedTypes="0" containsString="0" containsNumber="1" containsInteger="1" minValue="0" maxValue="0"/>
    </cacheField>
    <cacheField name="183" numFmtId="165">
      <sharedItems containsSemiMixedTypes="0" containsString="0" containsNumber="1" containsInteger="1" minValue="0" maxValue="0"/>
    </cacheField>
    <cacheField name="193" numFmtId="165">
      <sharedItems containsSemiMixedTypes="0" containsString="0" containsNumber="1" containsInteger="1" minValue="0" maxValue="345"/>
    </cacheField>
    <cacheField name="203" numFmtId="165">
      <sharedItems containsSemiMixedTypes="0" containsString="0" containsNumber="1" containsInteger="1" minValue="0" maxValue="345"/>
    </cacheField>
    <cacheField name="213" numFmtId="165">
      <sharedItems containsSemiMixedTypes="0" containsString="0" containsNumber="1" containsInteger="1" minValue="0" maxValue="345"/>
    </cacheField>
    <cacheField name="223" numFmtId="165">
      <sharedItems containsSemiMixedTypes="0" containsString="0" containsNumber="1" containsInteger="1" minValue="0" maxValue="345"/>
    </cacheField>
    <cacheField name="233" numFmtId="165">
      <sharedItems containsSemiMixedTypes="0" containsString="0" containsNumber="1" containsInteger="1" minValue="0" maxValue="345"/>
    </cacheField>
    <cacheField name="243" numFmtId="165">
      <sharedItems containsSemiMixedTypes="0" containsString="0" containsNumber="1" containsInteger="1" minValue="0" maxValue="0"/>
    </cacheField>
    <cacheField name="253" numFmtId="165">
      <sharedItems containsSemiMixedTypes="0" containsString="0" containsNumber="1" containsInteger="1" minValue="0" maxValue="0"/>
    </cacheField>
    <cacheField name="263" numFmtId="165">
      <sharedItems containsSemiMixedTypes="0" containsString="0" containsNumber="1" containsInteger="1" minValue="0" maxValue="345"/>
    </cacheField>
    <cacheField name="273" numFmtId="165">
      <sharedItems containsSemiMixedTypes="0" containsString="0" containsNumber="1" containsInteger="1" minValue="0" maxValue="345"/>
    </cacheField>
    <cacheField name="283" numFmtId="165">
      <sharedItems containsSemiMixedTypes="0" containsString="0" containsNumber="1" containsInteger="1" minValue="0" maxValue="345"/>
    </cacheField>
    <cacheField name="293" numFmtId="165">
      <sharedItems containsSemiMixedTypes="0" containsString="0" containsNumber="1" containsInteger="1" minValue="0" maxValue="345"/>
    </cacheField>
    <cacheField name="303" numFmtId="165">
      <sharedItems containsSemiMixedTypes="0" containsString="0" containsNumber="1" containsInteger="1" minValue="0" maxValue="345"/>
    </cacheField>
    <cacheField name="313" numFmtId="165">
      <sharedItems containsSemiMixedTypes="0" containsString="0" containsNumber="1" containsInteger="1" minValue="0" maxValue="345"/>
    </cacheField>
    <cacheField name="N+2" numFmtId="165">
      <sharedItems containsSemiMixedTypes="0" containsString="0" containsNumber="1" containsInteger="1" minValue="0" maxValue="7590"/>
    </cacheField>
    <cacheField name="114" numFmtId="165">
      <sharedItems containsSemiMixedTypes="0" containsString="0" containsNumber="1" containsInteger="1" minValue="0" maxValue="0"/>
    </cacheField>
    <cacheField name="214" numFmtId="165">
      <sharedItems containsSemiMixedTypes="0" containsString="0" containsNumber="1" containsInteger="1" minValue="0" maxValue="0"/>
    </cacheField>
    <cacheField name="34" numFmtId="165">
      <sharedItems containsSemiMixedTypes="0" containsString="0" containsNumber="1" containsInteger="1" minValue="0" maxValue="0"/>
    </cacheField>
    <cacheField name="44" numFmtId="165">
      <sharedItems containsSemiMixedTypes="0" containsString="0" containsNumber="1" containsInteger="1" minValue="0" maxValue="433"/>
    </cacheField>
    <cacheField name="54" numFmtId="165">
      <sharedItems containsSemiMixedTypes="0" containsString="0" containsNumber="1" containsInteger="1" minValue="0" maxValue="433"/>
    </cacheField>
    <cacheField name="64" numFmtId="165">
      <sharedItems containsSemiMixedTypes="0" containsString="0" containsNumber="1" containsInteger="1" minValue="0" maxValue="433"/>
    </cacheField>
    <cacheField name="74" numFmtId="165">
      <sharedItems containsSemiMixedTypes="0" containsString="0" containsNumber="1" containsInteger="1" minValue="0" maxValue="433"/>
    </cacheField>
    <cacheField name="84" numFmtId="165">
      <sharedItems containsSemiMixedTypes="0" containsString="0" containsNumber="1" containsInteger="1" minValue="0" maxValue="0"/>
    </cacheField>
    <cacheField name="94" numFmtId="165">
      <sharedItems containsSemiMixedTypes="0" containsString="0" containsNumber="1" containsInteger="1" minValue="0" maxValue="433"/>
    </cacheField>
    <cacheField name="104" numFmtId="165">
      <sharedItems containsSemiMixedTypes="0" containsString="0" containsNumber="1" containsInteger="1" minValue="0" maxValue="433"/>
    </cacheField>
    <cacheField name="115" numFmtId="165">
      <sharedItems containsSemiMixedTypes="0" containsString="0" containsNumber="1" containsInteger="1" minValue="0" maxValue="433"/>
    </cacheField>
    <cacheField name="124" numFmtId="165">
      <sharedItems containsSemiMixedTypes="0" containsString="0" containsNumber="1" containsInteger="1" minValue="0" maxValue="433"/>
    </cacheField>
    <cacheField name="134" numFmtId="165">
      <sharedItems containsSemiMixedTypes="0" containsString="0" containsNumber="1" containsInteger="1" minValue="0" maxValue="433"/>
    </cacheField>
    <cacheField name="144" numFmtId="165">
      <sharedItems containsSemiMixedTypes="0" containsString="0" containsNumber="1" containsInteger="1" minValue="0" maxValue="0"/>
    </cacheField>
    <cacheField name="154" numFmtId="165">
      <sharedItems containsSemiMixedTypes="0" containsString="0" containsNumber="1" containsInteger="1" minValue="0" maxValue="0"/>
    </cacheField>
    <cacheField name="164" numFmtId="165">
      <sharedItems containsSemiMixedTypes="0" containsString="0" containsNumber="1" containsInteger="1" minValue="0" maxValue="433"/>
    </cacheField>
    <cacheField name="174" numFmtId="165">
      <sharedItems containsSemiMixedTypes="0" containsString="0" containsNumber="1" containsInteger="1" minValue="0" maxValue="433"/>
    </cacheField>
    <cacheField name="184" numFmtId="165">
      <sharedItems containsSemiMixedTypes="0" containsString="0" containsNumber="1" containsInteger="1" minValue="0" maxValue="433"/>
    </cacheField>
    <cacheField name="194" numFmtId="165">
      <sharedItems containsSemiMixedTypes="0" containsString="0" containsNumber="1" containsInteger="1" minValue="0" maxValue="433"/>
    </cacheField>
    <cacheField name="204" numFmtId="165">
      <sharedItems containsSemiMixedTypes="0" containsString="0" containsNumber="1" containsInteger="1" minValue="0" maxValue="433"/>
    </cacheField>
    <cacheField name="215" numFmtId="165">
      <sharedItems containsSemiMixedTypes="0" containsString="0" containsNumber="1" containsInteger="1" minValue="0" maxValue="433"/>
    </cacheField>
    <cacheField name="224" numFmtId="165">
      <sharedItems containsSemiMixedTypes="0" containsString="0" containsNumber="1" containsInteger="1" minValue="0" maxValue="0"/>
    </cacheField>
    <cacheField name="234" numFmtId="165">
      <sharedItems containsSemiMixedTypes="0" containsString="0" containsNumber="1" containsInteger="1" minValue="0" maxValue="433"/>
    </cacheField>
    <cacheField name="244" numFmtId="165">
      <sharedItems containsSemiMixedTypes="0" containsString="0" containsNumber="1" containsInteger="1" minValue="0" maxValue="432"/>
    </cacheField>
    <cacheField name="254" numFmtId="165">
      <sharedItems containsSemiMixedTypes="0" containsString="0" containsNumber="1" containsInteger="1" minValue="0" maxValue="433"/>
    </cacheField>
    <cacheField name="264" numFmtId="165">
      <sharedItems containsSemiMixedTypes="0" containsString="0" containsNumber="1" containsInteger="1" minValue="0" maxValue="432"/>
    </cacheField>
    <cacheField name="274" numFmtId="165">
      <sharedItems containsSemiMixedTypes="0" containsString="0" containsNumber="1" containsInteger="1" minValue="0" maxValue="433"/>
    </cacheField>
    <cacheField name="284" numFmtId="165">
      <sharedItems containsSemiMixedTypes="0" containsString="0" containsNumber="1" containsInteger="1" minValue="0" maxValue="0"/>
    </cacheField>
    <cacheField name="294" numFmtId="165">
      <sharedItems containsSemiMixedTypes="0" containsString="0" containsNumber="1" containsInteger="1" minValue="0" maxValue="0"/>
    </cacheField>
    <cacheField name="304" numFmtId="165">
      <sharedItems containsSemiMixedTypes="0" containsString="0" containsNumber="1" containsInteger="1" minValue="0" maxValue="432"/>
    </cacheField>
    <cacheField name="314" numFmtId="165">
      <sharedItems containsSemiMixedTypes="0" containsString="0" containsNumber="1" containsInteger="1" minValue="0" maxValue="0"/>
    </cacheField>
    <cacheField name="N+3" numFmtId="165">
      <sharedItems containsSemiMixedTypes="0" containsString="0" containsNumber="1" containsInteger="1" minValue="0" maxValue="90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dhathai Niphitakul" refreshedDate="46047.830297337961" createdVersion="8" refreshedVersion="8" minRefreshableVersion="3" recordCount="47" xr:uid="{00000000-000A-0000-FFFF-FFFF01000000}">
  <cacheSource type="worksheet">
    <worksheetSource ref="B2:EG49" sheet="Analyze"/>
  </cacheSource>
  <cacheFields count="136">
    <cacheField name="PART NUMBER" numFmtId="0">
      <sharedItems count="20">
        <s v="86790-0K051-00"/>
        <s v="86790-0K080-00"/>
        <s v="86790-0K110-00"/>
        <s v="86790-0K141-00"/>
        <s v="86790-0K171-00"/>
        <s v="86790-0K181-00"/>
        <s v="86790-0K190-00"/>
        <s v="86790-0K230-00"/>
        <s v="86790-0K310-00"/>
        <s v="86790-0K400-00"/>
        <s v="86790-0K220-00"/>
        <s v="86790-0K120-00"/>
        <s v="86790-0K200-00"/>
        <s v="86790-BZ310-00"/>
        <s v="86790-BZ271-00"/>
        <s v="86790-BZ280-00"/>
        <s v="86790-BZ210-00"/>
        <s v="86790-BZ220-00"/>
        <s v="86790-BZ321-00"/>
        <s v="86790-BZ350-00"/>
      </sharedItems>
    </cacheField>
    <cacheField name="PART CODE" numFmtId="0">
      <sharedItems/>
    </cacheField>
    <cacheField name="PART DESC" numFmtId="0">
      <sharedItems/>
    </cacheField>
    <cacheField name="SUPP CODE" numFmtId="0">
      <sharedItems/>
    </cacheField>
    <cacheField name="SHIPPING DOCK" numFmtId="0">
      <sharedItems containsBlank="1"/>
    </cacheField>
    <cacheField name="DOCK CODE" numFmtId="0">
      <sharedItems/>
    </cacheField>
    <cacheField name="CAR FAMILY" numFmtId="0">
      <sharedItems/>
    </cacheField>
    <cacheField name="PACKING SIZE" numFmtId="165">
      <sharedItems containsSemiMixedTypes="0" containsString="0" containsNumber="1" containsInteger="1" minValue="1" maxValue="84"/>
    </cacheField>
    <cacheField name="1" numFmtId="165">
      <sharedItems containsSemiMixedTypes="0" containsString="0" containsNumber="1" containsInteger="1" minValue="0" maxValue="0"/>
    </cacheField>
    <cacheField name="2" numFmtId="165">
      <sharedItems containsSemiMixedTypes="0" containsString="0" containsNumber="1" containsInteger="1" minValue="0" maxValue="410"/>
    </cacheField>
    <cacheField name="3" numFmtId="165">
      <sharedItems containsSemiMixedTypes="0" containsString="0" containsNumber="1" containsInteger="1" minValue="0" maxValue="430"/>
    </cacheField>
    <cacheField name="4" numFmtId="165">
      <sharedItems containsSemiMixedTypes="0" containsString="0" containsNumber="1" containsInteger="1" minValue="0" maxValue="390"/>
    </cacheField>
    <cacheField name="5" numFmtId="165">
      <sharedItems containsSemiMixedTypes="0" containsString="0" containsNumber="1" containsInteger="1" minValue="0" maxValue="400"/>
    </cacheField>
    <cacheField name="6" numFmtId="165">
      <sharedItems containsSemiMixedTypes="0" containsString="0" containsNumber="1" containsInteger="1" minValue="0" maxValue="390"/>
    </cacheField>
    <cacheField name="7" numFmtId="165">
      <sharedItems containsSemiMixedTypes="0" containsString="0" containsNumber="1" containsInteger="1" minValue="0" maxValue="0"/>
    </cacheField>
    <cacheField name="8" numFmtId="165">
      <sharedItems containsSemiMixedTypes="0" containsString="0" containsNumber="1" containsInteger="1" minValue="0" maxValue="0"/>
    </cacheField>
    <cacheField name="9" numFmtId="165">
      <sharedItems containsSemiMixedTypes="0" containsString="0" containsNumber="1" containsInteger="1" minValue="0" maxValue="420"/>
    </cacheField>
    <cacheField name="10" numFmtId="165">
      <sharedItems containsSemiMixedTypes="0" containsString="0" containsNumber="1" containsInteger="1" minValue="0" maxValue="390"/>
    </cacheField>
    <cacheField name="11" numFmtId="165">
      <sharedItems containsSemiMixedTypes="0" containsString="0" containsNumber="1" containsInteger="1" minValue="0" maxValue="410"/>
    </cacheField>
    <cacheField name="12" numFmtId="165">
      <sharedItems containsSemiMixedTypes="0" containsString="0" containsNumber="1" containsInteger="1" minValue="0" maxValue="410"/>
    </cacheField>
    <cacheField name="13" numFmtId="165">
      <sharedItems containsSemiMixedTypes="0" containsString="0" containsNumber="1" containsInteger="1" minValue="0" maxValue="350"/>
    </cacheField>
    <cacheField name="14" numFmtId="165">
      <sharedItems containsSemiMixedTypes="0" containsString="0" containsNumber="1" containsInteger="1" minValue="0" maxValue="420"/>
    </cacheField>
    <cacheField name="15" numFmtId="165">
      <sharedItems containsSemiMixedTypes="0" containsString="0" containsNumber="1" containsInteger="1" minValue="0" maxValue="0"/>
    </cacheField>
    <cacheField name="16" numFmtId="165">
      <sharedItems containsSemiMixedTypes="0" containsString="0" containsNumber="1" containsInteger="1" minValue="0" maxValue="320"/>
    </cacheField>
    <cacheField name="17" numFmtId="165">
      <sharedItems containsSemiMixedTypes="0" containsString="0" containsNumber="1" containsInteger="1" minValue="0" maxValue="360"/>
    </cacheField>
    <cacheField name="18" numFmtId="165">
      <sharedItems containsSemiMixedTypes="0" containsString="0" containsNumber="1" containsInteger="1" minValue="0" maxValue="380"/>
    </cacheField>
    <cacheField name="19" numFmtId="165">
      <sharedItems containsSemiMixedTypes="0" containsString="0" containsNumber="1" containsInteger="1" minValue="0" maxValue="340"/>
    </cacheField>
    <cacheField name="20" numFmtId="165">
      <sharedItems containsSemiMixedTypes="0" containsString="0" containsNumber="1" containsInteger="1" minValue="0" maxValue="350"/>
    </cacheField>
    <cacheField name="21" numFmtId="165">
      <sharedItems containsSemiMixedTypes="0" containsString="0" containsNumber="1" containsInteger="1" minValue="0" maxValue="0"/>
    </cacheField>
    <cacheField name="22" numFmtId="165">
      <sharedItems containsSemiMixedTypes="0" containsString="0" containsNumber="1" containsInteger="1" minValue="0" maxValue="0"/>
    </cacheField>
    <cacheField name="23" numFmtId="165">
      <sharedItems containsSemiMixedTypes="0" containsString="0" containsNumber="1" containsInteger="1" minValue="0" maxValue="330"/>
    </cacheField>
    <cacheField name="24" numFmtId="165">
      <sharedItems containsSemiMixedTypes="0" containsString="0" containsNumber="1" containsInteger="1" minValue="0" maxValue="350"/>
    </cacheField>
    <cacheField name="25" numFmtId="165">
      <sharedItems containsSemiMixedTypes="0" containsString="0" containsNumber="1" containsInteger="1" minValue="0" maxValue="350"/>
    </cacheField>
    <cacheField name="26" numFmtId="165">
      <sharedItems containsSemiMixedTypes="0" containsString="0" containsNumber="1" containsInteger="1" minValue="0" maxValue="360"/>
    </cacheField>
    <cacheField name="27" numFmtId="165">
      <sharedItems containsSemiMixedTypes="0" containsString="0" containsNumber="1" containsInteger="1" minValue="0" maxValue="340"/>
    </cacheField>
    <cacheField name="28" numFmtId="165">
      <sharedItems containsSemiMixedTypes="0" containsString="0" containsNumber="1" containsInteger="1" minValue="0" maxValue="330"/>
    </cacheField>
    <cacheField name="29" numFmtId="165">
      <sharedItems containsSemiMixedTypes="0" containsString="0" containsNumber="1" containsInteger="1" minValue="0" maxValue="0"/>
    </cacheField>
    <cacheField name="30" numFmtId="165">
      <sharedItems containsSemiMixedTypes="0" containsString="0" containsNumber="1" containsInteger="1" minValue="0" maxValue="0"/>
    </cacheField>
    <cacheField name="31" numFmtId="165">
      <sharedItems containsSemiMixedTypes="0" containsString="0" containsNumber="1" containsInteger="1" minValue="0" maxValue="0"/>
    </cacheField>
    <cacheField name="N" numFmtId="165">
      <sharedItems containsSemiMixedTypes="0" containsString="0" containsNumber="1" containsInteger="1" minValue="0" maxValue="8210"/>
    </cacheField>
    <cacheField name="110" numFmtId="165">
      <sharedItems containsSemiMixedTypes="0" containsString="0" containsNumber="1" containsInteger="1" minValue="0" maxValue="0"/>
    </cacheField>
    <cacheField name="210" numFmtId="165">
      <sharedItems containsSemiMixedTypes="0" containsString="0" containsNumber="1" containsInteger="1" minValue="0" maxValue="0"/>
    </cacheField>
    <cacheField name="32" numFmtId="165">
      <sharedItems containsSemiMixedTypes="0" containsString="0" containsNumber="1" containsInteger="1" minValue="0" maxValue="260"/>
    </cacheField>
    <cacheField name="42" numFmtId="165">
      <sharedItems containsSemiMixedTypes="0" containsString="0" containsNumber="1" containsInteger="1" minValue="0" maxValue="321"/>
    </cacheField>
    <cacheField name="52" numFmtId="165">
      <sharedItems containsSemiMixedTypes="0" containsString="0" containsNumber="1" containsInteger="1" minValue="0" maxValue="325"/>
    </cacheField>
    <cacheField name="62" numFmtId="165">
      <sharedItems containsSemiMixedTypes="0" containsString="0" containsNumber="1" containsInteger="1" minValue="0" maxValue="360"/>
    </cacheField>
    <cacheField name="72" numFmtId="165">
      <sharedItems containsSemiMixedTypes="0" containsString="0" containsNumber="1" containsInteger="1" minValue="0" maxValue="150"/>
    </cacheField>
    <cacheField name="82" numFmtId="165">
      <sharedItems containsSemiMixedTypes="0" containsString="0" containsNumber="1" containsInteger="1" minValue="0" maxValue="0"/>
    </cacheField>
    <cacheField name="92" numFmtId="165">
      <sharedItems containsSemiMixedTypes="0" containsString="0" containsNumber="1" containsInteger="1" minValue="0" maxValue="330"/>
    </cacheField>
    <cacheField name="102" numFmtId="165">
      <sharedItems containsSemiMixedTypes="0" containsString="0" containsNumber="1" containsInteger="1" minValue="0" maxValue="360"/>
    </cacheField>
    <cacheField name="112" numFmtId="165">
      <sharedItems containsSemiMixedTypes="0" containsString="0" containsNumber="1" containsInteger="1" minValue="0" maxValue="330"/>
    </cacheField>
    <cacheField name="122" numFmtId="165">
      <sharedItems containsSemiMixedTypes="0" containsString="0" containsNumber="1" containsInteger="1" minValue="0" maxValue="360"/>
    </cacheField>
    <cacheField name="132" numFmtId="165">
      <sharedItems containsSemiMixedTypes="0" containsString="0" containsNumber="1" containsInteger="1" minValue="0" maxValue="360"/>
    </cacheField>
    <cacheField name="142" numFmtId="165">
      <sharedItems containsSemiMixedTypes="0" containsString="0" containsNumber="1" containsInteger="1" minValue="0" maxValue="360"/>
    </cacheField>
    <cacheField name="152" numFmtId="165">
      <sharedItems containsSemiMixedTypes="0" containsString="0" containsNumber="1" containsInteger="1" minValue="0" maxValue="0"/>
    </cacheField>
    <cacheField name="162" numFmtId="165">
      <sharedItems containsSemiMixedTypes="0" containsString="0" containsNumber="1" containsInteger="1" minValue="0" maxValue="330"/>
    </cacheField>
    <cacheField name="172" numFmtId="165">
      <sharedItems containsSemiMixedTypes="0" containsString="0" containsNumber="1" containsInteger="1" minValue="0" maxValue="390"/>
    </cacheField>
    <cacheField name="182" numFmtId="165">
      <sharedItems containsSemiMixedTypes="0" containsString="0" containsNumber="1" containsInteger="1" minValue="0" maxValue="360"/>
    </cacheField>
    <cacheField name="192" numFmtId="165">
      <sharedItems containsSemiMixedTypes="0" containsString="0" containsNumber="1" containsInteger="1" minValue="0" maxValue="330"/>
    </cacheField>
    <cacheField name="202" numFmtId="165">
      <sharedItems containsSemiMixedTypes="0" containsString="0" containsNumber="1" containsInteger="1" minValue="0" maxValue="360"/>
    </cacheField>
    <cacheField name="212" numFmtId="165">
      <sharedItems containsSemiMixedTypes="0" containsString="0" containsNumber="1" containsInteger="1" minValue="0" maxValue="158"/>
    </cacheField>
    <cacheField name="222" numFmtId="165">
      <sharedItems containsSemiMixedTypes="0" containsString="0" containsNumber="1" containsInteger="1" minValue="0" maxValue="0"/>
    </cacheField>
    <cacheField name="232" numFmtId="165">
      <sharedItems containsSemiMixedTypes="0" containsString="0" containsNumber="1" containsInteger="1" minValue="0" maxValue="360"/>
    </cacheField>
    <cacheField name="242" numFmtId="165">
      <sharedItems containsSemiMixedTypes="0" containsString="0" containsNumber="1" containsInteger="1" minValue="0" maxValue="360"/>
    </cacheField>
    <cacheField name="252" numFmtId="165">
      <sharedItems containsSemiMixedTypes="0" containsString="0" containsNumber="1" containsInteger="1" minValue="0" maxValue="330"/>
    </cacheField>
    <cacheField name="262" numFmtId="165">
      <sharedItems containsSemiMixedTypes="0" containsString="0" containsNumber="1" containsInteger="1" minValue="0" maxValue="390"/>
    </cacheField>
    <cacheField name="272" numFmtId="165">
      <sharedItems containsSemiMixedTypes="0" containsString="0" containsNumber="1" containsInteger="1" minValue="0" maxValue="360"/>
    </cacheField>
    <cacheField name="282" numFmtId="165">
      <sharedItems containsSemiMixedTypes="0" containsString="0" containsNumber="1" containsInteger="1" minValue="0" maxValue="330"/>
    </cacheField>
    <cacheField name="292" numFmtId="165">
      <sharedItems containsSemiMixedTypes="0" containsString="0" containsNumber="1" containsInteger="1" minValue="0" maxValue="0"/>
    </cacheField>
    <cacheField name="302" numFmtId="165">
      <sharedItems containsSemiMixedTypes="0" containsString="0" containsNumber="1" containsInteger="1" minValue="0" maxValue="360"/>
    </cacheField>
    <cacheField name="312" numFmtId="165">
      <sharedItems containsSemiMixedTypes="0" containsString="0" containsNumber="1" containsInteger="1" minValue="0" maxValue="283"/>
    </cacheField>
    <cacheField name="N+1" numFmtId="165">
      <sharedItems containsSemiMixedTypes="0" containsString="0" containsNumber="1" containsInteger="1" minValue="0" maxValue="7980"/>
    </cacheField>
    <cacheField name="111" numFmtId="165">
      <sharedItems containsSemiMixedTypes="0" containsString="0" containsNumber="1" containsInteger="1" minValue="0" maxValue="303"/>
    </cacheField>
    <cacheField name="211" numFmtId="165">
      <sharedItems containsSemiMixedTypes="0" containsString="0" containsNumber="1" containsInteger="1" minValue="0" maxValue="303"/>
    </cacheField>
    <cacheField name="33" numFmtId="165">
      <sharedItems containsSemiMixedTypes="0" containsString="0" containsNumber="1" containsInteger="1" minValue="0" maxValue="303"/>
    </cacheField>
    <cacheField name="43" numFmtId="165">
      <sharedItems containsSemiMixedTypes="0" containsString="0" containsNumber="1" containsInteger="1" minValue="0" maxValue="152"/>
    </cacheField>
    <cacheField name="53" numFmtId="165">
      <sharedItems containsSemiMixedTypes="0" containsString="0" containsNumber="1" containsInteger="1" minValue="0" maxValue="0"/>
    </cacheField>
    <cacheField name="63" numFmtId="165">
      <sharedItems containsSemiMixedTypes="0" containsString="0" containsNumber="1" containsInteger="1" minValue="0" maxValue="303"/>
    </cacheField>
    <cacheField name="73" numFmtId="165">
      <sharedItems containsSemiMixedTypes="0" containsString="0" containsNumber="1" containsInteger="1" minValue="0" maxValue="303"/>
    </cacheField>
    <cacheField name="83" numFmtId="165">
      <sharedItems containsSemiMixedTypes="0" containsString="0" containsNumber="1" containsInteger="1" minValue="0" maxValue="303"/>
    </cacheField>
    <cacheField name="93" numFmtId="165">
      <sharedItems containsSemiMixedTypes="0" containsString="0" containsNumber="1" containsInteger="1" minValue="0" maxValue="303"/>
    </cacheField>
    <cacheField name="103" numFmtId="165">
      <sharedItems containsSemiMixedTypes="0" containsString="0" containsNumber="1" containsInteger="1" minValue="0" maxValue="303"/>
    </cacheField>
    <cacheField name="113" numFmtId="165">
      <sharedItems containsSemiMixedTypes="0" containsString="0" containsNumber="1" containsInteger="1" minValue="0" maxValue="0"/>
    </cacheField>
    <cacheField name="123" numFmtId="165">
      <sharedItems containsSemiMixedTypes="0" containsString="0" containsNumber="1" containsInteger="1" minValue="0" maxValue="0"/>
    </cacheField>
    <cacheField name="133" numFmtId="165">
      <sharedItems containsSemiMixedTypes="0" containsString="0" containsNumber="1" containsInteger="1" minValue="0" maxValue="0"/>
    </cacheField>
    <cacheField name="143" numFmtId="165">
      <sharedItems containsSemiMixedTypes="0" containsString="0" containsNumber="1" containsInteger="1" minValue="0" maxValue="0"/>
    </cacheField>
    <cacheField name="153" numFmtId="165">
      <sharedItems containsSemiMixedTypes="0" containsString="0" containsNumber="1" containsInteger="1" minValue="0" maxValue="0"/>
    </cacheField>
    <cacheField name="163" numFmtId="165">
      <sharedItems containsSemiMixedTypes="0" containsString="0" containsNumber="1" containsInteger="1" minValue="0" maxValue="0"/>
    </cacheField>
    <cacheField name="173" numFmtId="165">
      <sharedItems containsSemiMixedTypes="0" containsString="0" containsNumber="1" containsInteger="1" minValue="0" maxValue="0"/>
    </cacheField>
    <cacheField name="183" numFmtId="165">
      <sharedItems containsSemiMixedTypes="0" containsString="0" containsNumber="1" containsInteger="1" minValue="0" maxValue="0"/>
    </cacheField>
    <cacheField name="193" numFmtId="165">
      <sharedItems containsSemiMixedTypes="0" containsString="0" containsNumber="1" containsInteger="1" minValue="0" maxValue="0"/>
    </cacheField>
    <cacheField name="203" numFmtId="165">
      <sharedItems containsSemiMixedTypes="0" containsString="0" containsNumber="1" containsInteger="1" minValue="0" maxValue="303"/>
    </cacheField>
    <cacheField name="213" numFmtId="165">
      <sharedItems containsSemiMixedTypes="0" containsString="0" containsNumber="1" containsInteger="1" minValue="0" maxValue="303"/>
    </cacheField>
    <cacheField name="223" numFmtId="165">
      <sharedItems containsSemiMixedTypes="0" containsString="0" containsNumber="1" containsInteger="1" minValue="0" maxValue="304"/>
    </cacheField>
    <cacheField name="233" numFmtId="165">
      <sharedItems containsSemiMixedTypes="0" containsString="0" containsNumber="1" containsInteger="1" minValue="0" maxValue="303"/>
    </cacheField>
    <cacheField name="243" numFmtId="165">
      <sharedItems containsSemiMixedTypes="0" containsString="0" containsNumber="1" containsInteger="1" minValue="0" maxValue="304"/>
    </cacheField>
    <cacheField name="253" numFmtId="165">
      <sharedItems containsSemiMixedTypes="0" containsString="0" containsNumber="1" containsInteger="1" minValue="0" maxValue="303"/>
    </cacheField>
    <cacheField name="263" numFmtId="165">
      <sharedItems containsSemiMixedTypes="0" containsString="0" containsNumber="1" containsInteger="1" minValue="0" maxValue="0"/>
    </cacheField>
    <cacheField name="273" numFmtId="165">
      <sharedItems containsSemiMixedTypes="0" containsString="0" containsNumber="1" containsInteger="1" minValue="0" maxValue="304"/>
    </cacheField>
    <cacheField name="283" numFmtId="165">
      <sharedItems containsSemiMixedTypes="0" containsString="0" containsNumber="1" containsInteger="1" minValue="0" maxValue="303"/>
    </cacheField>
    <cacheField name="293" numFmtId="165">
      <sharedItems containsSemiMixedTypes="0" containsString="0" containsNumber="1" containsInteger="1" minValue="0" maxValue="304"/>
    </cacheField>
    <cacheField name="303" numFmtId="165">
      <sharedItems containsSemiMixedTypes="0" containsString="0" containsNumber="1" containsInteger="1" minValue="0" maxValue="303"/>
    </cacheField>
    <cacheField name="313" numFmtId="165">
      <sharedItems containsSemiMixedTypes="0" containsString="0" containsNumber="1" containsInteger="1" minValue="0" maxValue="0"/>
    </cacheField>
    <cacheField name="N+2" numFmtId="165">
      <sharedItems containsSemiMixedTypes="0" containsString="0" containsNumber="1" containsInteger="1" minValue="0" maxValue="5610"/>
    </cacheField>
    <cacheField name="114" numFmtId="165">
      <sharedItems containsSemiMixedTypes="0" containsString="0" containsNumber="1" containsInteger="1" minValue="0" maxValue="0"/>
    </cacheField>
    <cacheField name="214" numFmtId="165">
      <sharedItems containsSemiMixedTypes="0" containsString="0" containsNumber="1" containsInteger="1" minValue="0" maxValue="0"/>
    </cacheField>
    <cacheField name="34" numFmtId="165">
      <sharedItems containsSemiMixedTypes="0" containsString="0" containsNumber="1" containsInteger="1" minValue="0" maxValue="0"/>
    </cacheField>
    <cacheField name="44" numFmtId="165">
      <sharedItems containsSemiMixedTypes="0" containsString="0" containsNumber="1" containsInteger="1" minValue="0" maxValue="147"/>
    </cacheField>
    <cacheField name="54" numFmtId="165">
      <sharedItems containsSemiMixedTypes="0" containsString="0" containsNumber="1" containsInteger="1" minValue="0" maxValue="396"/>
    </cacheField>
    <cacheField name="64" numFmtId="165">
      <sharedItems containsSemiMixedTypes="0" containsString="0" containsNumber="1" containsInteger="1" minValue="0" maxValue="396"/>
    </cacheField>
    <cacheField name="74" numFmtId="165">
      <sharedItems containsSemiMixedTypes="0" containsString="0" containsNumber="1" containsInteger="1" minValue="0" maxValue="396"/>
    </cacheField>
    <cacheField name="84" numFmtId="165">
      <sharedItems containsSemiMixedTypes="0" containsString="0" containsNumber="1" containsInteger="1" minValue="0" maxValue="396"/>
    </cacheField>
    <cacheField name="94" numFmtId="165">
      <sharedItems containsSemiMixedTypes="0" containsString="0" containsNumber="1" containsInteger="1" minValue="0" maxValue="396"/>
    </cacheField>
    <cacheField name="104" numFmtId="165">
      <sharedItems containsSemiMixedTypes="0" containsString="0" containsNumber="1" containsInteger="1" minValue="0" maxValue="0"/>
    </cacheField>
    <cacheField name="115" numFmtId="165">
      <sharedItems containsSemiMixedTypes="0" containsString="0" containsNumber="1" containsInteger="1" minValue="0" maxValue="395"/>
    </cacheField>
    <cacheField name="124" numFmtId="165">
      <sharedItems containsSemiMixedTypes="0" containsString="0" containsNumber="1" containsInteger="1" minValue="0" maxValue="396"/>
    </cacheField>
    <cacheField name="134" numFmtId="165">
      <sharedItems containsSemiMixedTypes="0" containsString="0" containsNumber="1" containsInteger="1" minValue="0" maxValue="395"/>
    </cacheField>
    <cacheField name="144" numFmtId="165">
      <sharedItems containsSemiMixedTypes="0" containsString="0" containsNumber="1" containsInteger="1" minValue="0" maxValue="396"/>
    </cacheField>
    <cacheField name="154" numFmtId="165">
      <sharedItems containsSemiMixedTypes="0" containsString="0" containsNumber="1" containsInteger="1" minValue="0" maxValue="395"/>
    </cacheField>
    <cacheField name="164" numFmtId="165">
      <sharedItems containsSemiMixedTypes="0" containsString="0" containsNumber="1" containsInteger="1" minValue="0" maxValue="74"/>
    </cacheField>
    <cacheField name="174" numFmtId="165">
      <sharedItems containsSemiMixedTypes="0" containsString="0" containsNumber="1" containsInteger="1" minValue="0" maxValue="0"/>
    </cacheField>
    <cacheField name="184" numFmtId="165">
      <sharedItems containsSemiMixedTypes="0" containsString="0" containsNumber="1" containsInteger="1" minValue="0" maxValue="396"/>
    </cacheField>
    <cacheField name="194" numFmtId="165">
      <sharedItems containsSemiMixedTypes="0" containsString="0" containsNumber="1" containsInteger="1" minValue="0" maxValue="395"/>
    </cacheField>
    <cacheField name="204" numFmtId="165">
      <sharedItems containsSemiMixedTypes="0" containsString="0" containsNumber="1" containsInteger="1" minValue="0" maxValue="396"/>
    </cacheField>
    <cacheField name="215" numFmtId="165">
      <sharedItems containsSemiMixedTypes="0" containsString="0" containsNumber="1" containsInteger="1" minValue="0" maxValue="395"/>
    </cacheField>
    <cacheField name="224" numFmtId="165">
      <sharedItems containsSemiMixedTypes="0" containsString="0" containsNumber="1" containsInteger="1" minValue="0" maxValue="396"/>
    </cacheField>
    <cacheField name="234" numFmtId="165">
      <sharedItems containsSemiMixedTypes="0" containsString="0" containsNumber="1" containsInteger="1" minValue="0" maxValue="147"/>
    </cacheField>
    <cacheField name="244" numFmtId="165">
      <sharedItems containsSemiMixedTypes="0" containsString="0" containsNumber="1" containsInteger="1" minValue="0" maxValue="0"/>
    </cacheField>
    <cacheField name="254" numFmtId="165">
      <sharedItems containsSemiMixedTypes="0" containsString="0" containsNumber="1" containsInteger="1" minValue="0" maxValue="395"/>
    </cacheField>
    <cacheField name="264" numFmtId="165">
      <sharedItems containsSemiMixedTypes="0" containsString="0" containsNumber="1" containsInteger="1" minValue="0" maxValue="396"/>
    </cacheField>
    <cacheField name="274" numFmtId="165">
      <sharedItems containsSemiMixedTypes="0" containsString="0" containsNumber="1" containsInteger="1" minValue="0" maxValue="395"/>
    </cacheField>
    <cacheField name="284" numFmtId="165">
      <sharedItems containsSemiMixedTypes="0" containsString="0" containsNumber="1" containsInteger="1" minValue="0" maxValue="396"/>
    </cacheField>
    <cacheField name="294" numFmtId="165">
      <sharedItems containsSemiMixedTypes="0" containsString="0" containsNumber="1" containsInteger="1" minValue="0" maxValue="395"/>
    </cacheField>
    <cacheField name="304" numFmtId="165">
      <sharedItems containsSemiMixedTypes="0" containsString="0" containsNumber="1" containsInteger="1" minValue="0" maxValue="0"/>
    </cacheField>
    <cacheField name="314" numFmtId="165">
      <sharedItems containsSemiMixedTypes="0" containsString="0" containsNumber="1" containsInteger="1" minValue="0" maxValue="0"/>
    </cacheField>
    <cacheField name="N+3" numFmtId="165">
      <sharedItems containsSemiMixedTypes="0" containsString="0" containsNumber="1" containsInteger="1" minValue="0" maxValue="79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dhathai Niphitakul" refreshedDate="46047.835123958335" createdVersion="8" refreshedVersion="8" minRefreshableVersion="3" recordCount="53" xr:uid="{00000000-000A-0000-FFFF-FFFF02000000}">
  <cacheSource type="worksheet">
    <worksheetSource ref="A2:EG55" sheet="Analyze"/>
  </cacheSource>
  <cacheFields count="137">
    <cacheField name="PART NUMBERPlant" numFmtId="0">
      <sharedItems count="46">
        <s v="86790-0K051BP"/>
        <s v="86790-0K080BP"/>
        <s v="86790-0K110BP"/>
        <s v="86790-0K141BP"/>
        <s v="86790-0K171BP"/>
        <s v="86790-0K181BP"/>
        <s v="86790-0K190BP"/>
        <s v="86790-0K230BP"/>
        <s v="86790-0K310BP"/>
        <s v="86790-0K400BP"/>
        <s v="86790-0K220BPK"/>
        <s v="86790-0K051BPKTP1"/>
        <s v="86790-0K051BPKSN1"/>
        <s v="86790-0K110BPK"/>
        <s v="86790-0K110BPKTP1"/>
        <s v="86790-0K141BPKTP1"/>
        <s v="86790-0K120BPK"/>
        <s v="86790-0K141BPK"/>
        <s v="86790-0K171BPKTP1"/>
        <s v="86790-0K171BPK"/>
        <s v="86790-0K181BPK"/>
        <s v="86790-0K190BPK"/>
        <s v="86790-0K190BPKTP1"/>
        <s v="86790-0K200BPK"/>
        <s v="86790-0K230BPK"/>
        <s v="86790-BZ310BPK"/>
        <s v="86790-0K310BPK"/>
        <s v="86790-0K400BPK"/>
        <s v="86790-BZ271GW"/>
        <s v="86790-BZ280GW"/>
        <s v="86790-BZ210GW"/>
        <s v="86790-BZ220GW"/>
        <s v="86790-BZ310GWSN1"/>
        <s v="86790-BZ310GW"/>
        <s v="86790-BZ321GW"/>
        <s v="86790-BZ350GW"/>
        <s v="86790-0K051SR"/>
        <s v="86790-0K080SR"/>
        <s v="86790-0K141SR"/>
        <s v="86790-0K171SR"/>
        <s v="86790-0K310SR"/>
        <s v="86790-0K400SR"/>
        <s v=""/>
        <s v="86790-BZ270GW" u="1"/>
        <s v="86790-0K050BPKTP1" u="1"/>
        <s v="86790-BZ320GW" u="1"/>
      </sharedItems>
    </cacheField>
    <cacheField name="PART NUMBER" numFmtId="0">
      <sharedItems containsBlank="1"/>
    </cacheField>
    <cacheField name="PART CODE" numFmtId="0">
      <sharedItems containsBlank="1"/>
    </cacheField>
    <cacheField name="PART DESC" numFmtId="0">
      <sharedItems containsBlank="1"/>
    </cacheField>
    <cacheField name="SUPP CODE" numFmtId="0">
      <sharedItems containsBlank="1"/>
    </cacheField>
    <cacheField name="SHIPPING DOCK" numFmtId="0">
      <sharedItems containsBlank="1"/>
    </cacheField>
    <cacheField name="DOCK CODE" numFmtId="0">
      <sharedItems containsBlank="1"/>
    </cacheField>
    <cacheField name="CAR FAMILY" numFmtId="0">
      <sharedItems containsBlank="1"/>
    </cacheField>
    <cacheField name="PACKING SIZE" numFmtId="165">
      <sharedItems containsString="0" containsBlank="1" containsNumber="1" containsInteger="1" minValue="1" maxValue="84"/>
    </cacheField>
    <cacheField name="1" numFmtId="165">
      <sharedItems containsString="0" containsBlank="1" containsNumber="1" containsInteger="1" minValue="0" maxValue="0"/>
    </cacheField>
    <cacheField name="2" numFmtId="165">
      <sharedItems containsString="0" containsBlank="1" containsNumber="1" containsInteger="1" minValue="0" maxValue="410"/>
    </cacheField>
    <cacheField name="3" numFmtId="165">
      <sharedItems containsString="0" containsBlank="1" containsNumber="1" containsInteger="1" minValue="0" maxValue="430"/>
    </cacheField>
    <cacheField name="4" numFmtId="165">
      <sharedItems containsString="0" containsBlank="1" containsNumber="1" containsInteger="1" minValue="0" maxValue="390"/>
    </cacheField>
    <cacheField name="5" numFmtId="165">
      <sharedItems containsString="0" containsBlank="1" containsNumber="1" containsInteger="1" minValue="0" maxValue="400"/>
    </cacheField>
    <cacheField name="6" numFmtId="165">
      <sharedItems containsString="0" containsBlank="1" containsNumber="1" containsInteger="1" minValue="0" maxValue="390"/>
    </cacheField>
    <cacheField name="7" numFmtId="165">
      <sharedItems containsString="0" containsBlank="1" containsNumber="1" containsInteger="1" minValue="0" maxValue="0"/>
    </cacheField>
    <cacheField name="8" numFmtId="165">
      <sharedItems containsString="0" containsBlank="1" containsNumber="1" containsInteger="1" minValue="0" maxValue="0"/>
    </cacheField>
    <cacheField name="9" numFmtId="165">
      <sharedItems containsString="0" containsBlank="1" containsNumber="1" containsInteger="1" minValue="0" maxValue="420"/>
    </cacheField>
    <cacheField name="10" numFmtId="165">
      <sharedItems containsString="0" containsBlank="1" containsNumber="1" containsInteger="1" minValue="0" maxValue="390"/>
    </cacheField>
    <cacheField name="11" numFmtId="165">
      <sharedItems containsString="0" containsBlank="1" containsNumber="1" containsInteger="1" minValue="0" maxValue="410"/>
    </cacheField>
    <cacheField name="12" numFmtId="165">
      <sharedItems containsString="0" containsBlank="1" containsNumber="1" containsInteger="1" minValue="0" maxValue="410"/>
    </cacheField>
    <cacheField name="13" numFmtId="165">
      <sharedItems containsString="0" containsBlank="1" containsNumber="1" containsInteger="1" minValue="0" maxValue="350"/>
    </cacheField>
    <cacheField name="14" numFmtId="165">
      <sharedItems containsString="0" containsBlank="1" containsNumber="1" containsInteger="1" minValue="0" maxValue="420"/>
    </cacheField>
    <cacheField name="15" numFmtId="165">
      <sharedItems containsString="0" containsBlank="1" containsNumber="1" containsInteger="1" minValue="0" maxValue="0"/>
    </cacheField>
    <cacheField name="16" numFmtId="165">
      <sharedItems containsString="0" containsBlank="1" containsNumber="1" containsInteger="1" minValue="0" maxValue="320"/>
    </cacheField>
    <cacheField name="17" numFmtId="165">
      <sharedItems containsString="0" containsBlank="1" containsNumber="1" containsInteger="1" minValue="0" maxValue="360"/>
    </cacheField>
    <cacheField name="18" numFmtId="165">
      <sharedItems containsString="0" containsBlank="1" containsNumber="1" containsInteger="1" minValue="0" maxValue="380"/>
    </cacheField>
    <cacheField name="19" numFmtId="165">
      <sharedItems containsString="0" containsBlank="1" containsNumber="1" containsInteger="1" minValue="0" maxValue="340"/>
    </cacheField>
    <cacheField name="20" numFmtId="165">
      <sharedItems containsString="0" containsBlank="1" containsNumber="1" containsInteger="1" minValue="0" maxValue="350"/>
    </cacheField>
    <cacheField name="21" numFmtId="165">
      <sharedItems containsString="0" containsBlank="1" containsNumber="1" containsInteger="1" minValue="0" maxValue="0"/>
    </cacheField>
    <cacheField name="22" numFmtId="165">
      <sharedItems containsString="0" containsBlank="1" containsNumber="1" containsInteger="1" minValue="0" maxValue="0"/>
    </cacheField>
    <cacheField name="23" numFmtId="165">
      <sharedItems containsString="0" containsBlank="1" containsNumber="1" containsInteger="1" minValue="0" maxValue="330"/>
    </cacheField>
    <cacheField name="24" numFmtId="165">
      <sharedItems containsString="0" containsBlank="1" containsNumber="1" containsInteger="1" minValue="0" maxValue="350"/>
    </cacheField>
    <cacheField name="25" numFmtId="165">
      <sharedItems containsString="0" containsBlank="1" containsNumber="1" containsInteger="1" minValue="0" maxValue="350"/>
    </cacheField>
    <cacheField name="26" numFmtId="165">
      <sharedItems containsString="0" containsBlank="1" containsNumber="1" containsInteger="1" minValue="0" maxValue="360"/>
    </cacheField>
    <cacheField name="27" numFmtId="165">
      <sharedItems containsString="0" containsBlank="1" containsNumber="1" containsInteger="1" minValue="0" maxValue="340"/>
    </cacheField>
    <cacheField name="28" numFmtId="165">
      <sharedItems containsString="0" containsBlank="1" containsNumber="1" containsInteger="1" minValue="0" maxValue="330"/>
    </cacheField>
    <cacheField name="29" numFmtId="165">
      <sharedItems containsString="0" containsBlank="1" containsNumber="1" containsInteger="1" minValue="0" maxValue="0"/>
    </cacheField>
    <cacheField name="30" numFmtId="165">
      <sharedItems containsString="0" containsBlank="1" containsNumber="1" containsInteger="1" minValue="0" maxValue="0"/>
    </cacheField>
    <cacheField name="31" numFmtId="165">
      <sharedItems containsString="0" containsBlank="1" containsNumber="1" containsInteger="1" minValue="0" maxValue="0"/>
    </cacheField>
    <cacheField name="N" numFmtId="165">
      <sharedItems containsString="0" containsBlank="1" containsNumber="1" containsInteger="1" minValue="0" maxValue="8210"/>
    </cacheField>
    <cacheField name="110" numFmtId="165">
      <sharedItems containsString="0" containsBlank="1" containsNumber="1" containsInteger="1" minValue="0" maxValue="0"/>
    </cacheField>
    <cacheField name="210" numFmtId="165">
      <sharedItems containsString="0" containsBlank="1" containsNumber="1" containsInteger="1" minValue="0" maxValue="0"/>
    </cacheField>
    <cacheField name="32" numFmtId="165">
      <sharedItems containsString="0" containsBlank="1" containsNumber="1" containsInteger="1" minValue="0" maxValue="260"/>
    </cacheField>
    <cacheField name="42" numFmtId="165">
      <sharedItems containsString="0" containsBlank="1" containsNumber="1" containsInteger="1" minValue="0" maxValue="321"/>
    </cacheField>
    <cacheField name="52" numFmtId="165">
      <sharedItems containsString="0" containsBlank="1" containsNumber="1" containsInteger="1" minValue="0" maxValue="325"/>
    </cacheField>
    <cacheField name="62" numFmtId="165">
      <sharedItems containsString="0" containsBlank="1" containsNumber="1" containsInteger="1" minValue="0" maxValue="360"/>
    </cacheField>
    <cacheField name="72" numFmtId="165">
      <sharedItems containsString="0" containsBlank="1" containsNumber="1" containsInteger="1" minValue="0" maxValue="150"/>
    </cacheField>
    <cacheField name="82" numFmtId="165">
      <sharedItems containsString="0" containsBlank="1" containsNumber="1" containsInteger="1" minValue="0" maxValue="0"/>
    </cacheField>
    <cacheField name="92" numFmtId="165">
      <sharedItems containsString="0" containsBlank="1" containsNumber="1" containsInteger="1" minValue="0" maxValue="330"/>
    </cacheField>
    <cacheField name="102" numFmtId="165">
      <sharedItems containsString="0" containsBlank="1" containsNumber="1" containsInteger="1" minValue="0" maxValue="360"/>
    </cacheField>
    <cacheField name="112" numFmtId="165">
      <sharedItems containsString="0" containsBlank="1" containsNumber="1" containsInteger="1" minValue="0" maxValue="330"/>
    </cacheField>
    <cacheField name="122" numFmtId="165">
      <sharedItems containsString="0" containsBlank="1" containsNumber="1" containsInteger="1" minValue="0" maxValue="360"/>
    </cacheField>
    <cacheField name="132" numFmtId="165">
      <sharedItems containsString="0" containsBlank="1" containsNumber="1" containsInteger="1" minValue="0" maxValue="360"/>
    </cacheField>
    <cacheField name="142" numFmtId="165">
      <sharedItems containsString="0" containsBlank="1" containsNumber="1" containsInteger="1" minValue="0" maxValue="360"/>
    </cacheField>
    <cacheField name="152" numFmtId="165">
      <sharedItems containsString="0" containsBlank="1" containsNumber="1" containsInteger="1" minValue="0" maxValue="0"/>
    </cacheField>
    <cacheField name="162" numFmtId="165">
      <sharedItems containsString="0" containsBlank="1" containsNumber="1" containsInteger="1" minValue="0" maxValue="330"/>
    </cacheField>
    <cacheField name="172" numFmtId="165">
      <sharedItems containsString="0" containsBlank="1" containsNumber="1" containsInteger="1" minValue="0" maxValue="390"/>
    </cacheField>
    <cacheField name="182" numFmtId="165">
      <sharedItems containsString="0" containsBlank="1" containsNumber="1" containsInteger="1" minValue="0" maxValue="360"/>
    </cacheField>
    <cacheField name="192" numFmtId="165">
      <sharedItems containsString="0" containsBlank="1" containsNumber="1" containsInteger="1" minValue="0" maxValue="330"/>
    </cacheField>
    <cacheField name="202" numFmtId="165">
      <sharedItems containsString="0" containsBlank="1" containsNumber="1" containsInteger="1" minValue="0" maxValue="360"/>
    </cacheField>
    <cacheField name="212" numFmtId="165">
      <sharedItems containsString="0" containsBlank="1" containsNumber="1" containsInteger="1" minValue="0" maxValue="158"/>
    </cacheField>
    <cacheField name="222" numFmtId="165">
      <sharedItems containsString="0" containsBlank="1" containsNumber="1" containsInteger="1" minValue="0" maxValue="0"/>
    </cacheField>
    <cacheField name="232" numFmtId="165">
      <sharedItems containsString="0" containsBlank="1" containsNumber="1" containsInteger="1" minValue="0" maxValue="360"/>
    </cacheField>
    <cacheField name="242" numFmtId="165">
      <sharedItems containsString="0" containsBlank="1" containsNumber="1" containsInteger="1" minValue="0" maxValue="360"/>
    </cacheField>
    <cacheField name="252" numFmtId="165">
      <sharedItems containsString="0" containsBlank="1" containsNumber="1" containsInteger="1" minValue="0" maxValue="330"/>
    </cacheField>
    <cacheField name="262" numFmtId="165">
      <sharedItems containsString="0" containsBlank="1" containsNumber="1" containsInteger="1" minValue="0" maxValue="390"/>
    </cacheField>
    <cacheField name="272" numFmtId="165">
      <sharedItems containsString="0" containsBlank="1" containsNumber="1" containsInteger="1" minValue="0" maxValue="360"/>
    </cacheField>
    <cacheField name="282" numFmtId="165">
      <sharedItems containsString="0" containsBlank="1" containsNumber="1" containsInteger="1" minValue="0" maxValue="330"/>
    </cacheField>
    <cacheField name="292" numFmtId="165">
      <sharedItems containsString="0" containsBlank="1" containsNumber="1" containsInteger="1" minValue="0" maxValue="0"/>
    </cacheField>
    <cacheField name="302" numFmtId="165">
      <sharedItems containsString="0" containsBlank="1" containsNumber="1" containsInteger="1" minValue="0" maxValue="360"/>
    </cacheField>
    <cacheField name="312" numFmtId="165">
      <sharedItems containsString="0" containsBlank="1" containsNumber="1" containsInteger="1" minValue="0" maxValue="283"/>
    </cacheField>
    <cacheField name="N+1" numFmtId="165">
      <sharedItems containsString="0" containsBlank="1" containsNumber="1" containsInteger="1" minValue="0" maxValue="7980"/>
    </cacheField>
    <cacheField name="111" numFmtId="165">
      <sharedItems containsString="0" containsBlank="1" containsNumber="1" containsInteger="1" minValue="0" maxValue="303"/>
    </cacheField>
    <cacheField name="211" numFmtId="165">
      <sharedItems containsString="0" containsBlank="1" containsNumber="1" containsInteger="1" minValue="0" maxValue="303"/>
    </cacheField>
    <cacheField name="33" numFmtId="165">
      <sharedItems containsString="0" containsBlank="1" containsNumber="1" containsInteger="1" minValue="0" maxValue="303"/>
    </cacheField>
    <cacheField name="43" numFmtId="165">
      <sharedItems containsString="0" containsBlank="1" containsNumber="1" containsInteger="1" minValue="0" maxValue="152"/>
    </cacheField>
    <cacheField name="53" numFmtId="165">
      <sharedItems containsString="0" containsBlank="1" containsNumber="1" containsInteger="1" minValue="0" maxValue="0"/>
    </cacheField>
    <cacheField name="63" numFmtId="165">
      <sharedItems containsString="0" containsBlank="1" containsNumber="1" containsInteger="1" minValue="0" maxValue="303"/>
    </cacheField>
    <cacheField name="73" numFmtId="165">
      <sharedItems containsString="0" containsBlank="1" containsNumber="1" containsInteger="1" minValue="0" maxValue="303"/>
    </cacheField>
    <cacheField name="83" numFmtId="165">
      <sharedItems containsString="0" containsBlank="1" containsNumber="1" containsInteger="1" minValue="0" maxValue="303"/>
    </cacheField>
    <cacheField name="93" numFmtId="165">
      <sharedItems containsString="0" containsBlank="1" containsNumber="1" containsInteger="1" minValue="0" maxValue="303"/>
    </cacheField>
    <cacheField name="103" numFmtId="165">
      <sharedItems containsString="0" containsBlank="1" containsNumber="1" containsInteger="1" minValue="0" maxValue="303"/>
    </cacheField>
    <cacheField name="113" numFmtId="165">
      <sharedItems containsString="0" containsBlank="1" containsNumber="1" containsInteger="1" minValue="0" maxValue="0"/>
    </cacheField>
    <cacheField name="123" numFmtId="165">
      <sharedItems containsString="0" containsBlank="1" containsNumber="1" containsInteger="1" minValue="0" maxValue="0"/>
    </cacheField>
    <cacheField name="133" numFmtId="165">
      <sharedItems containsString="0" containsBlank="1" containsNumber="1" containsInteger="1" minValue="0" maxValue="0"/>
    </cacheField>
    <cacheField name="143" numFmtId="165">
      <sharedItems containsString="0" containsBlank="1" containsNumber="1" containsInteger="1" minValue="0" maxValue="0"/>
    </cacheField>
    <cacheField name="153" numFmtId="165">
      <sharedItems containsString="0" containsBlank="1" containsNumber="1" containsInteger="1" minValue="0" maxValue="0"/>
    </cacheField>
    <cacheField name="163" numFmtId="165">
      <sharedItems containsString="0" containsBlank="1" containsNumber="1" containsInteger="1" minValue="0" maxValue="0"/>
    </cacheField>
    <cacheField name="173" numFmtId="165">
      <sharedItems containsString="0" containsBlank="1" containsNumber="1" containsInteger="1" minValue="0" maxValue="0"/>
    </cacheField>
    <cacheField name="183" numFmtId="165">
      <sharedItems containsString="0" containsBlank="1" containsNumber="1" containsInteger="1" minValue="0" maxValue="0"/>
    </cacheField>
    <cacheField name="193" numFmtId="165">
      <sharedItems containsString="0" containsBlank="1" containsNumber="1" containsInteger="1" minValue="0" maxValue="0"/>
    </cacheField>
    <cacheField name="203" numFmtId="165">
      <sharedItems containsString="0" containsBlank="1" containsNumber="1" containsInteger="1" minValue="0" maxValue="303"/>
    </cacheField>
    <cacheField name="213" numFmtId="165">
      <sharedItems containsString="0" containsBlank="1" containsNumber="1" containsInteger="1" minValue="0" maxValue="303"/>
    </cacheField>
    <cacheField name="223" numFmtId="165">
      <sharedItems containsString="0" containsBlank="1" containsNumber="1" containsInteger="1" minValue="0" maxValue="304"/>
    </cacheField>
    <cacheField name="233" numFmtId="165">
      <sharedItems containsString="0" containsBlank="1" containsNumber="1" containsInteger="1" minValue="0" maxValue="303"/>
    </cacheField>
    <cacheField name="243" numFmtId="165">
      <sharedItems containsString="0" containsBlank="1" containsNumber="1" containsInteger="1" minValue="0" maxValue="304"/>
    </cacheField>
    <cacheField name="253" numFmtId="165">
      <sharedItems containsString="0" containsBlank="1" containsNumber="1" containsInteger="1" minValue="0" maxValue="303"/>
    </cacheField>
    <cacheField name="263" numFmtId="165">
      <sharedItems containsString="0" containsBlank="1" containsNumber="1" containsInteger="1" minValue="0" maxValue="0"/>
    </cacheField>
    <cacheField name="273" numFmtId="165">
      <sharedItems containsString="0" containsBlank="1" containsNumber="1" containsInteger="1" minValue="0" maxValue="304"/>
    </cacheField>
    <cacheField name="283" numFmtId="165">
      <sharedItems containsString="0" containsBlank="1" containsNumber="1" containsInteger="1" minValue="0" maxValue="303"/>
    </cacheField>
    <cacheField name="293" numFmtId="165">
      <sharedItems containsString="0" containsBlank="1" containsNumber="1" containsInteger="1" minValue="0" maxValue="304"/>
    </cacheField>
    <cacheField name="303" numFmtId="165">
      <sharedItems containsString="0" containsBlank="1" containsNumber="1" containsInteger="1" minValue="0" maxValue="303"/>
    </cacheField>
    <cacheField name="313" numFmtId="165">
      <sharedItems containsString="0" containsBlank="1" containsNumber="1" containsInteger="1" minValue="0" maxValue="0"/>
    </cacheField>
    <cacheField name="N+2" numFmtId="165">
      <sharedItems containsString="0" containsBlank="1" containsNumber="1" containsInteger="1" minValue="0" maxValue="5610"/>
    </cacheField>
    <cacheField name="114" numFmtId="165">
      <sharedItems containsString="0" containsBlank="1" containsNumber="1" containsInteger="1" minValue="0" maxValue="0"/>
    </cacheField>
    <cacheField name="214" numFmtId="165">
      <sharedItems containsString="0" containsBlank="1" containsNumber="1" containsInteger="1" minValue="0" maxValue="0"/>
    </cacheField>
    <cacheField name="34" numFmtId="165">
      <sharedItems containsString="0" containsBlank="1" containsNumber="1" containsInteger="1" minValue="0" maxValue="0"/>
    </cacheField>
    <cacheField name="44" numFmtId="165">
      <sharedItems containsString="0" containsBlank="1" containsNumber="1" containsInteger="1" minValue="0" maxValue="147"/>
    </cacheField>
    <cacheField name="54" numFmtId="165">
      <sharedItems containsString="0" containsBlank="1" containsNumber="1" containsInteger="1" minValue="0" maxValue="396"/>
    </cacheField>
    <cacheField name="64" numFmtId="165">
      <sharedItems containsString="0" containsBlank="1" containsNumber="1" containsInteger="1" minValue="0" maxValue="396"/>
    </cacheField>
    <cacheField name="74" numFmtId="165">
      <sharedItems containsString="0" containsBlank="1" containsNumber="1" containsInteger="1" minValue="0" maxValue="396"/>
    </cacheField>
    <cacheField name="84" numFmtId="165">
      <sharedItems containsString="0" containsBlank="1" containsNumber="1" containsInteger="1" minValue="0" maxValue="396"/>
    </cacheField>
    <cacheField name="94" numFmtId="165">
      <sharedItems containsString="0" containsBlank="1" containsNumber="1" containsInteger="1" minValue="0" maxValue="396"/>
    </cacheField>
    <cacheField name="104" numFmtId="165">
      <sharedItems containsString="0" containsBlank="1" containsNumber="1" containsInteger="1" minValue="0" maxValue="0"/>
    </cacheField>
    <cacheField name="115" numFmtId="165">
      <sharedItems containsString="0" containsBlank="1" containsNumber="1" containsInteger="1" minValue="0" maxValue="395"/>
    </cacheField>
    <cacheField name="124" numFmtId="165">
      <sharedItems containsString="0" containsBlank="1" containsNumber="1" containsInteger="1" minValue="0" maxValue="396"/>
    </cacheField>
    <cacheField name="134" numFmtId="165">
      <sharedItems containsString="0" containsBlank="1" containsNumber="1" containsInteger="1" minValue="0" maxValue="395"/>
    </cacheField>
    <cacheField name="144" numFmtId="165">
      <sharedItems containsString="0" containsBlank="1" containsNumber="1" containsInteger="1" minValue="0" maxValue="396"/>
    </cacheField>
    <cacheField name="154" numFmtId="165">
      <sharedItems containsString="0" containsBlank="1" containsNumber="1" containsInteger="1" minValue="0" maxValue="395"/>
    </cacheField>
    <cacheField name="164" numFmtId="165">
      <sharedItems containsString="0" containsBlank="1" containsNumber="1" containsInteger="1" minValue="0" maxValue="74"/>
    </cacheField>
    <cacheField name="174" numFmtId="165">
      <sharedItems containsString="0" containsBlank="1" containsNumber="1" containsInteger="1" minValue="0" maxValue="0"/>
    </cacheField>
    <cacheField name="184" numFmtId="165">
      <sharedItems containsString="0" containsBlank="1" containsNumber="1" containsInteger="1" minValue="0" maxValue="396"/>
    </cacheField>
    <cacheField name="194" numFmtId="165">
      <sharedItems containsString="0" containsBlank="1" containsNumber="1" containsInteger="1" minValue="0" maxValue="395"/>
    </cacheField>
    <cacheField name="204" numFmtId="165">
      <sharedItems containsString="0" containsBlank="1" containsNumber="1" containsInteger="1" minValue="0" maxValue="396"/>
    </cacheField>
    <cacheField name="215" numFmtId="165">
      <sharedItems containsString="0" containsBlank="1" containsNumber="1" containsInteger="1" minValue="0" maxValue="395"/>
    </cacheField>
    <cacheField name="224" numFmtId="165">
      <sharedItems containsString="0" containsBlank="1" containsNumber="1" containsInteger="1" minValue="0" maxValue="396"/>
    </cacheField>
    <cacheField name="234" numFmtId="165">
      <sharedItems containsString="0" containsBlank="1" containsNumber="1" containsInteger="1" minValue="0" maxValue="147"/>
    </cacheField>
    <cacheField name="244" numFmtId="165">
      <sharedItems containsString="0" containsBlank="1" containsNumber="1" containsInteger="1" minValue="0" maxValue="0"/>
    </cacheField>
    <cacheField name="254" numFmtId="165">
      <sharedItems containsString="0" containsBlank="1" containsNumber="1" containsInteger="1" minValue="0" maxValue="395"/>
    </cacheField>
    <cacheField name="264" numFmtId="165">
      <sharedItems containsString="0" containsBlank="1" containsNumber="1" containsInteger="1" minValue="0" maxValue="396"/>
    </cacheField>
    <cacheField name="274" numFmtId="165">
      <sharedItems containsString="0" containsBlank="1" containsNumber="1" containsInteger="1" minValue="0" maxValue="395"/>
    </cacheField>
    <cacheField name="284" numFmtId="165">
      <sharedItems containsString="0" containsBlank="1" containsNumber="1" containsInteger="1" minValue="0" maxValue="396"/>
    </cacheField>
    <cacheField name="294" numFmtId="165">
      <sharedItems containsString="0" containsBlank="1" containsNumber="1" containsInteger="1" minValue="0" maxValue="395"/>
    </cacheField>
    <cacheField name="304" numFmtId="165">
      <sharedItems containsString="0" containsBlank="1" containsNumber="1" containsInteger="1" minValue="0" maxValue="0"/>
    </cacheField>
    <cacheField name="314" numFmtId="165">
      <sharedItems containsString="0" containsBlank="1" containsNumber="1" containsInteger="1" minValue="0" maxValue="0"/>
    </cacheField>
    <cacheField name="N+3" numFmtId="165">
      <sharedItems containsString="0" containsBlank="1" containsNumber="1" containsInteger="1" minValue="0" maxValue="79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9">
  <r>
    <x v="0"/>
    <s v="T742"/>
    <s v="CAMERA ASSY  TELEVISION"/>
    <s v="TTETA"/>
    <m/>
    <x v="0"/>
    <s v="758W"/>
    <n v="20"/>
    <n v="0"/>
    <n v="0"/>
    <n v="80"/>
    <n v="60"/>
    <n v="80"/>
    <n v="60"/>
    <n v="80"/>
    <n v="20"/>
    <n v="0"/>
    <n v="80"/>
    <n v="80"/>
    <n v="60"/>
    <n v="80"/>
    <n v="60"/>
    <n v="80"/>
    <n v="0"/>
    <n v="60"/>
    <n v="80"/>
    <n v="60"/>
    <n v="80"/>
    <n v="60"/>
    <n v="0"/>
    <n v="0"/>
    <n v="80"/>
    <n v="60"/>
    <n v="80"/>
    <n v="60"/>
    <n v="80"/>
    <n v="80"/>
    <n v="0"/>
    <n v="60"/>
    <n v="1660"/>
    <n v="60"/>
    <n v="60"/>
    <n v="60"/>
    <n v="60"/>
    <n v="20"/>
    <n v="0"/>
    <n v="60"/>
    <n v="60"/>
    <n v="60"/>
    <n v="60"/>
    <n v="60"/>
    <n v="0"/>
    <n v="0"/>
    <n v="0"/>
    <n v="0"/>
    <n v="0"/>
    <n v="0"/>
    <n v="0"/>
    <n v="0"/>
    <n v="0"/>
    <n v="60"/>
    <n v="60"/>
    <n v="60"/>
    <n v="60"/>
    <n v="60"/>
    <n v="40"/>
    <n v="0"/>
    <n v="60"/>
    <n v="60"/>
    <n v="60"/>
    <n v="0"/>
    <n v="1080"/>
    <n v="0"/>
    <n v="0"/>
    <n v="0"/>
    <n v="0"/>
    <n v="50"/>
    <n v="50"/>
    <n v="50"/>
    <n v="50"/>
    <n v="50"/>
    <n v="50"/>
    <n v="0"/>
    <n v="50"/>
    <n v="50"/>
    <n v="50"/>
    <n v="50"/>
    <n v="50"/>
    <n v="0"/>
    <n v="0"/>
    <n v="50"/>
    <n v="50"/>
    <n v="50"/>
    <n v="50"/>
    <n v="50"/>
    <n v="0"/>
    <n v="0"/>
    <n v="50"/>
    <n v="50"/>
    <n v="50"/>
    <n v="50"/>
    <n v="50"/>
    <n v="50"/>
    <n v="1100"/>
    <n v="0"/>
    <n v="0"/>
    <n v="0"/>
    <n v="61"/>
    <n v="61"/>
    <n v="61"/>
    <n v="61"/>
    <n v="0"/>
    <n v="61"/>
    <n v="61"/>
    <n v="61"/>
    <n v="61"/>
    <n v="61"/>
    <n v="0"/>
    <n v="0"/>
    <n v="61"/>
    <n v="61"/>
    <n v="61"/>
    <n v="61"/>
    <n v="61"/>
    <n v="61"/>
    <n v="0"/>
    <n v="61"/>
    <n v="61"/>
    <n v="61"/>
    <n v="61"/>
    <n v="61"/>
    <n v="0"/>
    <n v="0"/>
    <n v="60"/>
    <n v="0"/>
    <n v="1280"/>
  </r>
  <r>
    <x v="1"/>
    <s v="W036"/>
    <s v="CAMERA ASSY  TELEVISION"/>
    <s v="TTETA"/>
    <m/>
    <x v="1"/>
    <s v="975W"/>
    <n v="25"/>
    <n v="0"/>
    <n v="0"/>
    <n v="10"/>
    <n v="20"/>
    <n v="20"/>
    <n v="20"/>
    <n v="20"/>
    <n v="0"/>
    <n v="0"/>
    <n v="20"/>
    <n v="20"/>
    <n v="20"/>
    <n v="20"/>
    <n v="20"/>
    <n v="40"/>
    <n v="0"/>
    <n v="10"/>
    <n v="30"/>
    <n v="30"/>
    <n v="30"/>
    <n v="20"/>
    <n v="0"/>
    <n v="0"/>
    <n v="20"/>
    <n v="40"/>
    <n v="30"/>
    <n v="30"/>
    <n v="30"/>
    <n v="30"/>
    <n v="0"/>
    <n v="30"/>
    <n v="560"/>
    <n v="0"/>
    <n v="10"/>
    <n v="10"/>
    <n v="10"/>
    <n v="10"/>
    <n v="0"/>
    <n v="10"/>
    <n v="0"/>
    <n v="0"/>
    <n v="10"/>
    <n v="10"/>
    <n v="0"/>
    <n v="0"/>
    <n v="0"/>
    <n v="0"/>
    <n v="0"/>
    <n v="0"/>
    <n v="0"/>
    <n v="0"/>
    <n v="0"/>
    <n v="10"/>
    <n v="10"/>
    <n v="0"/>
    <n v="0"/>
    <n v="20"/>
    <n v="0"/>
    <n v="0"/>
    <n v="20"/>
    <n v="0"/>
    <n v="10"/>
    <n v="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UPLD"/>
    <s v="DUMMY"/>
    <s v="TTETA"/>
    <s v=""/>
    <x v="1"/>
    <s v="024J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W036"/>
    <s v="CAMERA ASSY  TELEVISION"/>
    <s v="TTETA"/>
    <s v=""/>
    <x v="1"/>
    <s v="024J"/>
    <n v="25"/>
    <n v="0"/>
    <n v="0"/>
    <n v="20"/>
    <n v="20"/>
    <n v="0"/>
    <n v="20"/>
    <n v="20"/>
    <n v="0"/>
    <n v="0"/>
    <n v="10"/>
    <n v="10"/>
    <n v="10"/>
    <n v="20"/>
    <n v="10"/>
    <n v="0"/>
    <n v="0"/>
    <n v="20"/>
    <n v="10"/>
    <n v="10"/>
    <n v="10"/>
    <n v="20"/>
    <n v="0"/>
    <n v="0"/>
    <n v="20"/>
    <n v="10"/>
    <n v="20"/>
    <n v="20"/>
    <n v="10"/>
    <n v="10"/>
    <n v="0"/>
    <n v="20"/>
    <n v="320"/>
    <n v="20"/>
    <n v="20"/>
    <n v="20"/>
    <n v="20"/>
    <n v="20"/>
    <n v="0"/>
    <n v="0"/>
    <n v="20"/>
    <n v="20"/>
    <n v="10"/>
    <n v="10"/>
    <n v="0"/>
    <n v="0"/>
    <n v="0"/>
    <n v="0"/>
    <n v="0"/>
    <n v="0"/>
    <n v="0"/>
    <n v="0"/>
    <n v="0"/>
    <n v="20"/>
    <n v="10"/>
    <n v="20"/>
    <n v="20"/>
    <n v="20"/>
    <n v="20"/>
    <n v="0"/>
    <n v="20"/>
    <n v="20"/>
    <n v="20"/>
    <n v="0"/>
    <n v="330"/>
    <n v="0"/>
    <n v="0"/>
    <n v="0"/>
    <n v="0"/>
    <n v="31"/>
    <n v="31"/>
    <n v="31"/>
    <n v="31"/>
    <n v="31"/>
    <n v="31"/>
    <n v="0"/>
    <n v="32"/>
    <n v="31"/>
    <n v="32"/>
    <n v="31"/>
    <n v="32"/>
    <n v="0"/>
    <n v="0"/>
    <n v="31"/>
    <n v="32"/>
    <n v="31"/>
    <n v="32"/>
    <n v="31"/>
    <n v="0"/>
    <n v="0"/>
    <n v="32"/>
    <n v="31"/>
    <n v="32"/>
    <n v="31"/>
    <n v="32"/>
    <n v="31"/>
    <n v="690"/>
    <n v="0"/>
    <n v="0"/>
    <n v="0"/>
    <n v="17"/>
    <n v="17"/>
    <n v="17"/>
    <n v="17"/>
    <n v="0"/>
    <n v="17"/>
    <n v="17"/>
    <n v="17"/>
    <n v="17"/>
    <n v="17"/>
    <n v="0"/>
    <n v="0"/>
    <n v="17"/>
    <n v="17"/>
    <n v="17"/>
    <n v="17"/>
    <n v="17"/>
    <n v="17"/>
    <n v="0"/>
    <n v="18"/>
    <n v="17"/>
    <n v="18"/>
    <n v="17"/>
    <n v="18"/>
    <n v="0"/>
    <n v="0"/>
    <n v="17"/>
    <n v="0"/>
    <n v="360"/>
  </r>
  <r>
    <x v="1"/>
    <s v="W036"/>
    <s v="CAMERA ASSY  TELEVISION"/>
    <s v="TTETA"/>
    <s v=""/>
    <x v="0"/>
    <s v="024J"/>
    <n v="30"/>
    <n v="0"/>
    <n v="0"/>
    <n v="360"/>
    <n v="390"/>
    <n v="390"/>
    <n v="360"/>
    <n v="390"/>
    <n v="150"/>
    <n v="0"/>
    <n v="330"/>
    <n v="360"/>
    <n v="390"/>
    <n v="360"/>
    <n v="390"/>
    <n v="330"/>
    <n v="0"/>
    <n v="330"/>
    <n v="390"/>
    <n v="420"/>
    <n v="390"/>
    <n v="420"/>
    <n v="0"/>
    <n v="0"/>
    <n v="390"/>
    <n v="390"/>
    <n v="420"/>
    <n v="390"/>
    <n v="450"/>
    <n v="420"/>
    <n v="0"/>
    <n v="390"/>
    <n v="9000"/>
    <n v="300"/>
    <n v="330"/>
    <n v="300"/>
    <n v="300"/>
    <n v="150"/>
    <n v="0"/>
    <n v="270"/>
    <n v="300"/>
    <n v="330"/>
    <n v="300"/>
    <n v="210"/>
    <n v="0"/>
    <n v="0"/>
    <n v="0"/>
    <n v="0"/>
    <n v="0"/>
    <n v="0"/>
    <n v="0"/>
    <n v="0"/>
    <n v="0"/>
    <n v="210"/>
    <n v="240"/>
    <n v="270"/>
    <n v="240"/>
    <n v="300"/>
    <n v="270"/>
    <n v="0"/>
    <n v="240"/>
    <n v="300"/>
    <n v="270"/>
    <n v="0"/>
    <n v="5130"/>
    <n v="0"/>
    <n v="0"/>
    <n v="0"/>
    <n v="0"/>
    <n v="345"/>
    <n v="345"/>
    <n v="345"/>
    <n v="345"/>
    <n v="345"/>
    <n v="345"/>
    <n v="0"/>
    <n v="345"/>
    <n v="345"/>
    <n v="345"/>
    <n v="345"/>
    <n v="345"/>
    <n v="0"/>
    <n v="0"/>
    <n v="345"/>
    <n v="345"/>
    <n v="345"/>
    <n v="345"/>
    <n v="345"/>
    <n v="0"/>
    <n v="0"/>
    <n v="345"/>
    <n v="345"/>
    <n v="345"/>
    <n v="345"/>
    <n v="345"/>
    <n v="345"/>
    <n v="7590"/>
    <n v="0"/>
    <n v="0"/>
    <n v="0"/>
    <n v="433"/>
    <n v="433"/>
    <n v="433"/>
    <n v="433"/>
    <n v="0"/>
    <n v="433"/>
    <n v="433"/>
    <n v="433"/>
    <n v="433"/>
    <n v="433"/>
    <n v="0"/>
    <n v="0"/>
    <n v="433"/>
    <n v="433"/>
    <n v="433"/>
    <n v="433"/>
    <n v="433"/>
    <n v="433"/>
    <n v="0"/>
    <n v="433"/>
    <n v="432"/>
    <n v="433"/>
    <n v="432"/>
    <n v="433"/>
    <n v="0"/>
    <n v="0"/>
    <n v="432"/>
    <n v="0"/>
    <n v="9090"/>
  </r>
  <r>
    <x v="2"/>
    <s v="M523"/>
    <s v="CAMERA ASSY  TELEVISION"/>
    <s v="TTETA"/>
    <s v=""/>
    <x v="0"/>
    <s v="024J"/>
    <n v="20"/>
    <n v="0"/>
    <n v="0"/>
    <n v="220"/>
    <n v="300"/>
    <n v="220"/>
    <n v="280"/>
    <n v="260"/>
    <n v="120"/>
    <n v="0"/>
    <n v="240"/>
    <n v="280"/>
    <n v="240"/>
    <n v="300"/>
    <n v="240"/>
    <n v="240"/>
    <n v="0"/>
    <n v="240"/>
    <n v="260"/>
    <n v="280"/>
    <n v="240"/>
    <n v="240"/>
    <n v="0"/>
    <n v="0"/>
    <n v="260"/>
    <n v="240"/>
    <n v="240"/>
    <n v="280"/>
    <n v="260"/>
    <n v="260"/>
    <n v="0"/>
    <n v="260"/>
    <n v="6000"/>
    <n v="260"/>
    <n v="260"/>
    <n v="280"/>
    <n v="260"/>
    <n v="120"/>
    <n v="0"/>
    <n v="260"/>
    <n v="280"/>
    <n v="260"/>
    <n v="260"/>
    <n v="220"/>
    <n v="0"/>
    <n v="0"/>
    <n v="0"/>
    <n v="0"/>
    <n v="0"/>
    <n v="0"/>
    <n v="0"/>
    <n v="0"/>
    <n v="0"/>
    <n v="200"/>
    <n v="240"/>
    <n v="260"/>
    <n v="260"/>
    <n v="280"/>
    <n v="220"/>
    <n v="0"/>
    <n v="260"/>
    <n v="240"/>
    <n v="280"/>
    <n v="0"/>
    <n v="4700"/>
    <n v="0"/>
    <n v="0"/>
    <n v="0"/>
    <n v="0"/>
    <n v="228"/>
    <n v="228"/>
    <n v="228"/>
    <n v="228"/>
    <n v="228"/>
    <n v="228"/>
    <n v="0"/>
    <n v="228"/>
    <n v="228"/>
    <n v="228"/>
    <n v="228"/>
    <n v="228"/>
    <n v="0"/>
    <n v="0"/>
    <n v="228"/>
    <n v="228"/>
    <n v="228"/>
    <n v="229"/>
    <n v="228"/>
    <n v="0"/>
    <n v="0"/>
    <n v="229"/>
    <n v="228"/>
    <n v="229"/>
    <n v="228"/>
    <n v="229"/>
    <n v="228"/>
    <n v="5020"/>
    <n v="0"/>
    <n v="0"/>
    <n v="0"/>
    <n v="289"/>
    <n v="289"/>
    <n v="289"/>
    <n v="289"/>
    <n v="0"/>
    <n v="288"/>
    <n v="289"/>
    <n v="288"/>
    <n v="289"/>
    <n v="288"/>
    <n v="0"/>
    <n v="0"/>
    <n v="289"/>
    <n v="288"/>
    <n v="289"/>
    <n v="288"/>
    <n v="289"/>
    <n v="288"/>
    <n v="0"/>
    <n v="289"/>
    <n v="288"/>
    <n v="289"/>
    <n v="288"/>
    <n v="289"/>
    <n v="0"/>
    <n v="0"/>
    <n v="288"/>
    <n v="0"/>
    <n v="6060"/>
  </r>
  <r>
    <x v="2"/>
    <s v="M523"/>
    <s v="CAMERA ASSY  TELEVISION"/>
    <s v="TTETA"/>
    <s v=""/>
    <x v="1"/>
    <s v="024J"/>
    <n v="10"/>
    <n v="0"/>
    <n v="0"/>
    <n v="10"/>
    <n v="10"/>
    <n v="10"/>
    <n v="0"/>
    <n v="10"/>
    <n v="0"/>
    <n v="0"/>
    <n v="0"/>
    <n v="10"/>
    <n v="10"/>
    <n v="0"/>
    <n v="10"/>
    <n v="10"/>
    <n v="0"/>
    <n v="0"/>
    <n v="10"/>
    <n v="10"/>
    <n v="0"/>
    <n v="0"/>
    <n v="0"/>
    <n v="0"/>
    <n v="0"/>
    <n v="0"/>
    <n v="0"/>
    <n v="0"/>
    <n v="0"/>
    <n v="0"/>
    <n v="0"/>
    <n v="0"/>
    <n v="100"/>
    <n v="0"/>
    <n v="10"/>
    <n v="0"/>
    <n v="10"/>
    <n v="10"/>
    <n v="0"/>
    <n v="0"/>
    <n v="10"/>
    <n v="10"/>
    <n v="0"/>
    <n v="10"/>
    <n v="0"/>
    <n v="0"/>
    <n v="0"/>
    <n v="0"/>
    <n v="0"/>
    <n v="0"/>
    <n v="0"/>
    <n v="0"/>
    <n v="0"/>
    <n v="0"/>
    <n v="10"/>
    <n v="10"/>
    <n v="0"/>
    <n v="10"/>
    <n v="10"/>
    <n v="0"/>
    <n v="0"/>
    <n v="10"/>
    <n v="10"/>
    <n v="0"/>
    <n v="120"/>
    <n v="0"/>
    <n v="0"/>
    <n v="0"/>
    <n v="0"/>
    <n v="16"/>
    <n v="16"/>
    <n v="16"/>
    <n v="16"/>
    <n v="16"/>
    <n v="16"/>
    <n v="0"/>
    <n v="16"/>
    <n v="16"/>
    <n v="16"/>
    <n v="16"/>
    <n v="16"/>
    <n v="0"/>
    <n v="0"/>
    <n v="16"/>
    <n v="16"/>
    <n v="16"/>
    <n v="16"/>
    <n v="16"/>
    <n v="0"/>
    <n v="0"/>
    <n v="16"/>
    <n v="16"/>
    <n v="16"/>
    <n v="15"/>
    <n v="16"/>
    <n v="15"/>
    <n v="350"/>
    <n v="0"/>
    <n v="0"/>
    <n v="0"/>
    <n v="10"/>
    <n v="10"/>
    <n v="10"/>
    <n v="10"/>
    <n v="0"/>
    <n v="10"/>
    <n v="10"/>
    <n v="10"/>
    <n v="10"/>
    <n v="10"/>
    <n v="0"/>
    <n v="0"/>
    <n v="10"/>
    <n v="10"/>
    <n v="10"/>
    <n v="10"/>
    <n v="10"/>
    <n v="10"/>
    <n v="0"/>
    <n v="10"/>
    <n v="10"/>
    <n v="10"/>
    <n v="10"/>
    <n v="10"/>
    <n v="0"/>
    <n v="0"/>
    <n v="10"/>
    <n v="0"/>
    <n v="210"/>
  </r>
  <r>
    <x v="2"/>
    <s v="UPLD"/>
    <s v="DUMMY"/>
    <s v="TTETA"/>
    <s v=""/>
    <x v="1"/>
    <s v="024J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T962"/>
    <s v="CAMERA ASSY  TELEVISION"/>
    <s v="TTETA"/>
    <s v=""/>
    <x v="0"/>
    <s v="024J"/>
    <n v="20"/>
    <n v="0"/>
    <n v="0"/>
    <n v="20"/>
    <n v="0"/>
    <n v="20"/>
    <n v="20"/>
    <n v="0"/>
    <n v="20"/>
    <n v="0"/>
    <n v="0"/>
    <n v="20"/>
    <n v="20"/>
    <n v="0"/>
    <n v="20"/>
    <n v="20"/>
    <n v="0"/>
    <n v="20"/>
    <n v="0"/>
    <n v="20"/>
    <n v="0"/>
    <n v="20"/>
    <n v="0"/>
    <n v="0"/>
    <n v="20"/>
    <n v="20"/>
    <n v="0"/>
    <n v="20"/>
    <n v="20"/>
    <n v="0"/>
    <n v="0"/>
    <n v="20"/>
    <n v="320"/>
    <n v="20"/>
    <n v="20"/>
    <n v="0"/>
    <n v="20"/>
    <n v="20"/>
    <n v="0"/>
    <n v="20"/>
    <n v="0"/>
    <n v="20"/>
    <n v="20"/>
    <n v="20"/>
    <n v="0"/>
    <n v="0"/>
    <n v="0"/>
    <n v="0"/>
    <n v="0"/>
    <n v="0"/>
    <n v="0"/>
    <n v="0"/>
    <n v="0"/>
    <n v="20"/>
    <n v="0"/>
    <n v="20"/>
    <n v="20"/>
    <n v="20"/>
    <n v="20"/>
    <n v="0"/>
    <n v="0"/>
    <n v="20"/>
    <n v="20"/>
    <n v="0"/>
    <n v="300"/>
    <n v="0"/>
    <n v="0"/>
    <n v="0"/>
    <n v="0"/>
    <n v="15"/>
    <n v="15"/>
    <n v="15"/>
    <n v="14"/>
    <n v="15"/>
    <n v="14"/>
    <n v="0"/>
    <n v="15"/>
    <n v="14"/>
    <n v="15"/>
    <n v="14"/>
    <n v="15"/>
    <n v="0"/>
    <n v="0"/>
    <n v="14"/>
    <n v="15"/>
    <n v="14"/>
    <n v="15"/>
    <n v="14"/>
    <n v="0"/>
    <n v="0"/>
    <n v="15"/>
    <n v="14"/>
    <n v="15"/>
    <n v="14"/>
    <n v="15"/>
    <n v="14"/>
    <n v="320"/>
    <n v="0"/>
    <n v="0"/>
    <n v="0"/>
    <n v="14"/>
    <n v="14"/>
    <n v="14"/>
    <n v="14"/>
    <n v="0"/>
    <n v="14"/>
    <n v="14"/>
    <n v="14"/>
    <n v="14"/>
    <n v="14"/>
    <n v="0"/>
    <n v="0"/>
    <n v="15"/>
    <n v="14"/>
    <n v="15"/>
    <n v="14"/>
    <n v="15"/>
    <n v="14"/>
    <n v="0"/>
    <n v="15"/>
    <n v="14"/>
    <n v="15"/>
    <n v="14"/>
    <n v="15"/>
    <n v="0"/>
    <n v="0"/>
    <n v="14"/>
    <n v="0"/>
    <n v="300"/>
  </r>
  <r>
    <x v="4"/>
    <s v="U324"/>
    <s v="CAMERA ASSY  TELEVISION"/>
    <s v="TTETA"/>
    <s v=""/>
    <x v="0"/>
    <s v="024J"/>
    <n v="16"/>
    <n v="0"/>
    <n v="0"/>
    <n v="96"/>
    <n v="96"/>
    <n v="96"/>
    <n v="80"/>
    <n v="96"/>
    <n v="32"/>
    <n v="0"/>
    <n v="96"/>
    <n v="96"/>
    <n v="80"/>
    <n v="96"/>
    <n v="96"/>
    <n v="80"/>
    <n v="0"/>
    <n v="80"/>
    <n v="96"/>
    <n v="96"/>
    <n v="80"/>
    <n v="96"/>
    <n v="0"/>
    <n v="0"/>
    <n v="96"/>
    <n v="80"/>
    <n v="96"/>
    <n v="128"/>
    <n v="160"/>
    <n v="160"/>
    <n v="0"/>
    <n v="144"/>
    <n v="2352"/>
    <n v="96"/>
    <n v="96"/>
    <n v="96"/>
    <n v="80"/>
    <n v="48"/>
    <n v="0"/>
    <n v="96"/>
    <n v="96"/>
    <n v="96"/>
    <n v="96"/>
    <n v="48"/>
    <n v="0"/>
    <n v="0"/>
    <n v="0"/>
    <n v="0"/>
    <n v="0"/>
    <n v="0"/>
    <n v="0"/>
    <n v="0"/>
    <n v="0"/>
    <n v="64"/>
    <n v="80"/>
    <n v="80"/>
    <n v="80"/>
    <n v="80"/>
    <n v="80"/>
    <n v="0"/>
    <n v="80"/>
    <n v="80"/>
    <n v="80"/>
    <n v="0"/>
    <n v="1552"/>
    <n v="0"/>
    <n v="0"/>
    <n v="0"/>
    <n v="0"/>
    <n v="110"/>
    <n v="110"/>
    <n v="110"/>
    <n v="110"/>
    <n v="110"/>
    <n v="110"/>
    <n v="0"/>
    <n v="110"/>
    <n v="110"/>
    <n v="110"/>
    <n v="110"/>
    <n v="110"/>
    <n v="0"/>
    <n v="0"/>
    <n v="110"/>
    <n v="110"/>
    <n v="110"/>
    <n v="110"/>
    <n v="109"/>
    <n v="0"/>
    <n v="0"/>
    <n v="110"/>
    <n v="109"/>
    <n v="110"/>
    <n v="109"/>
    <n v="110"/>
    <n v="109"/>
    <n v="2416"/>
    <n v="0"/>
    <n v="0"/>
    <n v="0"/>
    <n v="148"/>
    <n v="148"/>
    <n v="148"/>
    <n v="148"/>
    <n v="0"/>
    <n v="148"/>
    <n v="148"/>
    <n v="148"/>
    <n v="148"/>
    <n v="148"/>
    <n v="0"/>
    <n v="0"/>
    <n v="148"/>
    <n v="148"/>
    <n v="148"/>
    <n v="148"/>
    <n v="148"/>
    <n v="147"/>
    <n v="0"/>
    <n v="148"/>
    <n v="147"/>
    <n v="148"/>
    <n v="147"/>
    <n v="148"/>
    <n v="0"/>
    <n v="0"/>
    <n v="147"/>
    <n v="0"/>
    <n v="3104"/>
  </r>
  <r>
    <x v="5"/>
    <s v="U325"/>
    <s v="CAMERA ASSY  TELEVISION"/>
    <s v="TTETA"/>
    <s v=""/>
    <x v="1"/>
    <s v="024J"/>
    <n v="8"/>
    <n v="0"/>
    <n v="0"/>
    <n v="0"/>
    <n v="0"/>
    <n v="0"/>
    <n v="10"/>
    <n v="10"/>
    <n v="0"/>
    <n v="0"/>
    <n v="0"/>
    <n v="0"/>
    <n v="0"/>
    <n v="10"/>
    <n v="10"/>
    <n v="0"/>
    <n v="0"/>
    <n v="10"/>
    <n v="0"/>
    <n v="10"/>
    <n v="0"/>
    <n v="10"/>
    <n v="0"/>
    <n v="0"/>
    <n v="0"/>
    <n v="0"/>
    <n v="10"/>
    <n v="10"/>
    <n v="10"/>
    <n v="0"/>
    <n v="0"/>
    <n v="10"/>
    <n v="110"/>
    <n v="0"/>
    <n v="10"/>
    <n v="0"/>
    <n v="10"/>
    <n v="10"/>
    <n v="0"/>
    <n v="0"/>
    <n v="0"/>
    <n v="10"/>
    <n v="0"/>
    <n v="10"/>
    <n v="0"/>
    <n v="0"/>
    <n v="0"/>
    <n v="0"/>
    <n v="0"/>
    <n v="0"/>
    <n v="0"/>
    <n v="0"/>
    <n v="0"/>
    <n v="10"/>
    <n v="0"/>
    <n v="0"/>
    <n v="0"/>
    <n v="10"/>
    <n v="10"/>
    <n v="0"/>
    <n v="0"/>
    <n v="10"/>
    <n v="10"/>
    <n v="0"/>
    <n v="100"/>
    <n v="0"/>
    <n v="0"/>
    <n v="0"/>
    <n v="0"/>
    <n v="21"/>
    <n v="21"/>
    <n v="21"/>
    <n v="21"/>
    <n v="21"/>
    <n v="21"/>
    <n v="0"/>
    <n v="22"/>
    <n v="21"/>
    <n v="22"/>
    <n v="21"/>
    <n v="22"/>
    <n v="0"/>
    <n v="0"/>
    <n v="21"/>
    <n v="22"/>
    <n v="21"/>
    <n v="22"/>
    <n v="21"/>
    <n v="0"/>
    <n v="0"/>
    <n v="22"/>
    <n v="21"/>
    <n v="22"/>
    <n v="21"/>
    <n v="22"/>
    <n v="21"/>
    <n v="470"/>
    <n v="0"/>
    <n v="0"/>
    <n v="0"/>
    <n v="7"/>
    <n v="7"/>
    <n v="7"/>
    <n v="7"/>
    <n v="0"/>
    <n v="7"/>
    <n v="7"/>
    <n v="7"/>
    <n v="7"/>
    <n v="6"/>
    <n v="0"/>
    <n v="0"/>
    <n v="7"/>
    <n v="6"/>
    <n v="7"/>
    <n v="6"/>
    <n v="7"/>
    <n v="6"/>
    <n v="0"/>
    <n v="7"/>
    <n v="6"/>
    <n v="7"/>
    <n v="6"/>
    <n v="7"/>
    <n v="0"/>
    <n v="0"/>
    <n v="6"/>
    <n v="0"/>
    <n v="140"/>
  </r>
  <r>
    <x v="5"/>
    <s v="U325"/>
    <s v="CAMERA ASSY  TELEVISION"/>
    <s v="TTETA"/>
    <s v=""/>
    <x v="0"/>
    <s v="024J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16"/>
    <n v="0"/>
    <n v="0"/>
    <n v="32"/>
    <n v="0"/>
    <n v="0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0"/>
    <n v="32"/>
    <n v="0"/>
    <n v="0"/>
    <n v="0"/>
    <n v="0"/>
    <n v="3"/>
    <n v="3"/>
    <n v="3"/>
    <n v="3"/>
    <n v="3"/>
    <n v="3"/>
    <n v="0"/>
    <n v="3"/>
    <n v="3"/>
    <n v="3"/>
    <n v="3"/>
    <n v="3"/>
    <n v="0"/>
    <n v="0"/>
    <n v="3"/>
    <n v="3"/>
    <n v="3"/>
    <n v="3"/>
    <n v="3"/>
    <n v="0"/>
    <n v="0"/>
    <n v="3"/>
    <n v="3"/>
    <n v="3"/>
    <n v="2"/>
    <n v="3"/>
    <n v="2"/>
    <n v="64"/>
    <n v="0"/>
    <n v="0"/>
    <n v="0"/>
    <n v="4"/>
    <n v="4"/>
    <n v="4"/>
    <n v="4"/>
    <n v="0"/>
    <n v="4"/>
    <n v="4"/>
    <n v="4"/>
    <n v="4"/>
    <n v="4"/>
    <n v="0"/>
    <n v="0"/>
    <n v="4"/>
    <n v="4"/>
    <n v="4"/>
    <n v="4"/>
    <n v="4"/>
    <n v="3"/>
    <n v="0"/>
    <n v="4"/>
    <n v="3"/>
    <n v="4"/>
    <n v="3"/>
    <n v="4"/>
    <n v="0"/>
    <n v="0"/>
    <n v="3"/>
    <n v="0"/>
    <n v="80"/>
  </r>
  <r>
    <x v="5"/>
    <s v="UPLD"/>
    <s v="DUMMY"/>
    <s v="TTETA"/>
    <s v=""/>
    <x v="1"/>
    <s v="024J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U326"/>
    <s v="CAMERA ASSY  TELEVISION"/>
    <s v="TTETA"/>
    <s v=""/>
    <x v="0"/>
    <s v="024J"/>
    <n v="16"/>
    <n v="0"/>
    <n v="0"/>
    <n v="32"/>
    <n v="32"/>
    <n v="16"/>
    <n v="16"/>
    <n v="32"/>
    <n v="0"/>
    <n v="0"/>
    <n v="16"/>
    <n v="32"/>
    <n v="16"/>
    <n v="16"/>
    <n v="32"/>
    <n v="16"/>
    <n v="0"/>
    <n v="16"/>
    <n v="32"/>
    <n v="16"/>
    <n v="16"/>
    <n v="16"/>
    <n v="0"/>
    <n v="0"/>
    <n v="16"/>
    <n v="16"/>
    <n v="16"/>
    <n v="16"/>
    <n v="16"/>
    <n v="16"/>
    <n v="0"/>
    <n v="16"/>
    <n v="464"/>
    <n v="48"/>
    <n v="32"/>
    <n v="32"/>
    <n v="32"/>
    <n v="16"/>
    <n v="0"/>
    <n v="32"/>
    <n v="16"/>
    <n v="32"/>
    <n v="32"/>
    <n v="32"/>
    <n v="0"/>
    <n v="0"/>
    <n v="0"/>
    <n v="0"/>
    <n v="0"/>
    <n v="0"/>
    <n v="0"/>
    <n v="0"/>
    <n v="0"/>
    <n v="16"/>
    <n v="48"/>
    <n v="32"/>
    <n v="16"/>
    <n v="32"/>
    <n v="16"/>
    <n v="0"/>
    <n v="32"/>
    <n v="32"/>
    <n v="48"/>
    <n v="0"/>
    <n v="576"/>
    <n v="0"/>
    <n v="0"/>
    <n v="0"/>
    <n v="0"/>
    <n v="17"/>
    <n v="17"/>
    <n v="17"/>
    <n v="17"/>
    <n v="17"/>
    <n v="17"/>
    <n v="0"/>
    <n v="17"/>
    <n v="17"/>
    <n v="17"/>
    <n v="17"/>
    <n v="17"/>
    <n v="0"/>
    <n v="0"/>
    <n v="16"/>
    <n v="17"/>
    <n v="16"/>
    <n v="17"/>
    <n v="16"/>
    <n v="0"/>
    <n v="0"/>
    <n v="17"/>
    <n v="16"/>
    <n v="17"/>
    <n v="16"/>
    <n v="17"/>
    <n v="16"/>
    <n v="368"/>
    <n v="0"/>
    <n v="0"/>
    <n v="0"/>
    <n v="27"/>
    <n v="27"/>
    <n v="27"/>
    <n v="28"/>
    <n v="0"/>
    <n v="27"/>
    <n v="28"/>
    <n v="27"/>
    <n v="28"/>
    <n v="27"/>
    <n v="0"/>
    <n v="0"/>
    <n v="28"/>
    <n v="27"/>
    <n v="28"/>
    <n v="27"/>
    <n v="28"/>
    <n v="27"/>
    <n v="0"/>
    <n v="28"/>
    <n v="27"/>
    <n v="28"/>
    <n v="27"/>
    <n v="28"/>
    <n v="0"/>
    <n v="0"/>
    <n v="27"/>
    <n v="0"/>
    <n v="576"/>
  </r>
  <r>
    <x v="7"/>
    <s v="T023"/>
    <s v="CAMERA ASSY  TELEVISION"/>
    <s v="TTETA"/>
    <s v=""/>
    <x v="0"/>
    <s v="024J"/>
    <n v="42"/>
    <n v="0"/>
    <n v="0"/>
    <n v="126"/>
    <n v="168"/>
    <n v="168"/>
    <n v="168"/>
    <n v="210"/>
    <n v="42"/>
    <n v="0"/>
    <n v="168"/>
    <n v="126"/>
    <n v="168"/>
    <n v="126"/>
    <n v="126"/>
    <n v="210"/>
    <n v="0"/>
    <n v="168"/>
    <n v="84"/>
    <n v="210"/>
    <n v="126"/>
    <n v="126"/>
    <n v="0"/>
    <n v="0"/>
    <n v="168"/>
    <n v="126"/>
    <n v="126"/>
    <n v="252"/>
    <n v="126"/>
    <n v="168"/>
    <n v="0"/>
    <n v="126"/>
    <n v="3612"/>
    <n v="126"/>
    <n v="168"/>
    <n v="84"/>
    <n v="126"/>
    <n v="84"/>
    <n v="0"/>
    <n v="126"/>
    <n v="126"/>
    <n v="126"/>
    <n v="168"/>
    <n v="126"/>
    <n v="0"/>
    <n v="0"/>
    <n v="0"/>
    <n v="0"/>
    <n v="0"/>
    <n v="0"/>
    <n v="0"/>
    <n v="0"/>
    <n v="0"/>
    <n v="84"/>
    <n v="84"/>
    <n v="168"/>
    <n v="84"/>
    <n v="84"/>
    <n v="168"/>
    <n v="0"/>
    <n v="84"/>
    <n v="126"/>
    <n v="84"/>
    <n v="0"/>
    <n v="2226"/>
    <n v="0"/>
    <n v="0"/>
    <n v="0"/>
    <n v="0"/>
    <n v="122"/>
    <n v="122"/>
    <n v="122"/>
    <n v="122"/>
    <n v="122"/>
    <n v="122"/>
    <n v="0"/>
    <n v="122"/>
    <n v="122"/>
    <n v="122"/>
    <n v="122"/>
    <n v="122"/>
    <n v="0"/>
    <n v="0"/>
    <n v="122"/>
    <n v="122"/>
    <n v="122"/>
    <n v="123"/>
    <n v="122"/>
    <n v="0"/>
    <n v="0"/>
    <n v="123"/>
    <n v="122"/>
    <n v="123"/>
    <n v="122"/>
    <n v="123"/>
    <n v="122"/>
    <n v="2688"/>
    <n v="0"/>
    <n v="0"/>
    <n v="0"/>
    <n v="162"/>
    <n v="162"/>
    <n v="162"/>
    <n v="162"/>
    <n v="0"/>
    <n v="162"/>
    <n v="162"/>
    <n v="162"/>
    <n v="162"/>
    <n v="162"/>
    <n v="0"/>
    <n v="0"/>
    <n v="162"/>
    <n v="162"/>
    <n v="162"/>
    <n v="162"/>
    <n v="162"/>
    <n v="162"/>
    <n v="0"/>
    <n v="162"/>
    <n v="162"/>
    <n v="162"/>
    <n v="162"/>
    <n v="162"/>
    <n v="0"/>
    <n v="0"/>
    <n v="162"/>
    <n v="0"/>
    <n v="3402"/>
  </r>
  <r>
    <x v="7"/>
    <s v="T023"/>
    <s v="CAMERA ASSY  TELEVISION"/>
    <s v="TTETA"/>
    <s v=""/>
    <x v="1"/>
    <s v="024J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11"/>
    <n v="10"/>
    <n v="11"/>
    <n v="10"/>
    <n v="0"/>
    <n v="11"/>
    <n v="10"/>
    <n v="11"/>
    <n v="10"/>
    <n v="11"/>
    <n v="0"/>
    <n v="0"/>
    <n v="10"/>
    <n v="11"/>
    <n v="10"/>
    <n v="11"/>
    <n v="10"/>
    <n v="0"/>
    <n v="0"/>
    <n v="11"/>
    <n v="10"/>
    <n v="11"/>
    <n v="10"/>
    <n v="11"/>
    <n v="10"/>
    <n v="230"/>
    <n v="0"/>
    <n v="0"/>
    <n v="0"/>
    <n v="6"/>
    <n v="6"/>
    <n v="6"/>
    <n v="6"/>
    <n v="0"/>
    <n v="6"/>
    <n v="6"/>
    <n v="6"/>
    <n v="6"/>
    <n v="6"/>
    <n v="0"/>
    <n v="0"/>
    <n v="6"/>
    <n v="5"/>
    <n v="6"/>
    <n v="5"/>
    <n v="6"/>
    <n v="5"/>
    <n v="0"/>
    <n v="6"/>
    <n v="5"/>
    <n v="6"/>
    <n v="5"/>
    <n v="6"/>
    <n v="0"/>
    <n v="0"/>
    <n v="5"/>
    <n v="0"/>
    <n v="120"/>
  </r>
  <r>
    <x v="8"/>
    <s v="T741"/>
    <s v="CAMERA ASSY  TELEVISION"/>
    <s v="TTETA"/>
    <s v=""/>
    <x v="0"/>
    <s v="024J"/>
    <n v="20"/>
    <n v="0"/>
    <n v="0"/>
    <n v="80"/>
    <n v="100"/>
    <n v="100"/>
    <n v="80"/>
    <n v="100"/>
    <n v="20"/>
    <n v="0"/>
    <n v="120"/>
    <n v="80"/>
    <n v="80"/>
    <n v="100"/>
    <n v="80"/>
    <n v="80"/>
    <n v="0"/>
    <n v="100"/>
    <n v="100"/>
    <n v="80"/>
    <n v="100"/>
    <n v="100"/>
    <n v="0"/>
    <n v="0"/>
    <n v="80"/>
    <n v="80"/>
    <n v="100"/>
    <n v="80"/>
    <n v="80"/>
    <n v="120"/>
    <n v="0"/>
    <n v="80"/>
    <n v="2120"/>
    <n v="120"/>
    <n v="120"/>
    <n v="140"/>
    <n v="120"/>
    <n v="40"/>
    <n v="0"/>
    <n v="140"/>
    <n v="140"/>
    <n v="100"/>
    <n v="140"/>
    <n v="120"/>
    <n v="0"/>
    <n v="0"/>
    <n v="0"/>
    <n v="0"/>
    <n v="0"/>
    <n v="0"/>
    <n v="0"/>
    <n v="0"/>
    <n v="0"/>
    <n v="120"/>
    <n v="140"/>
    <n v="120"/>
    <n v="120"/>
    <n v="120"/>
    <n v="120"/>
    <n v="0"/>
    <n v="140"/>
    <n v="120"/>
    <n v="120"/>
    <n v="0"/>
    <n v="2300"/>
    <n v="0"/>
    <n v="0"/>
    <n v="0"/>
    <n v="0"/>
    <n v="125"/>
    <n v="125"/>
    <n v="126"/>
    <n v="125"/>
    <n v="126"/>
    <n v="125"/>
    <n v="0"/>
    <n v="126"/>
    <n v="125"/>
    <n v="126"/>
    <n v="125"/>
    <n v="126"/>
    <n v="0"/>
    <n v="0"/>
    <n v="125"/>
    <n v="126"/>
    <n v="125"/>
    <n v="126"/>
    <n v="125"/>
    <n v="0"/>
    <n v="0"/>
    <n v="126"/>
    <n v="125"/>
    <n v="126"/>
    <n v="125"/>
    <n v="126"/>
    <n v="125"/>
    <n v="2760"/>
    <n v="0"/>
    <n v="0"/>
    <n v="0"/>
    <n v="130"/>
    <n v="131"/>
    <n v="130"/>
    <n v="131"/>
    <n v="0"/>
    <n v="130"/>
    <n v="131"/>
    <n v="130"/>
    <n v="131"/>
    <n v="130"/>
    <n v="0"/>
    <n v="0"/>
    <n v="131"/>
    <n v="130"/>
    <n v="131"/>
    <n v="130"/>
    <n v="131"/>
    <n v="130"/>
    <n v="0"/>
    <n v="131"/>
    <n v="130"/>
    <n v="131"/>
    <n v="130"/>
    <n v="131"/>
    <n v="0"/>
    <n v="0"/>
    <n v="130"/>
    <n v="0"/>
    <n v="2740"/>
  </r>
  <r>
    <x v="9"/>
    <s v="U750"/>
    <s v="CAMERA ASSY  TELEVISION"/>
    <s v="TTETA"/>
    <s v=""/>
    <x v="0"/>
    <s v="024J"/>
    <n v="16"/>
    <n v="0"/>
    <n v="0"/>
    <n v="32"/>
    <n v="32"/>
    <n v="16"/>
    <n v="16"/>
    <n v="32"/>
    <n v="0"/>
    <n v="0"/>
    <n v="16"/>
    <n v="16"/>
    <n v="32"/>
    <n v="16"/>
    <n v="16"/>
    <n v="16"/>
    <n v="0"/>
    <n v="32"/>
    <n v="16"/>
    <n v="32"/>
    <n v="32"/>
    <n v="16"/>
    <n v="0"/>
    <n v="0"/>
    <n v="16"/>
    <n v="32"/>
    <n v="16"/>
    <n v="32"/>
    <n v="16"/>
    <n v="16"/>
    <n v="0"/>
    <n v="32"/>
    <n v="528"/>
    <n v="16"/>
    <n v="16"/>
    <n v="32"/>
    <n v="0"/>
    <n v="16"/>
    <n v="0"/>
    <n v="16"/>
    <n v="16"/>
    <n v="16"/>
    <n v="16"/>
    <n v="16"/>
    <n v="0"/>
    <n v="0"/>
    <n v="0"/>
    <n v="0"/>
    <n v="0"/>
    <n v="0"/>
    <n v="0"/>
    <n v="0"/>
    <n v="0"/>
    <n v="16"/>
    <n v="16"/>
    <n v="0"/>
    <n v="32"/>
    <n v="16"/>
    <n v="32"/>
    <n v="0"/>
    <n v="0"/>
    <n v="32"/>
    <n v="16"/>
    <n v="0"/>
    <n v="320"/>
    <n v="0"/>
    <n v="0"/>
    <n v="0"/>
    <n v="0"/>
    <n v="25"/>
    <n v="25"/>
    <n v="26"/>
    <n v="25"/>
    <n v="26"/>
    <n v="25"/>
    <n v="0"/>
    <n v="26"/>
    <n v="25"/>
    <n v="26"/>
    <n v="25"/>
    <n v="26"/>
    <n v="0"/>
    <n v="0"/>
    <n v="25"/>
    <n v="26"/>
    <n v="25"/>
    <n v="26"/>
    <n v="25"/>
    <n v="0"/>
    <n v="0"/>
    <n v="26"/>
    <n v="25"/>
    <n v="26"/>
    <n v="25"/>
    <n v="26"/>
    <n v="25"/>
    <n v="560"/>
    <n v="0"/>
    <n v="0"/>
    <n v="0"/>
    <n v="35"/>
    <n v="35"/>
    <n v="35"/>
    <n v="35"/>
    <n v="0"/>
    <n v="35"/>
    <n v="35"/>
    <n v="35"/>
    <n v="35"/>
    <n v="35"/>
    <n v="0"/>
    <n v="0"/>
    <n v="35"/>
    <n v="35"/>
    <n v="35"/>
    <n v="35"/>
    <n v="35"/>
    <n v="35"/>
    <n v="0"/>
    <n v="35"/>
    <n v="35"/>
    <n v="35"/>
    <n v="35"/>
    <n v="36"/>
    <n v="0"/>
    <n v="0"/>
    <n v="35"/>
    <n v="0"/>
    <n v="736"/>
  </r>
  <r>
    <x v="10"/>
    <s v="W976"/>
    <s v="CAMERA ASSY  TELEVISION"/>
    <s v="TTETA"/>
    <s v=""/>
    <x v="0"/>
    <s v="D54H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240"/>
    <n v="240"/>
    <n v="240"/>
    <n v="0"/>
    <n v="240"/>
    <n v="240"/>
    <n v="240"/>
    <n v="240"/>
    <n v="240"/>
    <n v="0"/>
    <n v="0"/>
    <n v="240"/>
    <n v="240"/>
    <n v="240"/>
    <n v="240"/>
    <n v="240"/>
    <n v="240"/>
    <n v="0"/>
    <n v="240"/>
    <n v="240"/>
    <n v="240"/>
    <n v="240"/>
    <n v="240"/>
    <n v="0"/>
    <n v="0"/>
    <n v="240"/>
    <n v="0"/>
    <n v="50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s v="I338"/>
    <s v="CAMERA ASSY  TELEVISION"/>
    <s v="TTETA"/>
    <s v="MS"/>
    <s v="P1"/>
    <s v="024J"/>
    <n v="25"/>
    <n v="0"/>
    <n v="87"/>
    <n v="85"/>
    <n v="79"/>
    <n v="83"/>
    <n v="83"/>
    <n v="0"/>
    <n v="0"/>
    <n v="88"/>
    <n v="89"/>
    <n v="88"/>
    <n v="92"/>
    <n v="90"/>
    <n v="77"/>
    <n v="0"/>
    <n v="91"/>
    <n v="91"/>
    <n v="88"/>
    <n v="93"/>
    <n v="85"/>
    <n v="0"/>
    <n v="0"/>
    <n v="85"/>
    <n v="89"/>
    <n v="76"/>
    <n v="84"/>
    <n v="84"/>
    <n v="84"/>
    <n v="0"/>
    <n v="0"/>
    <n v="0"/>
    <n v="1891"/>
    <n v="0"/>
    <n v="0"/>
    <n v="0"/>
    <n v="83"/>
    <n v="84"/>
    <n v="83"/>
    <n v="39"/>
    <n v="0"/>
    <n v="79"/>
    <n v="79"/>
    <n v="79"/>
    <n v="80"/>
    <n v="70"/>
    <n v="65"/>
    <n v="0"/>
    <n v="77"/>
    <n v="80"/>
    <n v="67"/>
    <n v="77"/>
    <n v="76"/>
    <n v="73"/>
    <n v="0"/>
    <n v="72"/>
    <n v="69"/>
    <n v="55"/>
    <n v="68"/>
    <n v="61"/>
    <n v="49"/>
    <n v="0"/>
    <n v="61"/>
    <n v="51"/>
    <n v="1677"/>
    <n v="50"/>
    <n v="50"/>
    <n v="50"/>
    <n v="25"/>
    <n v="0"/>
    <n v="50"/>
    <n v="50"/>
    <n v="50"/>
    <n v="50"/>
    <n v="49"/>
    <n v="0"/>
    <n v="0"/>
    <n v="0"/>
    <n v="0"/>
    <n v="0"/>
    <n v="0"/>
    <n v="0"/>
    <n v="0"/>
    <n v="0"/>
    <n v="50"/>
    <n v="49"/>
    <n v="50"/>
    <n v="49"/>
    <n v="50"/>
    <n v="49"/>
    <n v="0"/>
    <n v="50"/>
    <n v="49"/>
    <n v="50"/>
    <n v="49"/>
    <n v="0"/>
    <n v="9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A369"/>
    <s v="CAMERA ASSY  TELEVISION"/>
    <s v="TTETA"/>
    <s v="MS"/>
    <s v="P1"/>
    <s v="024J"/>
    <n v="42"/>
    <n v="0"/>
    <n v="12"/>
    <n v="15"/>
    <n v="12"/>
    <n v="12"/>
    <n v="12"/>
    <n v="0"/>
    <n v="0"/>
    <n v="17"/>
    <n v="15"/>
    <n v="13"/>
    <n v="12"/>
    <n v="15"/>
    <n v="13"/>
    <n v="0"/>
    <n v="17"/>
    <n v="14"/>
    <n v="13"/>
    <n v="14"/>
    <n v="14"/>
    <n v="0"/>
    <n v="0"/>
    <n v="16"/>
    <n v="12"/>
    <n v="12"/>
    <n v="13"/>
    <n v="14"/>
    <n v="12"/>
    <n v="0"/>
    <n v="0"/>
    <n v="0"/>
    <n v="299"/>
    <n v="0"/>
    <n v="0"/>
    <n v="0"/>
    <n v="3"/>
    <n v="5"/>
    <n v="2"/>
    <n v="2"/>
    <n v="0"/>
    <n v="3"/>
    <n v="4"/>
    <n v="2"/>
    <n v="3"/>
    <n v="3"/>
    <n v="3"/>
    <n v="0"/>
    <n v="5"/>
    <n v="1"/>
    <n v="4"/>
    <n v="2"/>
    <n v="3"/>
    <n v="3"/>
    <n v="0"/>
    <n v="3"/>
    <n v="3"/>
    <n v="2"/>
    <n v="3"/>
    <n v="2"/>
    <n v="2"/>
    <n v="0"/>
    <n v="3"/>
    <n v="1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A370"/>
    <s v="CAMERA ASSY  TELEVISION"/>
    <s v="TTETA"/>
    <s v="MS"/>
    <s v="P1"/>
    <s v="024J"/>
    <n v="18"/>
    <n v="0"/>
    <n v="54"/>
    <n v="54"/>
    <n v="51"/>
    <n v="54"/>
    <n v="49"/>
    <n v="0"/>
    <n v="0"/>
    <n v="58"/>
    <n v="60"/>
    <n v="54"/>
    <n v="58"/>
    <n v="56"/>
    <n v="49"/>
    <n v="0"/>
    <n v="60"/>
    <n v="55"/>
    <n v="56"/>
    <n v="57"/>
    <n v="57"/>
    <n v="0"/>
    <n v="0"/>
    <n v="56"/>
    <n v="52"/>
    <n v="51"/>
    <n v="54"/>
    <n v="54"/>
    <n v="52"/>
    <n v="0"/>
    <n v="0"/>
    <n v="0"/>
    <n v="1201"/>
    <n v="0"/>
    <n v="0"/>
    <n v="0"/>
    <n v="49"/>
    <n v="48"/>
    <n v="49"/>
    <n v="20"/>
    <n v="0"/>
    <n v="44"/>
    <n v="43"/>
    <n v="48"/>
    <n v="42"/>
    <n v="41"/>
    <n v="38"/>
    <n v="0"/>
    <n v="43"/>
    <n v="44"/>
    <n v="38"/>
    <n v="47"/>
    <n v="38"/>
    <n v="43"/>
    <n v="0"/>
    <n v="43"/>
    <n v="38"/>
    <n v="31"/>
    <n v="39"/>
    <n v="37"/>
    <n v="28"/>
    <n v="0"/>
    <n v="36"/>
    <n v="31"/>
    <n v="958"/>
    <n v="30"/>
    <n v="30"/>
    <n v="30"/>
    <n v="15"/>
    <n v="0"/>
    <n v="29"/>
    <n v="30"/>
    <n v="29"/>
    <n v="30"/>
    <n v="29"/>
    <n v="0"/>
    <n v="0"/>
    <n v="0"/>
    <n v="0"/>
    <n v="0"/>
    <n v="0"/>
    <n v="0"/>
    <n v="0"/>
    <n v="0"/>
    <n v="30"/>
    <n v="29"/>
    <n v="30"/>
    <n v="29"/>
    <n v="30"/>
    <n v="29"/>
    <n v="0"/>
    <n v="30"/>
    <n v="29"/>
    <n v="30"/>
    <n v="29"/>
    <n v="0"/>
    <n v="547"/>
    <n v="0"/>
    <n v="0"/>
    <n v="0"/>
    <n v="53"/>
    <n v="53"/>
    <n v="53"/>
    <n v="53"/>
    <n v="53"/>
    <n v="53"/>
    <n v="0"/>
    <n v="53"/>
    <n v="53"/>
    <n v="52"/>
    <n v="53"/>
    <n v="52"/>
    <n v="26"/>
    <n v="0"/>
    <n v="53"/>
    <n v="53"/>
    <n v="52"/>
    <n v="53"/>
    <n v="52"/>
    <n v="53"/>
    <n v="0"/>
    <n v="52"/>
    <n v="53"/>
    <n v="52"/>
    <n v="53"/>
    <n v="52"/>
    <n v="0"/>
    <n v="0"/>
    <n v="1185"/>
  </r>
  <r>
    <x v="3"/>
    <s v="F165"/>
    <s v="CAMERA ASSY  TELEVISION"/>
    <s v="TTETA"/>
    <s v="MS"/>
    <s v="P1"/>
    <s v="024J"/>
    <n v="8"/>
    <n v="0"/>
    <n v="11"/>
    <n v="10"/>
    <n v="10"/>
    <n v="11"/>
    <n v="10"/>
    <n v="0"/>
    <n v="0"/>
    <n v="9"/>
    <n v="12"/>
    <n v="9"/>
    <n v="12"/>
    <n v="10"/>
    <n v="11"/>
    <n v="0"/>
    <n v="13"/>
    <n v="11"/>
    <n v="11"/>
    <n v="10"/>
    <n v="11"/>
    <n v="0"/>
    <n v="0"/>
    <n v="8"/>
    <n v="12"/>
    <n v="10"/>
    <n v="10"/>
    <n v="10"/>
    <n v="11"/>
    <n v="0"/>
    <n v="0"/>
    <n v="0"/>
    <n v="232"/>
    <n v="0"/>
    <n v="0"/>
    <n v="0"/>
    <n v="16"/>
    <n v="18"/>
    <n v="17"/>
    <n v="8"/>
    <n v="0"/>
    <n v="16"/>
    <n v="16"/>
    <n v="17"/>
    <n v="16"/>
    <n v="14"/>
    <n v="13"/>
    <n v="0"/>
    <n v="16"/>
    <n v="15"/>
    <n v="13"/>
    <n v="16"/>
    <n v="15"/>
    <n v="15"/>
    <n v="0"/>
    <n v="14"/>
    <n v="13"/>
    <n v="10"/>
    <n v="13"/>
    <n v="13"/>
    <n v="9"/>
    <n v="0"/>
    <n v="13"/>
    <n v="10"/>
    <n v="336"/>
    <n v="3"/>
    <n v="3"/>
    <n v="3"/>
    <n v="2"/>
    <n v="0"/>
    <n v="3"/>
    <n v="3"/>
    <n v="3"/>
    <n v="3"/>
    <n v="3"/>
    <n v="0"/>
    <n v="0"/>
    <n v="0"/>
    <n v="0"/>
    <n v="0"/>
    <n v="0"/>
    <n v="0"/>
    <n v="0"/>
    <n v="0"/>
    <n v="3"/>
    <n v="3"/>
    <n v="3"/>
    <n v="3"/>
    <n v="4"/>
    <n v="3"/>
    <n v="0"/>
    <n v="4"/>
    <n v="3"/>
    <n v="4"/>
    <n v="3"/>
    <n v="0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F320"/>
    <s v="CAMERA ASSY  TELEVISION"/>
    <s v="TTETA"/>
    <s v="MS"/>
    <s v="P1"/>
    <s v="024J"/>
    <n v="8"/>
    <n v="0"/>
    <n v="20"/>
    <n v="21"/>
    <n v="22"/>
    <n v="19"/>
    <n v="21"/>
    <n v="0"/>
    <n v="0"/>
    <n v="28"/>
    <n v="23"/>
    <n v="23"/>
    <n v="21"/>
    <n v="22"/>
    <n v="22"/>
    <n v="0"/>
    <n v="24"/>
    <n v="22"/>
    <n v="22"/>
    <n v="24"/>
    <n v="20"/>
    <n v="0"/>
    <n v="0"/>
    <n v="28"/>
    <n v="22"/>
    <n v="17"/>
    <n v="23"/>
    <n v="21"/>
    <n v="20"/>
    <n v="0"/>
    <n v="0"/>
    <n v="0"/>
    <n v="485"/>
    <n v="0"/>
    <n v="0"/>
    <n v="0"/>
    <n v="17"/>
    <n v="20"/>
    <n v="19"/>
    <n v="10"/>
    <n v="0"/>
    <n v="19"/>
    <n v="20"/>
    <n v="16"/>
    <n v="22"/>
    <n v="15"/>
    <n v="17"/>
    <n v="0"/>
    <n v="18"/>
    <n v="22"/>
    <n v="16"/>
    <n v="18"/>
    <n v="18"/>
    <n v="17"/>
    <n v="0"/>
    <n v="19"/>
    <n v="17"/>
    <n v="14"/>
    <n v="18"/>
    <n v="12"/>
    <n v="13"/>
    <n v="0"/>
    <n v="12"/>
    <n v="13"/>
    <n v="402"/>
    <n v="16"/>
    <n v="16"/>
    <n v="16"/>
    <n v="8"/>
    <n v="0"/>
    <n v="16"/>
    <n v="16"/>
    <n v="16"/>
    <n v="16"/>
    <n v="16"/>
    <n v="0"/>
    <n v="0"/>
    <n v="0"/>
    <n v="0"/>
    <n v="0"/>
    <n v="0"/>
    <n v="0"/>
    <n v="0"/>
    <n v="0"/>
    <n v="16"/>
    <n v="16"/>
    <n v="16"/>
    <n v="16"/>
    <n v="17"/>
    <n v="16"/>
    <n v="0"/>
    <n v="17"/>
    <n v="16"/>
    <n v="17"/>
    <n v="16"/>
    <n v="0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F323"/>
    <s v="CAMERA ASSY  TELEVISION"/>
    <s v="TTETA"/>
    <s v="MS"/>
    <s v="P1"/>
    <s v="024J"/>
    <n v="8"/>
    <n v="0"/>
    <n v="4"/>
    <n v="3"/>
    <n v="2"/>
    <n v="4"/>
    <n v="3"/>
    <n v="0"/>
    <n v="0"/>
    <n v="3"/>
    <n v="4"/>
    <n v="3"/>
    <n v="3"/>
    <n v="3"/>
    <n v="3"/>
    <n v="0"/>
    <n v="3"/>
    <n v="3"/>
    <n v="3"/>
    <n v="4"/>
    <n v="4"/>
    <n v="0"/>
    <n v="0"/>
    <n v="2"/>
    <n v="3"/>
    <n v="4"/>
    <n v="3"/>
    <n v="2"/>
    <n v="4"/>
    <n v="0"/>
    <n v="0"/>
    <n v="0"/>
    <n v="7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2"/>
    <n v="0"/>
    <n v="0"/>
    <n v="0"/>
    <n v="1"/>
    <n v="1"/>
    <n v="1"/>
    <n v="1"/>
    <n v="1"/>
    <n v="1"/>
    <n v="0"/>
    <n v="1"/>
    <n v="1"/>
    <n v="0"/>
    <n v="1"/>
    <n v="0"/>
    <n v="0"/>
    <n v="0"/>
    <n v="1"/>
    <n v="1"/>
    <n v="0"/>
    <n v="1"/>
    <n v="0"/>
    <n v="1"/>
    <n v="0"/>
    <n v="0"/>
    <n v="1"/>
    <n v="0"/>
    <n v="1"/>
    <n v="0"/>
    <n v="0"/>
    <n v="0"/>
    <n v="15"/>
  </r>
  <r>
    <x v="6"/>
    <s v="D331"/>
    <s v="CAMERA ASSY  TELEVISION"/>
    <s v="TTETA"/>
    <s v="MS"/>
    <s v="P1"/>
    <s v="024J"/>
    <n v="6"/>
    <n v="0"/>
    <n v="26"/>
    <n v="29"/>
    <n v="25"/>
    <n v="26"/>
    <n v="26"/>
    <n v="0"/>
    <n v="0"/>
    <n v="28"/>
    <n v="29"/>
    <n v="30"/>
    <n v="28"/>
    <n v="28"/>
    <n v="25"/>
    <n v="0"/>
    <n v="30"/>
    <n v="28"/>
    <n v="27"/>
    <n v="31"/>
    <n v="27"/>
    <n v="0"/>
    <n v="0"/>
    <n v="27"/>
    <n v="29"/>
    <n v="23"/>
    <n v="27"/>
    <n v="29"/>
    <n v="25"/>
    <n v="0"/>
    <n v="0"/>
    <n v="0"/>
    <n v="603"/>
    <n v="0"/>
    <n v="0"/>
    <n v="0"/>
    <n v="37"/>
    <n v="35"/>
    <n v="34"/>
    <n v="16"/>
    <n v="0"/>
    <n v="33"/>
    <n v="32"/>
    <n v="35"/>
    <n v="33"/>
    <n v="28"/>
    <n v="26"/>
    <n v="0"/>
    <n v="33"/>
    <n v="32"/>
    <n v="29"/>
    <n v="34"/>
    <n v="29"/>
    <n v="31"/>
    <n v="0"/>
    <n v="32"/>
    <n v="26"/>
    <n v="23"/>
    <n v="29"/>
    <n v="25"/>
    <n v="18"/>
    <n v="0"/>
    <n v="28"/>
    <n v="21"/>
    <n v="699"/>
    <n v="18"/>
    <n v="18"/>
    <n v="18"/>
    <n v="9"/>
    <n v="0"/>
    <n v="18"/>
    <n v="18"/>
    <n v="18"/>
    <n v="18"/>
    <n v="18"/>
    <n v="0"/>
    <n v="0"/>
    <n v="0"/>
    <n v="0"/>
    <n v="0"/>
    <n v="0"/>
    <n v="0"/>
    <n v="0"/>
    <n v="0"/>
    <n v="18"/>
    <n v="18"/>
    <n v="18"/>
    <n v="18"/>
    <n v="18"/>
    <n v="18"/>
    <n v="0"/>
    <n v="18"/>
    <n v="18"/>
    <n v="18"/>
    <n v="17"/>
    <n v="0"/>
    <n v="332"/>
    <n v="0"/>
    <n v="0"/>
    <n v="0"/>
    <n v="32"/>
    <n v="32"/>
    <n v="32"/>
    <n v="32"/>
    <n v="32"/>
    <n v="32"/>
    <n v="0"/>
    <n v="32"/>
    <n v="33"/>
    <n v="32"/>
    <n v="33"/>
    <n v="32"/>
    <n v="16"/>
    <n v="0"/>
    <n v="33"/>
    <n v="33"/>
    <n v="32"/>
    <n v="33"/>
    <n v="32"/>
    <n v="33"/>
    <n v="0"/>
    <n v="32"/>
    <n v="33"/>
    <n v="32"/>
    <n v="33"/>
    <n v="32"/>
    <n v="0"/>
    <n v="0"/>
    <n v="728"/>
  </r>
  <r>
    <x v="7"/>
    <s v="F530"/>
    <s v="CAMERA ASSY  TELEVISION"/>
    <s v="TTETA"/>
    <s v="MS"/>
    <s v="P1"/>
    <s v="024J"/>
    <n v="10"/>
    <n v="0"/>
    <n v="30"/>
    <n v="30"/>
    <n v="25"/>
    <n v="27"/>
    <n v="28"/>
    <n v="0"/>
    <n v="0"/>
    <n v="25"/>
    <n v="29"/>
    <n v="31"/>
    <n v="31"/>
    <n v="31"/>
    <n v="17"/>
    <n v="0"/>
    <n v="26"/>
    <n v="33"/>
    <n v="29"/>
    <n v="34"/>
    <n v="29"/>
    <n v="0"/>
    <n v="0"/>
    <n v="24"/>
    <n v="30"/>
    <n v="24"/>
    <n v="26"/>
    <n v="31"/>
    <n v="28"/>
    <n v="0"/>
    <n v="0"/>
    <n v="0"/>
    <n v="618"/>
    <n v="0"/>
    <n v="0"/>
    <n v="0"/>
    <n v="40"/>
    <n v="36"/>
    <n v="37"/>
    <n v="15"/>
    <n v="0"/>
    <n v="35"/>
    <n v="34"/>
    <n v="36"/>
    <n v="34"/>
    <n v="31"/>
    <n v="29"/>
    <n v="0"/>
    <n v="32"/>
    <n v="30"/>
    <n v="31"/>
    <n v="34"/>
    <n v="33"/>
    <n v="33"/>
    <n v="0"/>
    <n v="31"/>
    <n v="28"/>
    <n v="26"/>
    <n v="29"/>
    <n v="26"/>
    <n v="21"/>
    <n v="0"/>
    <n v="28"/>
    <n v="24"/>
    <n v="733"/>
    <n v="22"/>
    <n v="22"/>
    <n v="22"/>
    <n v="11"/>
    <n v="0"/>
    <n v="22"/>
    <n v="22"/>
    <n v="22"/>
    <n v="22"/>
    <n v="22"/>
    <n v="0"/>
    <n v="0"/>
    <n v="0"/>
    <n v="0"/>
    <n v="0"/>
    <n v="0"/>
    <n v="0"/>
    <n v="0"/>
    <n v="0"/>
    <n v="22"/>
    <n v="22"/>
    <n v="22"/>
    <n v="22"/>
    <n v="22"/>
    <n v="22"/>
    <n v="0"/>
    <n v="22"/>
    <n v="22"/>
    <n v="22"/>
    <n v="21"/>
    <n v="0"/>
    <n v="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AU19"/>
    <s v="CAMERA ASSY  TELEVISION"/>
    <s v="TTETA"/>
    <s v="N2"/>
    <s v="P1"/>
    <s v="025J"/>
    <n v="25"/>
    <n v="0"/>
    <n v="10"/>
    <n v="9"/>
    <n v="10"/>
    <n v="11"/>
    <n v="8"/>
    <n v="0"/>
    <n v="0"/>
    <n v="9"/>
    <n v="9"/>
    <n v="9"/>
    <n v="11"/>
    <n v="9"/>
    <n v="8"/>
    <n v="0"/>
    <n v="10"/>
    <n v="10"/>
    <n v="10"/>
    <n v="9"/>
    <n v="10"/>
    <n v="0"/>
    <n v="0"/>
    <n v="7"/>
    <n v="8"/>
    <n v="8"/>
    <n v="10"/>
    <n v="7"/>
    <n v="9"/>
    <n v="0"/>
    <n v="0"/>
    <n v="0"/>
    <n v="201"/>
    <n v="0"/>
    <n v="0"/>
    <n v="0"/>
    <n v="8"/>
    <n v="6"/>
    <n v="7"/>
    <n v="0"/>
    <n v="0"/>
    <n v="7"/>
    <n v="6"/>
    <n v="6"/>
    <n v="8"/>
    <n v="7"/>
    <n v="6"/>
    <n v="0"/>
    <n v="7"/>
    <n v="5"/>
    <n v="7"/>
    <n v="6"/>
    <n v="7"/>
    <n v="0"/>
    <n v="0"/>
    <n v="6"/>
    <n v="6"/>
    <n v="7"/>
    <n v="6"/>
    <n v="7"/>
    <n v="6"/>
    <n v="0"/>
    <n v="7"/>
    <n v="6"/>
    <n v="144"/>
    <n v="4"/>
    <n v="4"/>
    <n v="4"/>
    <n v="2"/>
    <n v="0"/>
    <n v="4"/>
    <n v="4"/>
    <n v="4"/>
    <n v="4"/>
    <n v="4"/>
    <n v="0"/>
    <n v="0"/>
    <n v="0"/>
    <n v="0"/>
    <n v="0"/>
    <n v="0"/>
    <n v="0"/>
    <n v="0"/>
    <n v="0"/>
    <n v="5"/>
    <n v="4"/>
    <n v="5"/>
    <n v="4"/>
    <n v="5"/>
    <n v="4"/>
    <n v="0"/>
    <n v="5"/>
    <n v="4"/>
    <n v="5"/>
    <n v="4"/>
    <n v="0"/>
    <n v="79"/>
    <n v="0"/>
    <n v="0"/>
    <n v="0"/>
    <n v="9"/>
    <n v="9"/>
    <n v="9"/>
    <n v="9"/>
    <n v="9"/>
    <n v="9"/>
    <n v="0"/>
    <n v="9"/>
    <n v="9"/>
    <n v="9"/>
    <n v="9"/>
    <n v="9"/>
    <n v="4"/>
    <n v="0"/>
    <n v="9"/>
    <n v="9"/>
    <n v="9"/>
    <n v="9"/>
    <n v="9"/>
    <n v="9"/>
    <n v="0"/>
    <n v="9"/>
    <n v="9"/>
    <n v="8"/>
    <n v="9"/>
    <n v="8"/>
    <n v="0"/>
    <n v="0"/>
    <n v="200"/>
  </r>
  <r>
    <x v="8"/>
    <s v="AU19"/>
    <s v="CAMERA ASSY  TELEVISION"/>
    <s v="TTETA"/>
    <m/>
    <s v="E1"/>
    <s v="025J"/>
    <n v="25"/>
    <n v="0"/>
    <n v="110"/>
    <n v="106"/>
    <n v="101"/>
    <n v="100"/>
    <n v="92"/>
    <n v="0"/>
    <n v="0"/>
    <n v="107"/>
    <n v="108"/>
    <n v="100"/>
    <n v="108"/>
    <n v="99"/>
    <n v="94"/>
    <n v="0"/>
    <n v="105"/>
    <n v="98"/>
    <n v="106"/>
    <n v="103"/>
    <n v="101"/>
    <n v="0"/>
    <n v="0"/>
    <n v="0"/>
    <n v="0"/>
    <n v="0"/>
    <n v="0"/>
    <n v="0"/>
    <n v="1"/>
    <n v="0"/>
    <n v="0"/>
    <n v="0"/>
    <n v="1639"/>
    <n v="0"/>
    <n v="0"/>
    <n v="0"/>
    <n v="121"/>
    <n v="122"/>
    <n v="116"/>
    <n v="50"/>
    <n v="0"/>
    <n v="116"/>
    <n v="115"/>
    <n v="121"/>
    <n v="120"/>
    <n v="108"/>
    <n v="100"/>
    <n v="0"/>
    <n v="166"/>
    <n v="157"/>
    <n v="148"/>
    <n v="170"/>
    <n v="159"/>
    <n v="158"/>
    <n v="0"/>
    <n v="170"/>
    <n v="165"/>
    <n v="143"/>
    <n v="173"/>
    <n v="154"/>
    <n v="143"/>
    <n v="0"/>
    <n v="170"/>
    <n v="151"/>
    <n v="3316"/>
    <n v="118"/>
    <n v="118"/>
    <n v="118"/>
    <n v="59"/>
    <n v="0"/>
    <n v="118"/>
    <n v="118"/>
    <n v="118"/>
    <n v="118"/>
    <n v="118"/>
    <n v="0"/>
    <n v="0"/>
    <n v="0"/>
    <n v="0"/>
    <n v="0"/>
    <n v="0"/>
    <n v="0"/>
    <n v="0"/>
    <n v="0"/>
    <n v="118"/>
    <n v="118"/>
    <n v="118"/>
    <n v="118"/>
    <n v="118"/>
    <n v="118"/>
    <n v="0"/>
    <n v="118"/>
    <n v="118"/>
    <n v="118"/>
    <n v="118"/>
    <n v="0"/>
    <n v="2183"/>
    <n v="0"/>
    <n v="0"/>
    <n v="0"/>
    <n v="147"/>
    <n v="147"/>
    <n v="147"/>
    <n v="147"/>
    <n v="147"/>
    <n v="147"/>
    <n v="0"/>
    <n v="147"/>
    <n v="147"/>
    <n v="147"/>
    <n v="147"/>
    <n v="147"/>
    <n v="74"/>
    <n v="0"/>
    <n v="147"/>
    <n v="147"/>
    <n v="147"/>
    <n v="147"/>
    <n v="147"/>
    <n v="147"/>
    <n v="0"/>
    <n v="147"/>
    <n v="147"/>
    <n v="147"/>
    <n v="147"/>
    <n v="147"/>
    <n v="0"/>
    <n v="0"/>
    <n v="3308"/>
  </r>
  <r>
    <x v="9"/>
    <s v="AU20"/>
    <s v="CAMERA ASSY  TELEVISION"/>
    <s v="TTETA"/>
    <s v="N2"/>
    <s v="P1"/>
    <s v="025J"/>
    <n v="38"/>
    <n v="0"/>
    <n v="10"/>
    <n v="9"/>
    <n v="10"/>
    <n v="11"/>
    <n v="8"/>
    <n v="0"/>
    <n v="0"/>
    <n v="9"/>
    <n v="9"/>
    <n v="9"/>
    <n v="11"/>
    <n v="9"/>
    <n v="8"/>
    <n v="0"/>
    <n v="10"/>
    <n v="10"/>
    <n v="10"/>
    <n v="9"/>
    <n v="10"/>
    <n v="0"/>
    <n v="0"/>
    <n v="7"/>
    <n v="8"/>
    <n v="8"/>
    <n v="10"/>
    <n v="7"/>
    <n v="9"/>
    <n v="0"/>
    <n v="0"/>
    <n v="0"/>
    <n v="201"/>
    <n v="0"/>
    <n v="0"/>
    <n v="0"/>
    <n v="8"/>
    <n v="6"/>
    <n v="7"/>
    <n v="0"/>
    <n v="0"/>
    <n v="7"/>
    <n v="6"/>
    <n v="6"/>
    <n v="8"/>
    <n v="7"/>
    <n v="6"/>
    <n v="0"/>
    <n v="7"/>
    <n v="5"/>
    <n v="7"/>
    <n v="6"/>
    <n v="7"/>
    <n v="0"/>
    <n v="0"/>
    <n v="6"/>
    <n v="6"/>
    <n v="7"/>
    <n v="6"/>
    <n v="7"/>
    <n v="6"/>
    <n v="0"/>
    <n v="7"/>
    <n v="6"/>
    <n v="144"/>
    <n v="4"/>
    <n v="4"/>
    <n v="4"/>
    <n v="2"/>
    <n v="0"/>
    <n v="4"/>
    <n v="4"/>
    <n v="4"/>
    <n v="4"/>
    <n v="4"/>
    <n v="0"/>
    <n v="0"/>
    <n v="0"/>
    <n v="0"/>
    <n v="0"/>
    <n v="0"/>
    <n v="0"/>
    <n v="0"/>
    <n v="0"/>
    <n v="5"/>
    <n v="4"/>
    <n v="5"/>
    <n v="4"/>
    <n v="5"/>
    <n v="4"/>
    <n v="0"/>
    <n v="5"/>
    <n v="4"/>
    <n v="5"/>
    <n v="4"/>
    <n v="0"/>
    <n v="79"/>
    <n v="0"/>
    <n v="0"/>
    <n v="0"/>
    <n v="9"/>
    <n v="9"/>
    <n v="9"/>
    <n v="9"/>
    <n v="9"/>
    <n v="9"/>
    <n v="0"/>
    <n v="9"/>
    <n v="9"/>
    <n v="9"/>
    <n v="9"/>
    <n v="9"/>
    <n v="4"/>
    <n v="0"/>
    <n v="9"/>
    <n v="9"/>
    <n v="9"/>
    <n v="9"/>
    <n v="9"/>
    <n v="9"/>
    <n v="0"/>
    <n v="9"/>
    <n v="9"/>
    <n v="8"/>
    <n v="9"/>
    <n v="8"/>
    <n v="0"/>
    <n v="0"/>
    <n v="200"/>
  </r>
  <r>
    <x v="9"/>
    <s v="AU20"/>
    <s v="CAMERA ASSY  TELEVISION"/>
    <s v="TTETA"/>
    <m/>
    <s v="E1"/>
    <s v="025J"/>
    <n v="38"/>
    <n v="0"/>
    <n v="110"/>
    <n v="106"/>
    <n v="101"/>
    <n v="100"/>
    <n v="92"/>
    <n v="0"/>
    <n v="0"/>
    <n v="107"/>
    <n v="108"/>
    <n v="100"/>
    <n v="108"/>
    <n v="99"/>
    <n v="94"/>
    <n v="0"/>
    <n v="105"/>
    <n v="98"/>
    <n v="106"/>
    <n v="103"/>
    <n v="101"/>
    <n v="0"/>
    <n v="0"/>
    <n v="0"/>
    <n v="0"/>
    <n v="0"/>
    <n v="0"/>
    <n v="0"/>
    <n v="1"/>
    <n v="0"/>
    <n v="0"/>
    <n v="0"/>
    <n v="1639"/>
    <n v="0"/>
    <n v="0"/>
    <n v="0"/>
    <n v="121"/>
    <n v="122"/>
    <n v="116"/>
    <n v="50"/>
    <n v="0"/>
    <n v="116"/>
    <n v="115"/>
    <n v="121"/>
    <n v="120"/>
    <n v="108"/>
    <n v="100"/>
    <n v="0"/>
    <n v="166"/>
    <n v="157"/>
    <n v="148"/>
    <n v="170"/>
    <n v="159"/>
    <n v="158"/>
    <n v="0"/>
    <n v="170"/>
    <n v="165"/>
    <n v="143"/>
    <n v="173"/>
    <n v="154"/>
    <n v="143"/>
    <n v="0"/>
    <n v="170"/>
    <n v="151"/>
    <n v="3316"/>
    <n v="118"/>
    <n v="118"/>
    <n v="118"/>
    <n v="59"/>
    <n v="0"/>
    <n v="118"/>
    <n v="118"/>
    <n v="118"/>
    <n v="118"/>
    <n v="118"/>
    <n v="0"/>
    <n v="0"/>
    <n v="0"/>
    <n v="0"/>
    <n v="0"/>
    <n v="0"/>
    <n v="0"/>
    <n v="0"/>
    <n v="0"/>
    <n v="118"/>
    <n v="118"/>
    <n v="118"/>
    <n v="118"/>
    <n v="118"/>
    <n v="118"/>
    <n v="0"/>
    <n v="118"/>
    <n v="118"/>
    <n v="118"/>
    <n v="118"/>
    <n v="0"/>
    <n v="2183"/>
    <n v="0"/>
    <n v="0"/>
    <n v="0"/>
    <n v="147"/>
    <n v="147"/>
    <n v="147"/>
    <n v="147"/>
    <n v="147"/>
    <n v="147"/>
    <n v="0"/>
    <n v="147"/>
    <n v="147"/>
    <n v="147"/>
    <n v="147"/>
    <n v="147"/>
    <n v="74"/>
    <n v="0"/>
    <n v="147"/>
    <n v="147"/>
    <n v="147"/>
    <n v="147"/>
    <n v="147"/>
    <n v="147"/>
    <n v="0"/>
    <n v="147"/>
    <n v="147"/>
    <n v="147"/>
    <n v="147"/>
    <n v="147"/>
    <n v="0"/>
    <n v="0"/>
    <n v="3308"/>
  </r>
  <r>
    <x v="10"/>
    <s v="T742"/>
    <s v="CAMERA ASSY  TELEVISION"/>
    <s v="TTETA"/>
    <m/>
    <s v="D1"/>
    <s v="758W"/>
    <n v="20"/>
    <n v="0"/>
    <n v="60"/>
    <n v="40"/>
    <n v="60"/>
    <n v="60"/>
    <n v="40"/>
    <n v="0"/>
    <n v="0"/>
    <n v="60"/>
    <n v="40"/>
    <n v="60"/>
    <n v="60"/>
    <n v="40"/>
    <n v="60"/>
    <n v="0"/>
    <n v="60"/>
    <n v="40"/>
    <n v="60"/>
    <n v="60"/>
    <n v="40"/>
    <n v="0"/>
    <n v="0"/>
    <n v="60"/>
    <n v="60"/>
    <n v="40"/>
    <n v="60"/>
    <n v="40"/>
    <n v="60"/>
    <n v="0"/>
    <n v="0"/>
    <n v="0"/>
    <n v="1160"/>
    <n v="0"/>
    <n v="0"/>
    <n v="80"/>
    <n v="100"/>
    <n v="80"/>
    <n v="80"/>
    <n v="40"/>
    <n v="0"/>
    <n v="100"/>
    <n v="80"/>
    <n v="100"/>
    <n v="80"/>
    <n v="100"/>
    <n v="80"/>
    <n v="0"/>
    <n v="100"/>
    <n v="80"/>
    <n v="100"/>
    <n v="80"/>
    <n v="100"/>
    <n v="0"/>
    <n v="0"/>
    <n v="80"/>
    <n v="100"/>
    <n v="80"/>
    <n v="100"/>
    <n v="100"/>
    <n v="80"/>
    <n v="0"/>
    <n v="80"/>
    <n v="100"/>
    <n v="2100"/>
    <n v="110"/>
    <n v="110"/>
    <n v="110"/>
    <n v="55"/>
    <n v="0"/>
    <n v="110"/>
    <n v="110"/>
    <n v="110"/>
    <n v="110"/>
    <n v="110"/>
    <n v="0"/>
    <n v="0"/>
    <n v="0"/>
    <n v="0"/>
    <n v="0"/>
    <n v="0"/>
    <n v="0"/>
    <n v="0"/>
    <n v="0"/>
    <n v="111"/>
    <n v="110"/>
    <n v="111"/>
    <n v="110"/>
    <n v="111"/>
    <n v="110"/>
    <n v="0"/>
    <n v="111"/>
    <n v="110"/>
    <n v="111"/>
    <n v="110"/>
    <n v="0"/>
    <n v="2040"/>
    <n v="0"/>
    <n v="0"/>
    <n v="0"/>
    <n v="0"/>
    <n v="52"/>
    <n v="52"/>
    <n v="52"/>
    <n v="52"/>
    <n v="52"/>
    <n v="0"/>
    <n v="52"/>
    <n v="52"/>
    <n v="52"/>
    <n v="52"/>
    <n v="52"/>
    <n v="0"/>
    <n v="0"/>
    <n v="52"/>
    <n v="52"/>
    <n v="52"/>
    <n v="52"/>
    <n v="52"/>
    <n v="0"/>
    <n v="0"/>
    <n v="52"/>
    <n v="52"/>
    <n v="52"/>
    <n v="52"/>
    <n v="52"/>
    <n v="0"/>
    <n v="0"/>
    <n v="1040"/>
  </r>
  <r>
    <x v="0"/>
    <s v="W036"/>
    <s v="CAMERA ASSY  TELEVISION"/>
    <s v="TTETA"/>
    <m/>
    <s v="BN"/>
    <s v="975W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UPLD"/>
    <s v="DUMMY"/>
    <s v="TTETA"/>
    <m/>
    <s v="BN"/>
    <s v="024J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W036"/>
    <s v="CAMERA ASSY  TELEVISION"/>
    <s v="TTETA"/>
    <m/>
    <s v="BN"/>
    <s v="024J"/>
    <n v="25"/>
    <n v="0"/>
    <n v="30"/>
    <n v="40"/>
    <n v="30"/>
    <n v="20"/>
    <n v="40"/>
    <n v="0"/>
    <n v="0"/>
    <n v="10"/>
    <n v="30"/>
    <n v="40"/>
    <n v="30"/>
    <n v="30"/>
    <n v="30"/>
    <n v="0"/>
    <n v="30"/>
    <n v="30"/>
    <n v="40"/>
    <n v="20"/>
    <n v="30"/>
    <n v="0"/>
    <n v="0"/>
    <n v="20"/>
    <n v="30"/>
    <n v="40"/>
    <n v="30"/>
    <n v="30"/>
    <n v="10"/>
    <n v="0"/>
    <n v="0"/>
    <n v="0"/>
    <n v="640"/>
    <n v="0"/>
    <n v="0"/>
    <n v="30"/>
    <n v="30"/>
    <n v="20"/>
    <n v="20"/>
    <n v="20"/>
    <n v="0"/>
    <n v="40"/>
    <n v="10"/>
    <n v="40"/>
    <n v="20"/>
    <n v="30"/>
    <n v="20"/>
    <n v="0"/>
    <n v="40"/>
    <n v="20"/>
    <n v="30"/>
    <n v="20"/>
    <n v="30"/>
    <n v="0"/>
    <n v="0"/>
    <n v="40"/>
    <n v="20"/>
    <n v="30"/>
    <n v="40"/>
    <n v="0"/>
    <n v="40"/>
    <n v="0"/>
    <n v="30"/>
    <n v="30"/>
    <n v="650"/>
    <n v="25"/>
    <n v="25"/>
    <n v="25"/>
    <n v="12"/>
    <n v="0"/>
    <n v="25"/>
    <n v="25"/>
    <n v="25"/>
    <n v="25"/>
    <n v="25"/>
    <n v="0"/>
    <n v="0"/>
    <n v="0"/>
    <n v="0"/>
    <n v="0"/>
    <n v="0"/>
    <n v="0"/>
    <n v="0"/>
    <n v="0"/>
    <n v="25"/>
    <n v="25"/>
    <n v="25"/>
    <n v="25"/>
    <n v="25"/>
    <n v="25"/>
    <n v="0"/>
    <n v="25"/>
    <n v="24"/>
    <n v="25"/>
    <n v="24"/>
    <n v="0"/>
    <n v="460"/>
    <n v="0"/>
    <n v="0"/>
    <n v="0"/>
    <n v="0"/>
    <n v="12"/>
    <n v="11"/>
    <n v="12"/>
    <n v="11"/>
    <n v="12"/>
    <n v="0"/>
    <n v="11"/>
    <n v="12"/>
    <n v="11"/>
    <n v="12"/>
    <n v="11"/>
    <n v="0"/>
    <n v="0"/>
    <n v="12"/>
    <n v="11"/>
    <n v="12"/>
    <n v="11"/>
    <n v="12"/>
    <n v="0"/>
    <n v="0"/>
    <n v="11"/>
    <n v="12"/>
    <n v="11"/>
    <n v="12"/>
    <n v="11"/>
    <n v="0"/>
    <n v="0"/>
    <n v="230"/>
  </r>
  <r>
    <x v="0"/>
    <s v="W036"/>
    <s v="CAMERA ASSY  TELEVISION"/>
    <s v="TTETA"/>
    <m/>
    <s v="D1"/>
    <s v="024J"/>
    <n v="30"/>
    <n v="0"/>
    <n v="270"/>
    <n v="270"/>
    <n v="240"/>
    <n v="270"/>
    <n v="270"/>
    <n v="0"/>
    <n v="0"/>
    <n v="270"/>
    <n v="270"/>
    <n v="240"/>
    <n v="300"/>
    <n v="240"/>
    <n v="240"/>
    <n v="0"/>
    <n v="300"/>
    <n v="240"/>
    <n v="270"/>
    <n v="270"/>
    <n v="270"/>
    <n v="0"/>
    <n v="0"/>
    <n v="240"/>
    <n v="270"/>
    <n v="270"/>
    <n v="270"/>
    <n v="270"/>
    <n v="240"/>
    <n v="0"/>
    <n v="0"/>
    <n v="0"/>
    <n v="5790"/>
    <n v="0"/>
    <n v="0"/>
    <n v="240"/>
    <n v="300"/>
    <n v="300"/>
    <n v="360"/>
    <n v="150"/>
    <n v="0"/>
    <n v="330"/>
    <n v="360"/>
    <n v="330"/>
    <n v="360"/>
    <n v="360"/>
    <n v="360"/>
    <n v="0"/>
    <n v="330"/>
    <n v="390"/>
    <n v="360"/>
    <n v="330"/>
    <n v="360"/>
    <n v="0"/>
    <n v="0"/>
    <n v="360"/>
    <n v="360"/>
    <n v="330"/>
    <n v="390"/>
    <n v="360"/>
    <n v="330"/>
    <n v="0"/>
    <n v="360"/>
    <n v="270"/>
    <n v="7980"/>
    <n v="297"/>
    <n v="297"/>
    <n v="297"/>
    <n v="148"/>
    <n v="0"/>
    <n v="297"/>
    <n v="297"/>
    <n v="297"/>
    <n v="297"/>
    <n v="297"/>
    <n v="0"/>
    <n v="0"/>
    <n v="0"/>
    <n v="0"/>
    <n v="0"/>
    <n v="0"/>
    <n v="0"/>
    <n v="0"/>
    <n v="0"/>
    <n v="297"/>
    <n v="297"/>
    <n v="297"/>
    <n v="296"/>
    <n v="297"/>
    <n v="296"/>
    <n v="0"/>
    <n v="297"/>
    <n v="296"/>
    <n v="297"/>
    <n v="296"/>
    <n v="0"/>
    <n v="5490"/>
    <n v="0"/>
    <n v="0"/>
    <n v="0"/>
    <n v="0"/>
    <n v="186"/>
    <n v="186"/>
    <n v="186"/>
    <n v="186"/>
    <n v="186"/>
    <n v="0"/>
    <n v="186"/>
    <n v="186"/>
    <n v="186"/>
    <n v="186"/>
    <n v="186"/>
    <n v="0"/>
    <n v="0"/>
    <n v="186"/>
    <n v="186"/>
    <n v="186"/>
    <n v="186"/>
    <n v="186"/>
    <n v="0"/>
    <n v="0"/>
    <n v="186"/>
    <n v="186"/>
    <n v="186"/>
    <n v="186"/>
    <n v="186"/>
    <n v="0"/>
    <n v="0"/>
    <n v="3720"/>
  </r>
  <r>
    <x v="2"/>
    <s v="M523"/>
    <s v="CAMERA ASSY  TELEVISION"/>
    <s v="TTETA"/>
    <m/>
    <s v="D1"/>
    <s v="024J"/>
    <n v="20"/>
    <n v="0"/>
    <n v="340"/>
    <n v="280"/>
    <n v="300"/>
    <n v="320"/>
    <n v="280"/>
    <n v="0"/>
    <n v="0"/>
    <n v="280"/>
    <n v="280"/>
    <n v="320"/>
    <n v="280"/>
    <n v="320"/>
    <n v="300"/>
    <n v="0"/>
    <n v="280"/>
    <n v="260"/>
    <n v="260"/>
    <n v="320"/>
    <n v="320"/>
    <n v="0"/>
    <n v="0"/>
    <n v="320"/>
    <n v="320"/>
    <n v="300"/>
    <n v="360"/>
    <n v="320"/>
    <n v="320"/>
    <n v="0"/>
    <n v="0"/>
    <n v="0"/>
    <n v="6680"/>
    <n v="0"/>
    <n v="0"/>
    <n v="260"/>
    <n v="280"/>
    <n v="320"/>
    <n v="300"/>
    <n v="140"/>
    <n v="0"/>
    <n v="300"/>
    <n v="280"/>
    <n v="320"/>
    <n v="320"/>
    <n v="300"/>
    <n v="300"/>
    <n v="0"/>
    <n v="300"/>
    <n v="300"/>
    <n v="320"/>
    <n v="300"/>
    <n v="300"/>
    <n v="0"/>
    <n v="0"/>
    <n v="280"/>
    <n v="280"/>
    <n v="260"/>
    <n v="280"/>
    <n v="260"/>
    <n v="260"/>
    <n v="0"/>
    <n v="260"/>
    <n v="220"/>
    <n v="6740"/>
    <n v="277"/>
    <n v="277"/>
    <n v="277"/>
    <n v="138"/>
    <n v="0"/>
    <n v="277"/>
    <n v="277"/>
    <n v="277"/>
    <n v="277"/>
    <n v="277"/>
    <n v="0"/>
    <n v="0"/>
    <n v="0"/>
    <n v="0"/>
    <n v="0"/>
    <n v="0"/>
    <n v="0"/>
    <n v="0"/>
    <n v="0"/>
    <n v="277"/>
    <n v="277"/>
    <n v="277"/>
    <n v="276"/>
    <n v="277"/>
    <n v="276"/>
    <n v="0"/>
    <n v="277"/>
    <n v="276"/>
    <n v="277"/>
    <n v="276"/>
    <n v="0"/>
    <n v="5120"/>
    <n v="0"/>
    <n v="0"/>
    <n v="0"/>
    <n v="0"/>
    <n v="211"/>
    <n v="211"/>
    <n v="211"/>
    <n v="211"/>
    <n v="211"/>
    <n v="0"/>
    <n v="211"/>
    <n v="211"/>
    <n v="211"/>
    <n v="211"/>
    <n v="211"/>
    <n v="0"/>
    <n v="0"/>
    <n v="211"/>
    <n v="211"/>
    <n v="211"/>
    <n v="211"/>
    <n v="211"/>
    <n v="0"/>
    <n v="0"/>
    <n v="211"/>
    <n v="211"/>
    <n v="211"/>
    <n v="211"/>
    <n v="211"/>
    <n v="0"/>
    <n v="0"/>
    <n v="4220"/>
  </r>
  <r>
    <x v="2"/>
    <s v="M523"/>
    <s v="CAMERA ASSY  TELEVISION"/>
    <s v="TTETA"/>
    <m/>
    <s v="BN"/>
    <s v="024J"/>
    <n v="10"/>
    <n v="0"/>
    <n v="20"/>
    <n v="10"/>
    <n v="10"/>
    <n v="0"/>
    <n v="10"/>
    <n v="0"/>
    <n v="0"/>
    <n v="10"/>
    <n v="10"/>
    <n v="10"/>
    <n v="10"/>
    <n v="10"/>
    <n v="10"/>
    <n v="0"/>
    <n v="0"/>
    <n v="10"/>
    <n v="10"/>
    <n v="10"/>
    <n v="10"/>
    <n v="0"/>
    <n v="0"/>
    <n v="0"/>
    <n v="0"/>
    <n v="0"/>
    <n v="0"/>
    <n v="10"/>
    <n v="10"/>
    <n v="0"/>
    <n v="0"/>
    <n v="0"/>
    <n v="170"/>
    <n v="0"/>
    <n v="0"/>
    <n v="10"/>
    <n v="20"/>
    <n v="10"/>
    <n v="30"/>
    <n v="0"/>
    <n v="0"/>
    <n v="20"/>
    <n v="10"/>
    <n v="20"/>
    <n v="10"/>
    <n v="20"/>
    <n v="10"/>
    <n v="0"/>
    <n v="30"/>
    <n v="10"/>
    <n v="20"/>
    <n v="10"/>
    <n v="20"/>
    <n v="0"/>
    <n v="0"/>
    <n v="10"/>
    <n v="20"/>
    <n v="10"/>
    <n v="20"/>
    <n v="20"/>
    <n v="20"/>
    <n v="0"/>
    <n v="10"/>
    <n v="20"/>
    <n v="380"/>
    <n v="7"/>
    <n v="7"/>
    <n v="7"/>
    <n v="4"/>
    <n v="0"/>
    <n v="7"/>
    <n v="7"/>
    <n v="7"/>
    <n v="7"/>
    <n v="7"/>
    <n v="0"/>
    <n v="0"/>
    <n v="0"/>
    <n v="0"/>
    <n v="0"/>
    <n v="0"/>
    <n v="0"/>
    <n v="0"/>
    <n v="0"/>
    <n v="7"/>
    <n v="7"/>
    <n v="7"/>
    <n v="7"/>
    <n v="7"/>
    <n v="7"/>
    <n v="0"/>
    <n v="7"/>
    <n v="7"/>
    <n v="7"/>
    <n v="7"/>
    <n v="0"/>
    <n v="130"/>
    <n v="0"/>
    <n v="0"/>
    <n v="0"/>
    <n v="0"/>
    <n v="11"/>
    <n v="10"/>
    <n v="11"/>
    <n v="10"/>
    <n v="11"/>
    <n v="0"/>
    <n v="10"/>
    <n v="11"/>
    <n v="10"/>
    <n v="11"/>
    <n v="10"/>
    <n v="0"/>
    <n v="0"/>
    <n v="11"/>
    <n v="10"/>
    <n v="11"/>
    <n v="10"/>
    <n v="11"/>
    <n v="0"/>
    <n v="0"/>
    <n v="10"/>
    <n v="11"/>
    <n v="10"/>
    <n v="11"/>
    <n v="10"/>
    <n v="0"/>
    <n v="0"/>
    <n v="210"/>
  </r>
  <r>
    <x v="3"/>
    <s v="U324"/>
    <s v="CAMERA ASSY  TELEVISION"/>
    <s v="TTETA"/>
    <m/>
    <s v="BN"/>
    <s v="024J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s v="T962"/>
    <s v="CAMERA ASSY  TELEVISION"/>
    <s v="TTETA"/>
    <m/>
    <s v="D1"/>
    <s v="024J"/>
    <n v="20"/>
    <n v="0"/>
    <n v="20"/>
    <n v="0"/>
    <n v="20"/>
    <n v="0"/>
    <n v="20"/>
    <n v="0"/>
    <n v="0"/>
    <n v="0"/>
    <n v="20"/>
    <n v="0"/>
    <n v="20"/>
    <n v="0"/>
    <n v="20"/>
    <n v="0"/>
    <n v="20"/>
    <n v="0"/>
    <n v="20"/>
    <n v="0"/>
    <n v="20"/>
    <n v="0"/>
    <n v="0"/>
    <n v="0"/>
    <n v="20"/>
    <n v="0"/>
    <n v="20"/>
    <n v="0"/>
    <n v="20"/>
    <n v="0"/>
    <n v="0"/>
    <n v="0"/>
    <n v="240"/>
    <n v="0"/>
    <n v="0"/>
    <n v="20"/>
    <n v="0"/>
    <n v="20"/>
    <n v="20"/>
    <n v="0"/>
    <n v="0"/>
    <n v="20"/>
    <n v="20"/>
    <n v="20"/>
    <n v="0"/>
    <n v="20"/>
    <n v="20"/>
    <n v="0"/>
    <n v="20"/>
    <n v="20"/>
    <n v="0"/>
    <n v="20"/>
    <n v="20"/>
    <n v="0"/>
    <n v="0"/>
    <n v="20"/>
    <n v="0"/>
    <n v="20"/>
    <n v="20"/>
    <n v="20"/>
    <n v="0"/>
    <n v="0"/>
    <n v="20"/>
    <n v="20"/>
    <n v="360"/>
    <n v="11"/>
    <n v="11"/>
    <n v="11"/>
    <n v="5"/>
    <n v="0"/>
    <n v="11"/>
    <n v="11"/>
    <n v="11"/>
    <n v="11"/>
    <n v="11"/>
    <n v="0"/>
    <n v="0"/>
    <n v="0"/>
    <n v="0"/>
    <n v="0"/>
    <n v="0"/>
    <n v="0"/>
    <n v="0"/>
    <n v="0"/>
    <n v="11"/>
    <n v="11"/>
    <n v="11"/>
    <n v="11"/>
    <n v="11"/>
    <n v="10"/>
    <n v="0"/>
    <n v="11"/>
    <n v="10"/>
    <n v="11"/>
    <n v="10"/>
    <n v="0"/>
    <n v="200"/>
    <n v="0"/>
    <n v="0"/>
    <n v="0"/>
    <n v="0"/>
    <n v="1"/>
    <n v="1"/>
    <n v="1"/>
    <n v="1"/>
    <n v="1"/>
    <n v="0"/>
    <n v="1"/>
    <n v="1"/>
    <n v="1"/>
    <n v="1"/>
    <n v="1"/>
    <n v="0"/>
    <n v="0"/>
    <n v="1"/>
    <n v="1"/>
    <n v="1"/>
    <n v="1"/>
    <n v="1"/>
    <n v="0"/>
    <n v="0"/>
    <n v="1"/>
    <n v="1"/>
    <n v="1"/>
    <n v="1"/>
    <n v="1"/>
    <n v="0"/>
    <n v="0"/>
    <n v="20"/>
  </r>
  <r>
    <x v="3"/>
    <s v="U324"/>
    <s v="CAMERA ASSY  TELEVISION"/>
    <s v="TTETA"/>
    <m/>
    <s v="D1"/>
    <s v="024J"/>
    <n v="16"/>
    <n v="0"/>
    <n v="48"/>
    <n v="64"/>
    <n v="48"/>
    <n v="48"/>
    <n v="80"/>
    <n v="0"/>
    <n v="0"/>
    <n v="80"/>
    <n v="80"/>
    <n v="80"/>
    <n v="96"/>
    <n v="80"/>
    <n v="80"/>
    <n v="0"/>
    <n v="80"/>
    <n v="96"/>
    <n v="80"/>
    <n v="80"/>
    <n v="80"/>
    <n v="0"/>
    <n v="0"/>
    <n v="80"/>
    <n v="96"/>
    <n v="80"/>
    <n v="80"/>
    <n v="80"/>
    <n v="96"/>
    <n v="0"/>
    <n v="0"/>
    <n v="0"/>
    <n v="1712"/>
    <n v="0"/>
    <n v="0"/>
    <n v="80"/>
    <n v="112"/>
    <n v="96"/>
    <n v="96"/>
    <n v="32"/>
    <n v="0"/>
    <n v="80"/>
    <n v="80"/>
    <n v="96"/>
    <n v="80"/>
    <n v="96"/>
    <n v="80"/>
    <n v="0"/>
    <n v="96"/>
    <n v="80"/>
    <n v="96"/>
    <n v="80"/>
    <n v="96"/>
    <n v="0"/>
    <n v="0"/>
    <n v="80"/>
    <n v="96"/>
    <n v="80"/>
    <n v="96"/>
    <n v="80"/>
    <n v="80"/>
    <n v="0"/>
    <n v="96"/>
    <n v="80"/>
    <n v="2064"/>
    <n v="75"/>
    <n v="75"/>
    <n v="75"/>
    <n v="38"/>
    <n v="0"/>
    <n v="75"/>
    <n v="75"/>
    <n v="75"/>
    <n v="75"/>
    <n v="75"/>
    <n v="0"/>
    <n v="0"/>
    <n v="0"/>
    <n v="0"/>
    <n v="0"/>
    <n v="0"/>
    <n v="0"/>
    <n v="0"/>
    <n v="0"/>
    <n v="75"/>
    <n v="75"/>
    <n v="76"/>
    <n v="75"/>
    <n v="76"/>
    <n v="75"/>
    <n v="0"/>
    <n v="76"/>
    <n v="75"/>
    <n v="76"/>
    <n v="75"/>
    <n v="0"/>
    <n v="1392"/>
    <n v="0"/>
    <n v="0"/>
    <n v="0"/>
    <n v="0"/>
    <n v="46"/>
    <n v="46"/>
    <n v="46"/>
    <n v="46"/>
    <n v="46"/>
    <n v="0"/>
    <n v="45"/>
    <n v="46"/>
    <n v="45"/>
    <n v="46"/>
    <n v="45"/>
    <n v="0"/>
    <n v="0"/>
    <n v="46"/>
    <n v="45"/>
    <n v="46"/>
    <n v="45"/>
    <n v="46"/>
    <n v="0"/>
    <n v="0"/>
    <n v="45"/>
    <n v="46"/>
    <n v="45"/>
    <n v="46"/>
    <n v="45"/>
    <n v="0"/>
    <n v="0"/>
    <n v="912"/>
  </r>
  <r>
    <x v="4"/>
    <s v="U325"/>
    <s v="CAMERA ASSY  TELEVISION"/>
    <s v="TTETA"/>
    <m/>
    <s v="BN"/>
    <s v="024J"/>
    <n v="8"/>
    <n v="0"/>
    <n v="10"/>
    <n v="20"/>
    <n v="10"/>
    <n v="10"/>
    <n v="20"/>
    <n v="0"/>
    <n v="0"/>
    <n v="0"/>
    <n v="10"/>
    <n v="20"/>
    <n v="10"/>
    <n v="10"/>
    <n v="20"/>
    <n v="0"/>
    <n v="10"/>
    <n v="10"/>
    <n v="20"/>
    <n v="10"/>
    <n v="10"/>
    <n v="0"/>
    <n v="0"/>
    <n v="20"/>
    <n v="10"/>
    <n v="20"/>
    <n v="20"/>
    <n v="10"/>
    <n v="10"/>
    <n v="0"/>
    <n v="0"/>
    <n v="0"/>
    <n v="290"/>
    <n v="0"/>
    <n v="0"/>
    <n v="20"/>
    <n v="10"/>
    <n v="20"/>
    <n v="10"/>
    <n v="20"/>
    <n v="0"/>
    <n v="20"/>
    <n v="0"/>
    <n v="20"/>
    <n v="20"/>
    <n v="20"/>
    <n v="10"/>
    <n v="0"/>
    <n v="20"/>
    <n v="20"/>
    <n v="10"/>
    <n v="10"/>
    <n v="20"/>
    <n v="0"/>
    <n v="0"/>
    <n v="20"/>
    <n v="20"/>
    <n v="20"/>
    <n v="20"/>
    <n v="0"/>
    <n v="30"/>
    <n v="0"/>
    <n v="10"/>
    <n v="20"/>
    <n v="390"/>
    <n v="19"/>
    <n v="19"/>
    <n v="20"/>
    <n v="10"/>
    <n v="0"/>
    <n v="19"/>
    <n v="20"/>
    <n v="19"/>
    <n v="20"/>
    <n v="19"/>
    <n v="0"/>
    <n v="0"/>
    <n v="0"/>
    <n v="0"/>
    <n v="0"/>
    <n v="0"/>
    <n v="0"/>
    <n v="0"/>
    <n v="0"/>
    <n v="20"/>
    <n v="19"/>
    <n v="20"/>
    <n v="19"/>
    <n v="20"/>
    <n v="19"/>
    <n v="0"/>
    <n v="20"/>
    <n v="19"/>
    <n v="20"/>
    <n v="19"/>
    <n v="0"/>
    <n v="360"/>
    <n v="0"/>
    <n v="0"/>
    <n v="0"/>
    <n v="0"/>
    <n v="12"/>
    <n v="11"/>
    <n v="12"/>
    <n v="11"/>
    <n v="12"/>
    <n v="0"/>
    <n v="11"/>
    <n v="12"/>
    <n v="11"/>
    <n v="12"/>
    <n v="11"/>
    <n v="0"/>
    <n v="0"/>
    <n v="12"/>
    <n v="11"/>
    <n v="12"/>
    <n v="11"/>
    <n v="12"/>
    <n v="0"/>
    <n v="0"/>
    <n v="11"/>
    <n v="12"/>
    <n v="11"/>
    <n v="12"/>
    <n v="11"/>
    <n v="0"/>
    <n v="0"/>
    <n v="230"/>
  </r>
  <r>
    <x v="4"/>
    <s v="U325"/>
    <s v="CAMERA ASSY  TELEVISION"/>
    <s v="TTETA"/>
    <m/>
    <s v="D1"/>
    <s v="024J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UPLD"/>
    <s v="DUMMY"/>
    <s v="TTETA"/>
    <m/>
    <s v="BN"/>
    <s v="024J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U326"/>
    <s v="CAMERA ASSY  TELEVISION"/>
    <s v="TTETA"/>
    <m/>
    <s v="D1"/>
    <s v="024J"/>
    <n v="16"/>
    <n v="0"/>
    <n v="48"/>
    <n v="32"/>
    <n v="16"/>
    <n v="32"/>
    <n v="48"/>
    <n v="0"/>
    <n v="0"/>
    <n v="32"/>
    <n v="16"/>
    <n v="32"/>
    <n v="48"/>
    <n v="16"/>
    <n v="16"/>
    <n v="0"/>
    <n v="32"/>
    <n v="0"/>
    <n v="0"/>
    <n v="16"/>
    <n v="32"/>
    <n v="0"/>
    <n v="0"/>
    <n v="16"/>
    <n v="0"/>
    <n v="32"/>
    <n v="32"/>
    <n v="0"/>
    <n v="16"/>
    <n v="0"/>
    <n v="0"/>
    <n v="0"/>
    <n v="512"/>
    <n v="0"/>
    <n v="0"/>
    <n v="16"/>
    <n v="32"/>
    <n v="0"/>
    <n v="16"/>
    <n v="16"/>
    <n v="0"/>
    <n v="0"/>
    <n v="32"/>
    <n v="0"/>
    <n v="32"/>
    <n v="16"/>
    <n v="16"/>
    <n v="0"/>
    <n v="16"/>
    <n v="0"/>
    <n v="32"/>
    <n v="0"/>
    <n v="16"/>
    <n v="0"/>
    <n v="0"/>
    <n v="16"/>
    <n v="32"/>
    <n v="0"/>
    <n v="32"/>
    <n v="0"/>
    <n v="32"/>
    <n v="0"/>
    <n v="16"/>
    <n v="16"/>
    <n v="384"/>
    <n v="21"/>
    <n v="21"/>
    <n v="21"/>
    <n v="10"/>
    <n v="0"/>
    <n v="21"/>
    <n v="21"/>
    <n v="21"/>
    <n v="21"/>
    <n v="21"/>
    <n v="0"/>
    <n v="0"/>
    <n v="0"/>
    <n v="0"/>
    <n v="0"/>
    <n v="0"/>
    <n v="0"/>
    <n v="0"/>
    <n v="0"/>
    <n v="21"/>
    <n v="21"/>
    <n v="21"/>
    <n v="20"/>
    <n v="21"/>
    <n v="20"/>
    <n v="0"/>
    <n v="21"/>
    <n v="20"/>
    <n v="21"/>
    <n v="20"/>
    <n v="0"/>
    <n v="384"/>
    <n v="0"/>
    <n v="0"/>
    <n v="0"/>
    <n v="0"/>
    <n v="18"/>
    <n v="18"/>
    <n v="18"/>
    <n v="18"/>
    <n v="18"/>
    <n v="0"/>
    <n v="17"/>
    <n v="18"/>
    <n v="17"/>
    <n v="18"/>
    <n v="17"/>
    <n v="0"/>
    <n v="0"/>
    <n v="18"/>
    <n v="17"/>
    <n v="18"/>
    <n v="17"/>
    <n v="18"/>
    <n v="0"/>
    <n v="0"/>
    <n v="17"/>
    <n v="18"/>
    <n v="17"/>
    <n v="18"/>
    <n v="17"/>
    <n v="0"/>
    <n v="0"/>
    <n v="352"/>
  </r>
  <r>
    <x v="6"/>
    <s v="T023"/>
    <s v="CAMERA ASSY  TELEVISION"/>
    <s v="TTETA"/>
    <m/>
    <s v="D1"/>
    <s v="024J"/>
    <n v="42"/>
    <n v="0"/>
    <n v="168"/>
    <n v="168"/>
    <n v="168"/>
    <n v="168"/>
    <n v="168"/>
    <n v="0"/>
    <n v="0"/>
    <n v="168"/>
    <n v="168"/>
    <n v="210"/>
    <n v="210"/>
    <n v="168"/>
    <n v="126"/>
    <n v="0"/>
    <n v="168"/>
    <n v="210"/>
    <n v="168"/>
    <n v="252"/>
    <n v="210"/>
    <n v="0"/>
    <n v="0"/>
    <n v="168"/>
    <n v="168"/>
    <n v="210"/>
    <n v="210"/>
    <n v="168"/>
    <n v="210"/>
    <n v="0"/>
    <n v="0"/>
    <n v="0"/>
    <n v="4032"/>
    <n v="0"/>
    <n v="0"/>
    <n v="168"/>
    <n v="168"/>
    <n v="210"/>
    <n v="210"/>
    <n v="84"/>
    <n v="0"/>
    <n v="168"/>
    <n v="168"/>
    <n v="210"/>
    <n v="168"/>
    <n v="168"/>
    <n v="252"/>
    <n v="0"/>
    <n v="210"/>
    <n v="126"/>
    <n v="210"/>
    <n v="168"/>
    <n v="210"/>
    <n v="0"/>
    <n v="0"/>
    <n v="168"/>
    <n v="168"/>
    <n v="252"/>
    <n v="168"/>
    <n v="168"/>
    <n v="168"/>
    <n v="0"/>
    <n v="168"/>
    <n v="126"/>
    <n v="4284"/>
    <n v="166"/>
    <n v="166"/>
    <n v="166"/>
    <n v="83"/>
    <n v="0"/>
    <n v="166"/>
    <n v="166"/>
    <n v="166"/>
    <n v="166"/>
    <n v="166"/>
    <n v="0"/>
    <n v="0"/>
    <n v="0"/>
    <n v="0"/>
    <n v="0"/>
    <n v="0"/>
    <n v="0"/>
    <n v="0"/>
    <n v="0"/>
    <n v="166"/>
    <n v="165"/>
    <n v="166"/>
    <n v="165"/>
    <n v="166"/>
    <n v="165"/>
    <n v="0"/>
    <n v="166"/>
    <n v="165"/>
    <n v="166"/>
    <n v="165"/>
    <n v="0"/>
    <n v="3066"/>
    <n v="0"/>
    <n v="0"/>
    <n v="0"/>
    <n v="0"/>
    <n v="122"/>
    <n v="122"/>
    <n v="122"/>
    <n v="122"/>
    <n v="122"/>
    <n v="0"/>
    <n v="122"/>
    <n v="122"/>
    <n v="122"/>
    <n v="122"/>
    <n v="122"/>
    <n v="0"/>
    <n v="0"/>
    <n v="122"/>
    <n v="122"/>
    <n v="122"/>
    <n v="121"/>
    <n v="122"/>
    <n v="0"/>
    <n v="0"/>
    <n v="121"/>
    <n v="122"/>
    <n v="121"/>
    <n v="122"/>
    <n v="121"/>
    <n v="0"/>
    <n v="0"/>
    <n v="2436"/>
  </r>
  <r>
    <x v="6"/>
    <s v="T023"/>
    <s v="CAMERA ASSY  TELEVISION"/>
    <s v="TTETA"/>
    <m/>
    <s v="BN"/>
    <s v="024J"/>
    <n v="6"/>
    <n v="0"/>
    <n v="10"/>
    <n v="0"/>
    <n v="0"/>
    <n v="0"/>
    <n v="0"/>
    <n v="0"/>
    <n v="0"/>
    <n v="10"/>
    <n v="0"/>
    <n v="0"/>
    <n v="10"/>
    <n v="10"/>
    <n v="10"/>
    <n v="0"/>
    <n v="0"/>
    <n v="10"/>
    <n v="10"/>
    <n v="10"/>
    <n v="10"/>
    <n v="0"/>
    <n v="0"/>
    <n v="0"/>
    <n v="0"/>
    <n v="0"/>
    <n v="0"/>
    <n v="10"/>
    <n v="10"/>
    <n v="0"/>
    <n v="0"/>
    <n v="0"/>
    <n v="110"/>
    <n v="0"/>
    <n v="0"/>
    <n v="10"/>
    <n v="10"/>
    <n v="10"/>
    <n v="20"/>
    <n v="0"/>
    <n v="0"/>
    <n v="10"/>
    <n v="10"/>
    <n v="10"/>
    <n v="10"/>
    <n v="10"/>
    <n v="10"/>
    <n v="0"/>
    <n v="20"/>
    <n v="10"/>
    <n v="10"/>
    <n v="10"/>
    <n v="10"/>
    <n v="0"/>
    <n v="0"/>
    <n v="10"/>
    <n v="10"/>
    <n v="10"/>
    <n v="10"/>
    <n v="20"/>
    <n v="10"/>
    <n v="0"/>
    <n v="10"/>
    <n v="10"/>
    <n v="260"/>
    <n v="4"/>
    <n v="4"/>
    <n v="4"/>
    <n v="2"/>
    <n v="0"/>
    <n v="4"/>
    <n v="4"/>
    <n v="4"/>
    <n v="4"/>
    <n v="4"/>
    <n v="0"/>
    <n v="0"/>
    <n v="0"/>
    <n v="0"/>
    <n v="0"/>
    <n v="0"/>
    <n v="0"/>
    <n v="0"/>
    <n v="0"/>
    <n v="4"/>
    <n v="4"/>
    <n v="4"/>
    <n v="3"/>
    <n v="4"/>
    <n v="3"/>
    <n v="0"/>
    <n v="4"/>
    <n v="3"/>
    <n v="4"/>
    <n v="3"/>
    <n v="0"/>
    <n v="70"/>
    <n v="0"/>
    <n v="0"/>
    <n v="0"/>
    <n v="0"/>
    <n v="6"/>
    <n v="6"/>
    <n v="6"/>
    <n v="6"/>
    <n v="6"/>
    <n v="0"/>
    <n v="6"/>
    <n v="6"/>
    <n v="6"/>
    <n v="6"/>
    <n v="6"/>
    <n v="0"/>
    <n v="0"/>
    <n v="6"/>
    <n v="6"/>
    <n v="6"/>
    <n v="6"/>
    <n v="6"/>
    <n v="0"/>
    <n v="0"/>
    <n v="6"/>
    <n v="6"/>
    <n v="6"/>
    <n v="6"/>
    <n v="6"/>
    <n v="0"/>
    <n v="0"/>
    <n v="120"/>
  </r>
  <r>
    <x v="12"/>
    <s v="T741"/>
    <s v="CAMERA ASSY  TELEVISION"/>
    <s v="TTETA"/>
    <m/>
    <s v="D1"/>
    <s v="024J"/>
    <n v="20"/>
    <n v="0"/>
    <n v="120"/>
    <n v="160"/>
    <n v="120"/>
    <n v="140"/>
    <n v="140"/>
    <n v="0"/>
    <n v="0"/>
    <n v="140"/>
    <n v="140"/>
    <n v="140"/>
    <n v="120"/>
    <n v="160"/>
    <n v="120"/>
    <n v="0"/>
    <n v="140"/>
    <n v="140"/>
    <n v="140"/>
    <n v="140"/>
    <n v="140"/>
    <n v="0"/>
    <n v="0"/>
    <n v="140"/>
    <n v="140"/>
    <n v="140"/>
    <n v="120"/>
    <n v="140"/>
    <n v="140"/>
    <n v="0"/>
    <n v="0"/>
    <n v="0"/>
    <n v="3020"/>
    <n v="0"/>
    <n v="0"/>
    <n v="100"/>
    <n v="140"/>
    <n v="100"/>
    <n v="120"/>
    <n v="60"/>
    <n v="0"/>
    <n v="120"/>
    <n v="120"/>
    <n v="120"/>
    <n v="120"/>
    <n v="120"/>
    <n v="120"/>
    <n v="0"/>
    <n v="120"/>
    <n v="120"/>
    <n v="140"/>
    <n v="120"/>
    <n v="100"/>
    <n v="0"/>
    <n v="0"/>
    <n v="120"/>
    <n v="140"/>
    <n v="120"/>
    <n v="120"/>
    <n v="120"/>
    <n v="120"/>
    <n v="0"/>
    <n v="120"/>
    <n v="120"/>
    <n v="2820"/>
    <n v="156"/>
    <n v="156"/>
    <n v="156"/>
    <n v="78"/>
    <n v="0"/>
    <n v="156"/>
    <n v="156"/>
    <n v="156"/>
    <n v="156"/>
    <n v="155"/>
    <n v="0"/>
    <n v="0"/>
    <n v="0"/>
    <n v="0"/>
    <n v="0"/>
    <n v="0"/>
    <n v="0"/>
    <n v="0"/>
    <n v="0"/>
    <n v="156"/>
    <n v="155"/>
    <n v="156"/>
    <n v="155"/>
    <n v="156"/>
    <n v="155"/>
    <n v="0"/>
    <n v="156"/>
    <n v="155"/>
    <n v="156"/>
    <n v="155"/>
    <n v="0"/>
    <n v="2880"/>
    <n v="0"/>
    <n v="0"/>
    <n v="0"/>
    <n v="0"/>
    <n v="131"/>
    <n v="131"/>
    <n v="131"/>
    <n v="131"/>
    <n v="131"/>
    <n v="0"/>
    <n v="131"/>
    <n v="131"/>
    <n v="131"/>
    <n v="131"/>
    <n v="131"/>
    <n v="0"/>
    <n v="0"/>
    <n v="131"/>
    <n v="131"/>
    <n v="131"/>
    <n v="131"/>
    <n v="131"/>
    <n v="0"/>
    <n v="0"/>
    <n v="131"/>
    <n v="131"/>
    <n v="131"/>
    <n v="131"/>
    <n v="131"/>
    <n v="0"/>
    <n v="0"/>
    <n v="2620"/>
  </r>
  <r>
    <x v="7"/>
    <s v="U750"/>
    <s v="CAMERA ASSY  TELEVISION"/>
    <s v="TTETA"/>
    <m/>
    <s v="D1"/>
    <s v="024J"/>
    <n v="16"/>
    <n v="0"/>
    <n v="48"/>
    <n v="16"/>
    <n v="16"/>
    <n v="16"/>
    <n v="16"/>
    <n v="0"/>
    <n v="0"/>
    <n v="32"/>
    <n v="16"/>
    <n v="16"/>
    <n v="16"/>
    <n v="32"/>
    <n v="16"/>
    <n v="0"/>
    <n v="16"/>
    <n v="32"/>
    <n v="16"/>
    <n v="16"/>
    <n v="16"/>
    <n v="0"/>
    <n v="0"/>
    <n v="32"/>
    <n v="16"/>
    <n v="16"/>
    <n v="32"/>
    <n v="16"/>
    <n v="16"/>
    <n v="0"/>
    <n v="0"/>
    <n v="0"/>
    <n v="464"/>
    <n v="0"/>
    <n v="0"/>
    <n v="16"/>
    <n v="32"/>
    <n v="32"/>
    <n v="16"/>
    <n v="16"/>
    <n v="0"/>
    <n v="16"/>
    <n v="32"/>
    <n v="16"/>
    <n v="32"/>
    <n v="32"/>
    <n v="16"/>
    <n v="0"/>
    <n v="32"/>
    <n v="16"/>
    <n v="32"/>
    <n v="16"/>
    <n v="32"/>
    <n v="0"/>
    <n v="0"/>
    <n v="16"/>
    <n v="32"/>
    <n v="32"/>
    <n v="16"/>
    <n v="32"/>
    <n v="16"/>
    <n v="0"/>
    <n v="32"/>
    <n v="16"/>
    <n v="576"/>
    <n v="22"/>
    <n v="23"/>
    <n v="22"/>
    <n v="11"/>
    <n v="0"/>
    <n v="23"/>
    <n v="23"/>
    <n v="22"/>
    <n v="23"/>
    <n v="22"/>
    <n v="0"/>
    <n v="0"/>
    <n v="0"/>
    <n v="0"/>
    <n v="0"/>
    <n v="0"/>
    <n v="0"/>
    <n v="0"/>
    <n v="0"/>
    <n v="23"/>
    <n v="22"/>
    <n v="23"/>
    <n v="22"/>
    <n v="23"/>
    <n v="22"/>
    <n v="0"/>
    <n v="23"/>
    <n v="22"/>
    <n v="23"/>
    <n v="22"/>
    <n v="0"/>
    <n v="416"/>
    <n v="0"/>
    <n v="0"/>
    <n v="0"/>
    <n v="0"/>
    <n v="14"/>
    <n v="14"/>
    <n v="14"/>
    <n v="14"/>
    <n v="15"/>
    <n v="0"/>
    <n v="14"/>
    <n v="15"/>
    <n v="14"/>
    <n v="15"/>
    <n v="14"/>
    <n v="0"/>
    <n v="0"/>
    <n v="15"/>
    <n v="14"/>
    <n v="15"/>
    <n v="14"/>
    <n v="15"/>
    <n v="0"/>
    <n v="0"/>
    <n v="14"/>
    <n v="15"/>
    <n v="14"/>
    <n v="15"/>
    <n v="14"/>
    <n v="0"/>
    <n v="0"/>
    <n v="288"/>
  </r>
  <r>
    <x v="13"/>
    <s v="W976"/>
    <s v="CAMERA ASSY  TELEVISION"/>
    <s v="TTETA"/>
    <m/>
    <s v="D1"/>
    <s v="D54H"/>
    <n v="15"/>
    <n v="0"/>
    <n v="285"/>
    <n v="285"/>
    <n v="285"/>
    <n v="285"/>
    <n v="285"/>
    <n v="0"/>
    <n v="0"/>
    <n v="285"/>
    <n v="285"/>
    <n v="285"/>
    <n v="285"/>
    <n v="285"/>
    <n v="300"/>
    <n v="0"/>
    <n v="285"/>
    <n v="270"/>
    <n v="270"/>
    <n v="255"/>
    <n v="255"/>
    <n v="0"/>
    <n v="0"/>
    <n v="255"/>
    <n v="255"/>
    <n v="255"/>
    <n v="255"/>
    <n v="270"/>
    <n v="255"/>
    <n v="0"/>
    <n v="0"/>
    <n v="0"/>
    <n v="6030"/>
    <n v="0"/>
    <n v="0"/>
    <n v="210"/>
    <n v="240"/>
    <n v="255"/>
    <n v="240"/>
    <n v="105"/>
    <n v="0"/>
    <n v="240"/>
    <n v="240"/>
    <n v="255"/>
    <n v="240"/>
    <n v="240"/>
    <n v="255"/>
    <n v="0"/>
    <n v="240"/>
    <n v="255"/>
    <n v="225"/>
    <n v="240"/>
    <n v="225"/>
    <n v="0"/>
    <n v="0"/>
    <n v="240"/>
    <n v="225"/>
    <n v="240"/>
    <n v="225"/>
    <n v="240"/>
    <n v="225"/>
    <n v="0"/>
    <n v="240"/>
    <n v="225"/>
    <n v="5565"/>
    <n v="303"/>
    <n v="303"/>
    <n v="303"/>
    <n v="152"/>
    <n v="0"/>
    <n v="303"/>
    <n v="303"/>
    <n v="303"/>
    <n v="303"/>
    <n v="303"/>
    <n v="0"/>
    <n v="0"/>
    <n v="0"/>
    <n v="0"/>
    <n v="0"/>
    <n v="0"/>
    <n v="0"/>
    <n v="0"/>
    <n v="0"/>
    <n v="303"/>
    <n v="303"/>
    <n v="304"/>
    <n v="303"/>
    <n v="304"/>
    <n v="303"/>
    <n v="0"/>
    <n v="304"/>
    <n v="303"/>
    <n v="304"/>
    <n v="303"/>
    <n v="0"/>
    <n v="5610"/>
    <n v="0"/>
    <n v="0"/>
    <n v="0"/>
    <n v="0"/>
    <n v="246"/>
    <n v="246"/>
    <n v="246"/>
    <n v="246"/>
    <n v="246"/>
    <n v="0"/>
    <n v="246"/>
    <n v="246"/>
    <n v="246"/>
    <n v="246"/>
    <n v="246"/>
    <n v="0"/>
    <n v="0"/>
    <n v="246"/>
    <n v="246"/>
    <n v="246"/>
    <n v="246"/>
    <n v="246"/>
    <n v="0"/>
    <n v="0"/>
    <n v="246"/>
    <n v="246"/>
    <n v="246"/>
    <n v="246"/>
    <n v="246"/>
    <n v="0"/>
    <n v="0"/>
    <n v="4920"/>
  </r>
  <r>
    <x v="8"/>
    <s v="X402"/>
    <s v="CAMERA ASSY  TELEVISION"/>
    <s v="TTETA"/>
    <m/>
    <s v="D1"/>
    <s v="025J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60"/>
    <n v="120"/>
    <n v="120"/>
    <n v="0"/>
    <n v="0"/>
    <n v="120"/>
    <n v="60"/>
    <n v="120"/>
    <n v="60"/>
    <n v="120"/>
    <n v="120"/>
    <n v="0"/>
    <n v="60"/>
    <n v="120"/>
    <n v="120"/>
    <n v="60"/>
    <n v="120"/>
    <n v="0"/>
    <n v="0"/>
    <n v="120"/>
    <n v="120"/>
    <n v="120"/>
    <n v="60"/>
    <n v="120"/>
    <n v="120"/>
    <n v="0"/>
    <n v="120"/>
    <n v="120"/>
    <n v="2340"/>
    <n v="149"/>
    <n v="149"/>
    <n v="149"/>
    <n v="75"/>
    <n v="0"/>
    <n v="149"/>
    <n v="149"/>
    <n v="149"/>
    <n v="149"/>
    <n v="149"/>
    <n v="0"/>
    <n v="0"/>
    <n v="0"/>
    <n v="0"/>
    <n v="0"/>
    <n v="0"/>
    <n v="0"/>
    <n v="0"/>
    <n v="0"/>
    <n v="149"/>
    <n v="149"/>
    <n v="149"/>
    <n v="149"/>
    <n v="150"/>
    <n v="149"/>
    <n v="0"/>
    <n v="150"/>
    <n v="149"/>
    <n v="150"/>
    <n v="149"/>
    <n v="0"/>
    <n v="2760"/>
    <n v="0"/>
    <n v="0"/>
    <n v="0"/>
    <n v="0"/>
    <n v="120"/>
    <n v="120"/>
    <n v="120"/>
    <n v="120"/>
    <n v="120"/>
    <n v="0"/>
    <n v="120"/>
    <n v="120"/>
    <n v="120"/>
    <n v="120"/>
    <n v="120"/>
    <n v="0"/>
    <n v="0"/>
    <n v="120"/>
    <n v="120"/>
    <n v="120"/>
    <n v="120"/>
    <n v="120"/>
    <n v="0"/>
    <n v="0"/>
    <n v="120"/>
    <n v="120"/>
    <n v="120"/>
    <n v="120"/>
    <n v="120"/>
    <n v="0"/>
    <n v="0"/>
    <n v="2400"/>
  </r>
  <r>
    <x v="9"/>
    <s v="X403"/>
    <s v="CAMERA ASSY  TELEVISION"/>
    <s v="TTETA"/>
    <m/>
    <s v="D1"/>
    <s v="025J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n v="84"/>
    <n v="84"/>
    <n v="84"/>
    <n v="0"/>
    <n v="84"/>
    <n v="84"/>
    <n v="84"/>
    <n v="84"/>
    <n v="84"/>
    <n v="84"/>
    <n v="0"/>
    <n v="168"/>
    <n v="84"/>
    <n v="84"/>
    <n v="84"/>
    <n v="84"/>
    <n v="0"/>
    <n v="0"/>
    <n v="168"/>
    <n v="84"/>
    <n v="84"/>
    <n v="168"/>
    <n v="84"/>
    <n v="84"/>
    <n v="0"/>
    <n v="168"/>
    <n v="84"/>
    <n v="2352"/>
    <n v="150"/>
    <n v="150"/>
    <n v="150"/>
    <n v="75"/>
    <n v="0"/>
    <n v="150"/>
    <n v="150"/>
    <n v="150"/>
    <n v="150"/>
    <n v="150"/>
    <n v="0"/>
    <n v="0"/>
    <n v="0"/>
    <n v="0"/>
    <n v="0"/>
    <n v="0"/>
    <n v="0"/>
    <n v="0"/>
    <n v="0"/>
    <n v="150"/>
    <n v="150"/>
    <n v="150"/>
    <n v="150"/>
    <n v="150"/>
    <n v="149"/>
    <n v="0"/>
    <n v="150"/>
    <n v="149"/>
    <n v="150"/>
    <n v="149"/>
    <n v="0"/>
    <n v="2772"/>
    <n v="0"/>
    <n v="0"/>
    <n v="0"/>
    <n v="0"/>
    <n v="122"/>
    <n v="122"/>
    <n v="122"/>
    <n v="122"/>
    <n v="122"/>
    <n v="0"/>
    <n v="122"/>
    <n v="122"/>
    <n v="122"/>
    <n v="122"/>
    <n v="122"/>
    <n v="0"/>
    <n v="0"/>
    <n v="122"/>
    <n v="122"/>
    <n v="122"/>
    <n v="121"/>
    <n v="122"/>
    <n v="0"/>
    <n v="0"/>
    <n v="121"/>
    <n v="122"/>
    <n v="121"/>
    <n v="122"/>
    <n v="121"/>
    <n v="0"/>
    <n v="0"/>
    <n v="2436"/>
  </r>
  <r>
    <x v="14"/>
    <s v="A055"/>
    <s v="CAMERA ASSY  TELEVISION"/>
    <s v="TTETA"/>
    <m/>
    <s v="Z1"/>
    <s v="D33H"/>
    <n v="36"/>
    <n v="0"/>
    <n v="108"/>
    <n v="108"/>
    <n v="72"/>
    <n v="108"/>
    <n v="108"/>
    <n v="0"/>
    <n v="0"/>
    <n v="108"/>
    <n v="108"/>
    <n v="72"/>
    <n v="72"/>
    <n v="108"/>
    <n v="108"/>
    <n v="0"/>
    <n v="72"/>
    <n v="108"/>
    <n v="108"/>
    <n v="72"/>
    <n v="108"/>
    <n v="0"/>
    <n v="0"/>
    <n v="108"/>
    <n v="72"/>
    <n v="108"/>
    <n v="72"/>
    <n v="108"/>
    <n v="72"/>
    <n v="0"/>
    <n v="0"/>
    <n v="0"/>
    <n v="2088"/>
    <n v="0"/>
    <n v="0"/>
    <n v="108"/>
    <n v="72"/>
    <n v="72"/>
    <n v="108"/>
    <n v="36"/>
    <n v="0"/>
    <n v="108"/>
    <n v="72"/>
    <n v="72"/>
    <n v="108"/>
    <n v="72"/>
    <n v="72"/>
    <n v="0"/>
    <n v="108"/>
    <n v="72"/>
    <n v="72"/>
    <n v="108"/>
    <n v="72"/>
    <n v="0"/>
    <n v="0"/>
    <n v="108"/>
    <n v="72"/>
    <n v="72"/>
    <n v="108"/>
    <n v="72"/>
    <n v="72"/>
    <n v="0"/>
    <n v="108"/>
    <n v="36"/>
    <n v="1980"/>
    <n v="97"/>
    <n v="97"/>
    <n v="97"/>
    <n v="49"/>
    <n v="0"/>
    <n v="97"/>
    <n v="97"/>
    <n v="97"/>
    <n v="97"/>
    <n v="97"/>
    <n v="0"/>
    <n v="0"/>
    <n v="0"/>
    <n v="0"/>
    <n v="0"/>
    <n v="0"/>
    <n v="0"/>
    <n v="0"/>
    <n v="0"/>
    <n v="98"/>
    <n v="97"/>
    <n v="98"/>
    <n v="97"/>
    <n v="98"/>
    <n v="97"/>
    <n v="0"/>
    <n v="98"/>
    <n v="97"/>
    <n v="98"/>
    <n v="97"/>
    <n v="0"/>
    <n v="1800"/>
    <n v="0"/>
    <n v="0"/>
    <n v="0"/>
    <n v="0"/>
    <n v="92"/>
    <n v="92"/>
    <n v="92"/>
    <n v="92"/>
    <n v="92"/>
    <n v="0"/>
    <n v="92"/>
    <n v="92"/>
    <n v="92"/>
    <n v="92"/>
    <n v="92"/>
    <n v="0"/>
    <n v="0"/>
    <n v="92"/>
    <n v="92"/>
    <n v="92"/>
    <n v="91"/>
    <n v="92"/>
    <n v="0"/>
    <n v="0"/>
    <n v="91"/>
    <n v="92"/>
    <n v="91"/>
    <n v="92"/>
    <n v="91"/>
    <n v="0"/>
    <n v="0"/>
    <n v="1836"/>
  </r>
  <r>
    <x v="15"/>
    <s v="V642"/>
    <s v="CAMERA ASSY  TELEVISION"/>
    <s v="TTETA"/>
    <m/>
    <s v="Z1"/>
    <s v="D33H"/>
    <n v="10"/>
    <n v="0"/>
    <n v="410"/>
    <n v="430"/>
    <n v="390"/>
    <n v="400"/>
    <n v="390"/>
    <n v="0"/>
    <n v="0"/>
    <n v="420"/>
    <n v="390"/>
    <n v="410"/>
    <n v="410"/>
    <n v="350"/>
    <n v="420"/>
    <n v="0"/>
    <n v="320"/>
    <n v="360"/>
    <n v="380"/>
    <n v="340"/>
    <n v="350"/>
    <n v="0"/>
    <n v="0"/>
    <n v="330"/>
    <n v="350"/>
    <n v="350"/>
    <n v="340"/>
    <n v="340"/>
    <n v="330"/>
    <n v="0"/>
    <n v="0"/>
    <n v="0"/>
    <n v="8210"/>
    <n v="0"/>
    <n v="0"/>
    <n v="210"/>
    <n v="230"/>
    <n v="240"/>
    <n v="240"/>
    <n v="120"/>
    <n v="0"/>
    <n v="230"/>
    <n v="240"/>
    <n v="210"/>
    <n v="240"/>
    <n v="250"/>
    <n v="230"/>
    <n v="0"/>
    <n v="230"/>
    <n v="240"/>
    <n v="230"/>
    <n v="240"/>
    <n v="230"/>
    <n v="0"/>
    <n v="0"/>
    <n v="230"/>
    <n v="210"/>
    <n v="220"/>
    <n v="250"/>
    <n v="230"/>
    <n v="240"/>
    <n v="0"/>
    <n v="240"/>
    <n v="200"/>
    <n v="5430"/>
    <n v="298"/>
    <n v="298"/>
    <n v="298"/>
    <n v="149"/>
    <n v="0"/>
    <n v="298"/>
    <n v="299"/>
    <n v="298"/>
    <n v="299"/>
    <n v="298"/>
    <n v="0"/>
    <n v="0"/>
    <n v="0"/>
    <n v="0"/>
    <n v="0"/>
    <n v="0"/>
    <n v="0"/>
    <n v="0"/>
    <n v="0"/>
    <n v="299"/>
    <n v="298"/>
    <n v="299"/>
    <n v="298"/>
    <n v="299"/>
    <n v="298"/>
    <n v="0"/>
    <n v="299"/>
    <n v="298"/>
    <n v="299"/>
    <n v="298"/>
    <n v="0"/>
    <n v="5520"/>
    <n v="0"/>
    <n v="0"/>
    <n v="0"/>
    <n v="0"/>
    <n v="259"/>
    <n v="258"/>
    <n v="259"/>
    <n v="258"/>
    <n v="259"/>
    <n v="0"/>
    <n v="258"/>
    <n v="259"/>
    <n v="258"/>
    <n v="259"/>
    <n v="258"/>
    <n v="0"/>
    <n v="0"/>
    <n v="259"/>
    <n v="258"/>
    <n v="259"/>
    <n v="258"/>
    <n v="259"/>
    <n v="0"/>
    <n v="0"/>
    <n v="258"/>
    <n v="259"/>
    <n v="258"/>
    <n v="259"/>
    <n v="258"/>
    <n v="0"/>
    <n v="0"/>
    <n v="5170"/>
  </r>
  <r>
    <x v="16"/>
    <s v="5U62"/>
    <s v="CAMERA ASSY  TELEVISION"/>
    <s v="TTETA"/>
    <m/>
    <s v="G2"/>
    <s v="D41H"/>
    <n v="21"/>
    <n v="0"/>
    <n v="254"/>
    <n v="254"/>
    <n v="254"/>
    <n v="270"/>
    <n v="255"/>
    <n v="0"/>
    <n v="0"/>
    <n v="258"/>
    <n v="251"/>
    <n v="256"/>
    <n v="252"/>
    <n v="278"/>
    <n v="259"/>
    <n v="0"/>
    <n v="251"/>
    <n v="255"/>
    <n v="255"/>
    <n v="253"/>
    <n v="253"/>
    <n v="0"/>
    <n v="0"/>
    <n v="274"/>
    <n v="253"/>
    <n v="256"/>
    <n v="253"/>
    <n v="254"/>
    <n v="253"/>
    <n v="0"/>
    <n v="0"/>
    <n v="0"/>
    <n v="5651"/>
    <n v="0"/>
    <n v="0"/>
    <n v="0"/>
    <n v="321"/>
    <n v="325"/>
    <n v="322"/>
    <n v="0"/>
    <n v="0"/>
    <n v="324"/>
    <n v="341"/>
    <n v="325"/>
    <n v="342"/>
    <n v="322"/>
    <n v="288"/>
    <n v="0"/>
    <n v="324"/>
    <n v="344"/>
    <n v="324"/>
    <n v="322"/>
    <n v="323"/>
    <n v="0"/>
    <n v="0"/>
    <n v="324"/>
    <n v="343"/>
    <n v="286"/>
    <n v="323"/>
    <n v="325"/>
    <n v="286"/>
    <n v="0"/>
    <n v="327"/>
    <n v="283"/>
    <n v="7044"/>
    <n v="290"/>
    <n v="290"/>
    <n v="290"/>
    <n v="0"/>
    <n v="0"/>
    <n v="290"/>
    <n v="290"/>
    <n v="290"/>
    <n v="290"/>
    <n v="290"/>
    <n v="0"/>
    <n v="0"/>
    <n v="0"/>
    <n v="0"/>
    <n v="0"/>
    <n v="0"/>
    <n v="0"/>
    <n v="0"/>
    <n v="0"/>
    <n v="290"/>
    <n v="290"/>
    <n v="291"/>
    <n v="290"/>
    <n v="291"/>
    <n v="290"/>
    <n v="0"/>
    <n v="291"/>
    <n v="290"/>
    <n v="291"/>
    <n v="290"/>
    <n v="0"/>
    <n v="5224"/>
    <n v="0"/>
    <n v="0"/>
    <n v="0"/>
    <n v="0"/>
    <n v="396"/>
    <n v="396"/>
    <n v="396"/>
    <n v="396"/>
    <n v="396"/>
    <n v="0"/>
    <n v="395"/>
    <n v="396"/>
    <n v="395"/>
    <n v="396"/>
    <n v="395"/>
    <n v="0"/>
    <n v="0"/>
    <n v="396"/>
    <n v="395"/>
    <n v="396"/>
    <n v="395"/>
    <n v="396"/>
    <n v="0"/>
    <n v="0"/>
    <n v="395"/>
    <n v="396"/>
    <n v="395"/>
    <n v="396"/>
    <n v="395"/>
    <n v="0"/>
    <n v="0"/>
    <n v="7912"/>
  </r>
  <r>
    <x v="17"/>
    <s v="5U63"/>
    <s v="CAMERA ASSY  TELEVISION"/>
    <s v="TTETA"/>
    <s v="R1"/>
    <s v="G2"/>
    <s v="D41H"/>
    <n v="8"/>
    <n v="0"/>
    <n v="34"/>
    <n v="36"/>
    <n v="35"/>
    <n v="36"/>
    <n v="36"/>
    <n v="0"/>
    <n v="0"/>
    <n v="33"/>
    <n v="35"/>
    <n v="36"/>
    <n v="34"/>
    <n v="38"/>
    <n v="35"/>
    <n v="0"/>
    <n v="35"/>
    <n v="34"/>
    <n v="35"/>
    <n v="35"/>
    <n v="35"/>
    <n v="0"/>
    <n v="0"/>
    <n v="36"/>
    <n v="35"/>
    <n v="34"/>
    <n v="35"/>
    <n v="35"/>
    <n v="35"/>
    <n v="0"/>
    <n v="0"/>
    <n v="0"/>
    <n v="772"/>
    <n v="0"/>
    <n v="0"/>
    <n v="0"/>
    <n v="64"/>
    <n v="63"/>
    <n v="64"/>
    <n v="0"/>
    <n v="0"/>
    <n v="64"/>
    <n v="67"/>
    <n v="64"/>
    <n v="67"/>
    <n v="64"/>
    <n v="57"/>
    <n v="0"/>
    <n v="64"/>
    <n v="67"/>
    <n v="64"/>
    <n v="64"/>
    <n v="64"/>
    <n v="0"/>
    <n v="0"/>
    <n v="63"/>
    <n v="68"/>
    <n v="55"/>
    <n v="65"/>
    <n v="63"/>
    <n v="57"/>
    <n v="0"/>
    <n v="64"/>
    <n v="56"/>
    <n v="1388"/>
    <n v="41"/>
    <n v="41"/>
    <n v="41"/>
    <n v="0"/>
    <n v="0"/>
    <n v="41"/>
    <n v="41"/>
    <n v="41"/>
    <n v="41"/>
    <n v="41"/>
    <n v="0"/>
    <n v="0"/>
    <n v="0"/>
    <n v="0"/>
    <n v="0"/>
    <n v="0"/>
    <n v="0"/>
    <n v="0"/>
    <n v="0"/>
    <n v="41"/>
    <n v="40"/>
    <n v="41"/>
    <n v="40"/>
    <n v="41"/>
    <n v="40"/>
    <n v="0"/>
    <n v="41"/>
    <n v="40"/>
    <n v="41"/>
    <n v="40"/>
    <n v="0"/>
    <n v="733"/>
    <n v="0"/>
    <n v="0"/>
    <n v="0"/>
    <n v="0"/>
    <n v="68"/>
    <n v="68"/>
    <n v="68"/>
    <n v="68"/>
    <n v="68"/>
    <n v="0"/>
    <n v="68"/>
    <n v="68"/>
    <n v="67"/>
    <n v="68"/>
    <n v="67"/>
    <n v="0"/>
    <n v="0"/>
    <n v="68"/>
    <n v="67"/>
    <n v="68"/>
    <n v="67"/>
    <n v="68"/>
    <n v="0"/>
    <n v="0"/>
    <n v="67"/>
    <n v="68"/>
    <n v="67"/>
    <n v="68"/>
    <n v="67"/>
    <n v="0"/>
    <n v="0"/>
    <n v="1353"/>
  </r>
  <r>
    <x v="13"/>
    <s v="W611"/>
    <s v="CAMERA ASSY  TELEVISION"/>
    <s v="TTETA"/>
    <m/>
    <s v="Z1"/>
    <s v="D46H"/>
    <n v="15"/>
    <n v="0"/>
    <n v="90"/>
    <n v="105"/>
    <n v="120"/>
    <n v="90"/>
    <n v="135"/>
    <n v="0"/>
    <n v="0"/>
    <n v="120"/>
    <n v="90"/>
    <n v="135"/>
    <n v="90"/>
    <n v="120"/>
    <n v="195"/>
    <n v="0"/>
    <n v="135"/>
    <n v="150"/>
    <n v="120"/>
    <n v="135"/>
    <n v="105"/>
    <n v="0"/>
    <n v="0"/>
    <n v="135"/>
    <n v="180"/>
    <n v="45"/>
    <n v="135"/>
    <n v="120"/>
    <n v="120"/>
    <n v="0"/>
    <n v="0"/>
    <n v="0"/>
    <n v="2670"/>
    <n v="0"/>
    <n v="0"/>
    <n v="120"/>
    <n v="105"/>
    <n v="150"/>
    <n v="60"/>
    <n v="45"/>
    <n v="0"/>
    <n v="135"/>
    <n v="120"/>
    <n v="90"/>
    <n v="105"/>
    <n v="120"/>
    <n v="165"/>
    <n v="0"/>
    <n v="60"/>
    <n v="120"/>
    <n v="105"/>
    <n v="120"/>
    <n v="120"/>
    <n v="0"/>
    <n v="0"/>
    <n v="165"/>
    <n v="120"/>
    <n v="120"/>
    <n v="90"/>
    <n v="105"/>
    <n v="120"/>
    <n v="0"/>
    <n v="150"/>
    <n v="135"/>
    <n v="2745"/>
    <n v="208"/>
    <n v="208"/>
    <n v="208"/>
    <n v="104"/>
    <n v="0"/>
    <n v="207"/>
    <n v="208"/>
    <n v="207"/>
    <n v="208"/>
    <n v="207"/>
    <n v="0"/>
    <n v="0"/>
    <n v="0"/>
    <n v="0"/>
    <n v="0"/>
    <n v="0"/>
    <n v="0"/>
    <n v="0"/>
    <n v="0"/>
    <n v="208"/>
    <n v="207"/>
    <n v="208"/>
    <n v="207"/>
    <n v="208"/>
    <n v="207"/>
    <n v="0"/>
    <n v="208"/>
    <n v="207"/>
    <n v="208"/>
    <n v="207"/>
    <n v="0"/>
    <n v="3840"/>
    <n v="0"/>
    <n v="0"/>
    <n v="0"/>
    <n v="0"/>
    <n v="126"/>
    <n v="126"/>
    <n v="126"/>
    <n v="126"/>
    <n v="126"/>
    <n v="0"/>
    <n v="126"/>
    <n v="126"/>
    <n v="126"/>
    <n v="126"/>
    <n v="126"/>
    <n v="0"/>
    <n v="0"/>
    <n v="126"/>
    <n v="126"/>
    <n v="126"/>
    <n v="126"/>
    <n v="126"/>
    <n v="0"/>
    <n v="0"/>
    <n v="126"/>
    <n v="126"/>
    <n v="126"/>
    <n v="126"/>
    <n v="126"/>
    <n v="0"/>
    <n v="0"/>
    <n v="2520"/>
  </r>
  <r>
    <x v="13"/>
    <s v="B800"/>
    <s v="CAMERA ASSY  TELEVISION"/>
    <s v="TTETA"/>
    <m/>
    <s v="G2"/>
    <s v="D46H"/>
    <n v="15"/>
    <n v="0"/>
    <n v="149"/>
    <n v="148"/>
    <n v="149"/>
    <n v="158"/>
    <n v="149"/>
    <n v="0"/>
    <n v="0"/>
    <n v="148"/>
    <n v="149"/>
    <n v="149"/>
    <n v="148"/>
    <n v="163"/>
    <n v="149"/>
    <n v="0"/>
    <n v="148"/>
    <n v="149"/>
    <n v="148"/>
    <n v="149"/>
    <n v="149"/>
    <n v="0"/>
    <n v="0"/>
    <n v="158"/>
    <n v="149"/>
    <n v="148"/>
    <n v="149"/>
    <n v="148"/>
    <n v="149"/>
    <n v="0"/>
    <n v="0"/>
    <n v="0"/>
    <n v="3303"/>
    <n v="0"/>
    <n v="0"/>
    <n v="0"/>
    <n v="161"/>
    <n v="162"/>
    <n v="161"/>
    <n v="0"/>
    <n v="0"/>
    <n v="161"/>
    <n v="171"/>
    <n v="161"/>
    <n v="170"/>
    <n v="161"/>
    <n v="142"/>
    <n v="0"/>
    <n v="161"/>
    <n v="170"/>
    <n v="161"/>
    <n v="161"/>
    <n v="161"/>
    <n v="0"/>
    <n v="0"/>
    <n v="161"/>
    <n v="171"/>
    <n v="142"/>
    <n v="161"/>
    <n v="161"/>
    <n v="142"/>
    <n v="0"/>
    <n v="161"/>
    <n v="142"/>
    <n v="3505"/>
    <n v="146"/>
    <n v="146"/>
    <n v="146"/>
    <n v="0"/>
    <n v="0"/>
    <n v="146"/>
    <n v="146"/>
    <n v="146"/>
    <n v="146"/>
    <n v="146"/>
    <n v="0"/>
    <n v="0"/>
    <n v="0"/>
    <n v="0"/>
    <n v="0"/>
    <n v="0"/>
    <n v="0"/>
    <n v="0"/>
    <n v="0"/>
    <n v="146"/>
    <n v="146"/>
    <n v="146"/>
    <n v="146"/>
    <n v="146"/>
    <n v="146"/>
    <n v="0"/>
    <n v="146"/>
    <n v="145"/>
    <n v="146"/>
    <n v="145"/>
    <n v="0"/>
    <n v="2626"/>
    <n v="0"/>
    <n v="0"/>
    <n v="0"/>
    <n v="0"/>
    <n v="142"/>
    <n v="142"/>
    <n v="142"/>
    <n v="141"/>
    <n v="142"/>
    <n v="0"/>
    <n v="141"/>
    <n v="142"/>
    <n v="141"/>
    <n v="142"/>
    <n v="141"/>
    <n v="0"/>
    <n v="0"/>
    <n v="142"/>
    <n v="141"/>
    <n v="142"/>
    <n v="141"/>
    <n v="142"/>
    <n v="0"/>
    <n v="0"/>
    <n v="141"/>
    <n v="142"/>
    <n v="141"/>
    <n v="142"/>
    <n v="141"/>
    <n v="0"/>
    <n v="0"/>
    <n v="2831"/>
  </r>
  <r>
    <x v="18"/>
    <s v="B901"/>
    <s v="CAMERA ASSY  TELEVISION"/>
    <s v="TTETA"/>
    <s v="R1"/>
    <s v="G2"/>
    <s v="D46H"/>
    <n v="6"/>
    <n v="0"/>
    <n v="61"/>
    <n v="60"/>
    <n v="60"/>
    <n v="62"/>
    <n v="61"/>
    <n v="0"/>
    <n v="0"/>
    <n v="60"/>
    <n v="61"/>
    <n v="60"/>
    <n v="60"/>
    <n v="65"/>
    <n v="61"/>
    <n v="0"/>
    <n v="60"/>
    <n v="60"/>
    <n v="60"/>
    <n v="60"/>
    <n v="61"/>
    <n v="0"/>
    <n v="0"/>
    <n v="62"/>
    <n v="61"/>
    <n v="59"/>
    <n v="61"/>
    <n v="59"/>
    <n v="61"/>
    <n v="0"/>
    <n v="0"/>
    <n v="0"/>
    <n v="1335"/>
    <n v="0"/>
    <n v="0"/>
    <n v="0"/>
    <n v="81"/>
    <n v="81"/>
    <n v="82"/>
    <n v="0"/>
    <n v="0"/>
    <n v="81"/>
    <n v="86"/>
    <n v="81"/>
    <n v="87"/>
    <n v="80"/>
    <n v="72"/>
    <n v="0"/>
    <n v="81"/>
    <n v="86"/>
    <n v="81"/>
    <n v="81"/>
    <n v="82"/>
    <n v="0"/>
    <n v="0"/>
    <n v="80"/>
    <n v="87"/>
    <n v="71"/>
    <n v="82"/>
    <n v="80"/>
    <n v="72"/>
    <n v="0"/>
    <n v="81"/>
    <n v="72"/>
    <n v="1767"/>
    <n v="67"/>
    <n v="67"/>
    <n v="67"/>
    <n v="0"/>
    <n v="0"/>
    <n v="67"/>
    <n v="67"/>
    <n v="67"/>
    <n v="67"/>
    <n v="66"/>
    <n v="0"/>
    <n v="0"/>
    <n v="0"/>
    <n v="0"/>
    <n v="0"/>
    <n v="0"/>
    <n v="0"/>
    <n v="0"/>
    <n v="0"/>
    <n v="67"/>
    <n v="66"/>
    <n v="67"/>
    <n v="66"/>
    <n v="67"/>
    <n v="66"/>
    <n v="0"/>
    <n v="67"/>
    <n v="66"/>
    <n v="67"/>
    <n v="66"/>
    <n v="0"/>
    <n v="1200"/>
    <n v="0"/>
    <n v="0"/>
    <n v="0"/>
    <n v="0"/>
    <n v="71"/>
    <n v="71"/>
    <n v="71"/>
    <n v="71"/>
    <n v="71"/>
    <n v="0"/>
    <n v="71"/>
    <n v="71"/>
    <n v="71"/>
    <n v="71"/>
    <n v="71"/>
    <n v="0"/>
    <n v="0"/>
    <n v="72"/>
    <n v="71"/>
    <n v="72"/>
    <n v="71"/>
    <n v="72"/>
    <n v="0"/>
    <n v="0"/>
    <n v="71"/>
    <n v="72"/>
    <n v="71"/>
    <n v="72"/>
    <n v="71"/>
    <n v="0"/>
    <n v="0"/>
    <n v="1425"/>
  </r>
  <r>
    <x v="19"/>
    <s v="17U2"/>
    <s v="CAMERA ASSY  TELEVISION"/>
    <s v="TTETA"/>
    <s v="R1"/>
    <s v="G2"/>
    <s v="D41H"/>
    <n v="8"/>
    <n v="0"/>
    <n v="43"/>
    <n v="37"/>
    <n v="40"/>
    <n v="44"/>
    <n v="41"/>
    <n v="0"/>
    <n v="0"/>
    <n v="37"/>
    <n v="39"/>
    <n v="39"/>
    <n v="37"/>
    <n v="43"/>
    <n v="41"/>
    <n v="0"/>
    <n v="39"/>
    <n v="39"/>
    <n v="39"/>
    <n v="39"/>
    <n v="39"/>
    <n v="0"/>
    <n v="0"/>
    <n v="41"/>
    <n v="38"/>
    <n v="41"/>
    <n v="38"/>
    <n v="39"/>
    <n v="40"/>
    <n v="0"/>
    <n v="0"/>
    <n v="0"/>
    <n v="873"/>
    <n v="0"/>
    <n v="0"/>
    <n v="0"/>
    <n v="51"/>
    <n v="52"/>
    <n v="50"/>
    <n v="0"/>
    <n v="0"/>
    <n v="54"/>
    <n v="54"/>
    <n v="53"/>
    <n v="54"/>
    <n v="53"/>
    <n v="47"/>
    <n v="0"/>
    <n v="52"/>
    <n v="55"/>
    <n v="51"/>
    <n v="52"/>
    <n v="53"/>
    <n v="0"/>
    <n v="0"/>
    <n v="52"/>
    <n v="55"/>
    <n v="45"/>
    <n v="51"/>
    <n v="53"/>
    <n v="48"/>
    <n v="0"/>
    <n v="52"/>
    <n v="47"/>
    <n v="1134"/>
    <n v="75"/>
    <n v="75"/>
    <n v="75"/>
    <n v="0"/>
    <n v="0"/>
    <n v="75"/>
    <n v="75"/>
    <n v="75"/>
    <n v="76"/>
    <n v="75"/>
    <n v="0"/>
    <n v="0"/>
    <n v="0"/>
    <n v="0"/>
    <n v="0"/>
    <n v="0"/>
    <n v="0"/>
    <n v="0"/>
    <n v="0"/>
    <n v="76"/>
    <n v="75"/>
    <n v="76"/>
    <n v="75"/>
    <n v="76"/>
    <n v="75"/>
    <n v="0"/>
    <n v="76"/>
    <n v="75"/>
    <n v="76"/>
    <n v="75"/>
    <n v="0"/>
    <n v="1356"/>
    <n v="0"/>
    <n v="0"/>
    <n v="0"/>
    <n v="0"/>
    <n v="73"/>
    <n v="73"/>
    <n v="73"/>
    <n v="73"/>
    <n v="74"/>
    <n v="0"/>
    <n v="73"/>
    <n v="74"/>
    <n v="73"/>
    <n v="74"/>
    <n v="73"/>
    <n v="0"/>
    <n v="0"/>
    <n v="74"/>
    <n v="73"/>
    <n v="74"/>
    <n v="73"/>
    <n v="74"/>
    <n v="0"/>
    <n v="0"/>
    <n v="73"/>
    <n v="74"/>
    <n v="73"/>
    <n v="74"/>
    <n v="73"/>
    <n v="0"/>
    <n v="0"/>
    <n v="1468"/>
  </r>
  <r>
    <x v="0"/>
    <s v="L342"/>
    <s v="CAMERA ASSY TELEVISION"/>
    <s v="TTETA"/>
    <s v="O1"/>
    <s v="S1"/>
    <s v="024J"/>
    <n v="25"/>
    <n v="0"/>
    <n v="59"/>
    <n v="54"/>
    <n v="60"/>
    <n v="65"/>
    <n v="58"/>
    <n v="0"/>
    <n v="0"/>
    <n v="57"/>
    <n v="60"/>
    <n v="58"/>
    <n v="59"/>
    <n v="57"/>
    <n v="59"/>
    <n v="0"/>
    <n v="64"/>
    <n v="62"/>
    <n v="56"/>
    <n v="63"/>
    <n v="52"/>
    <n v="0"/>
    <n v="0"/>
    <n v="64"/>
    <n v="73"/>
    <n v="70"/>
    <n v="70"/>
    <n v="68"/>
    <n v="64"/>
    <n v="0"/>
    <n v="0"/>
    <n v="0"/>
    <n v="1352"/>
    <n v="0"/>
    <n v="0"/>
    <n v="0"/>
    <n v="72"/>
    <n v="69"/>
    <n v="74"/>
    <n v="38"/>
    <n v="0"/>
    <n v="76"/>
    <n v="78"/>
    <n v="77"/>
    <n v="82"/>
    <n v="82"/>
    <n v="77"/>
    <n v="0"/>
    <n v="83"/>
    <n v="82"/>
    <n v="86"/>
    <n v="85"/>
    <n v="83"/>
    <n v="0"/>
    <n v="0"/>
    <n v="82"/>
    <n v="82"/>
    <n v="74"/>
    <n v="87"/>
    <n v="78"/>
    <n v="80"/>
    <n v="0"/>
    <n v="83"/>
    <n v="77"/>
    <n v="1787"/>
    <n v="110"/>
    <n v="110"/>
    <n v="110"/>
    <n v="55"/>
    <n v="0"/>
    <n v="110"/>
    <n v="110"/>
    <n v="110"/>
    <n v="110"/>
    <n v="110"/>
    <n v="0"/>
    <n v="0"/>
    <n v="0"/>
    <n v="0"/>
    <n v="0"/>
    <n v="0"/>
    <n v="0"/>
    <n v="0"/>
    <n v="0"/>
    <n v="110"/>
    <n v="110"/>
    <n v="110"/>
    <n v="110"/>
    <n v="110"/>
    <n v="110"/>
    <n v="0"/>
    <n v="111"/>
    <n v="110"/>
    <n v="111"/>
    <n v="110"/>
    <n v="0"/>
    <n v="20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G871"/>
    <s v="CAMERA ASSY TELEVISION"/>
    <s v="TTETA"/>
    <s v="O1"/>
    <s v="S1"/>
    <s v="024J"/>
    <n v="42"/>
    <n v="0"/>
    <n v="29"/>
    <n v="28"/>
    <n v="29"/>
    <n v="32"/>
    <n v="27"/>
    <n v="0"/>
    <n v="0"/>
    <n v="33"/>
    <n v="27"/>
    <n v="29"/>
    <n v="30"/>
    <n v="28"/>
    <n v="28"/>
    <n v="0"/>
    <n v="38"/>
    <n v="27"/>
    <n v="32"/>
    <n v="28"/>
    <n v="27"/>
    <n v="0"/>
    <n v="0"/>
    <n v="28"/>
    <n v="39"/>
    <n v="36"/>
    <n v="37"/>
    <n v="32"/>
    <n v="32"/>
    <n v="0"/>
    <n v="0"/>
    <n v="0"/>
    <n v="676"/>
    <n v="0"/>
    <n v="0"/>
    <n v="0"/>
    <n v="46"/>
    <n v="50"/>
    <n v="45"/>
    <n v="23"/>
    <n v="0"/>
    <n v="53"/>
    <n v="49"/>
    <n v="54"/>
    <n v="52"/>
    <n v="54"/>
    <n v="51"/>
    <n v="0"/>
    <n v="53"/>
    <n v="55"/>
    <n v="51"/>
    <n v="56"/>
    <n v="53"/>
    <n v="0"/>
    <n v="0"/>
    <n v="55"/>
    <n v="55"/>
    <n v="51"/>
    <n v="55"/>
    <n v="56"/>
    <n v="49"/>
    <n v="0"/>
    <n v="54"/>
    <n v="50"/>
    <n v="1170"/>
    <n v="59"/>
    <n v="59"/>
    <n v="59"/>
    <n v="29"/>
    <n v="0"/>
    <n v="59"/>
    <n v="59"/>
    <n v="58"/>
    <n v="59"/>
    <n v="58"/>
    <n v="0"/>
    <n v="0"/>
    <n v="0"/>
    <n v="0"/>
    <n v="0"/>
    <n v="0"/>
    <n v="0"/>
    <n v="0"/>
    <n v="0"/>
    <n v="59"/>
    <n v="58"/>
    <n v="59"/>
    <n v="58"/>
    <n v="59"/>
    <n v="58"/>
    <n v="0"/>
    <n v="59"/>
    <n v="58"/>
    <n v="59"/>
    <n v="58"/>
    <n v="0"/>
    <n v="1084"/>
    <n v="0"/>
    <n v="0"/>
    <n v="0"/>
    <n v="20"/>
    <n v="20"/>
    <n v="20"/>
    <n v="20"/>
    <n v="20"/>
    <n v="20"/>
    <n v="0"/>
    <n v="20"/>
    <n v="20"/>
    <n v="20"/>
    <n v="20"/>
    <n v="20"/>
    <n v="10"/>
    <n v="0"/>
    <n v="20"/>
    <n v="20"/>
    <n v="20"/>
    <n v="20"/>
    <n v="20"/>
    <n v="20"/>
    <n v="0"/>
    <n v="20"/>
    <n v="20"/>
    <n v="20"/>
    <n v="21"/>
    <n v="20"/>
    <n v="0"/>
    <n v="0"/>
    <n v="451"/>
  </r>
  <r>
    <x v="3"/>
    <s v="J788"/>
    <s v="CAMERA ASSY TELEVISION"/>
    <s v="TTETA"/>
    <s v="O1"/>
    <s v="S1"/>
    <s v="024J"/>
    <n v="8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J789"/>
    <s v="CAMERA ASSY TELEVISION"/>
    <s v="TTETA"/>
    <s v="O1"/>
    <s v="S1"/>
    <s v="024J"/>
    <n v="8"/>
    <n v="0"/>
    <n v="12"/>
    <n v="8"/>
    <n v="10"/>
    <n v="16"/>
    <n v="10"/>
    <n v="0"/>
    <n v="0"/>
    <n v="10"/>
    <n v="11"/>
    <n v="10"/>
    <n v="10"/>
    <n v="10"/>
    <n v="11"/>
    <n v="0"/>
    <n v="13"/>
    <n v="14"/>
    <n v="9"/>
    <n v="12"/>
    <n v="8"/>
    <n v="0"/>
    <n v="0"/>
    <n v="12"/>
    <n v="13"/>
    <n v="16"/>
    <n v="12"/>
    <n v="10"/>
    <n v="14"/>
    <n v="0"/>
    <n v="0"/>
    <n v="0"/>
    <n v="251"/>
    <n v="0"/>
    <n v="0"/>
    <n v="0"/>
    <n v="12"/>
    <n v="10"/>
    <n v="13"/>
    <n v="8"/>
    <n v="0"/>
    <n v="9"/>
    <n v="15"/>
    <n v="10"/>
    <n v="11"/>
    <n v="14"/>
    <n v="13"/>
    <n v="0"/>
    <n v="13"/>
    <n v="14"/>
    <n v="14"/>
    <n v="13"/>
    <n v="13"/>
    <n v="0"/>
    <n v="0"/>
    <n v="16"/>
    <n v="12"/>
    <n v="8"/>
    <n v="14"/>
    <n v="11"/>
    <n v="18"/>
    <n v="0"/>
    <n v="11"/>
    <n v="13"/>
    <n v="285"/>
    <n v="19"/>
    <n v="19"/>
    <n v="20"/>
    <n v="10"/>
    <n v="0"/>
    <n v="19"/>
    <n v="20"/>
    <n v="19"/>
    <n v="20"/>
    <n v="19"/>
    <n v="0"/>
    <n v="0"/>
    <n v="0"/>
    <n v="0"/>
    <n v="0"/>
    <n v="0"/>
    <n v="0"/>
    <n v="0"/>
    <n v="0"/>
    <n v="20"/>
    <n v="19"/>
    <n v="20"/>
    <n v="19"/>
    <n v="20"/>
    <n v="19"/>
    <n v="0"/>
    <n v="20"/>
    <n v="19"/>
    <n v="20"/>
    <n v="19"/>
    <n v="0"/>
    <n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N748"/>
    <s v="CAMERA ASSY TELEVISION"/>
    <s v="TTETA"/>
    <s v="O1"/>
    <s v="S1"/>
    <s v="025J"/>
    <n v="25"/>
    <n v="0"/>
    <n v="3"/>
    <n v="3"/>
    <n v="3"/>
    <n v="3"/>
    <n v="3"/>
    <n v="0"/>
    <n v="0"/>
    <n v="3"/>
    <n v="3"/>
    <n v="4"/>
    <n v="3"/>
    <n v="3"/>
    <n v="3"/>
    <n v="0"/>
    <n v="3"/>
    <n v="3"/>
    <n v="3"/>
    <n v="3"/>
    <n v="3"/>
    <n v="0"/>
    <n v="0"/>
    <n v="3"/>
    <n v="4"/>
    <n v="3"/>
    <n v="4"/>
    <n v="4"/>
    <n v="3"/>
    <n v="0"/>
    <n v="0"/>
    <n v="0"/>
    <n v="70"/>
    <n v="0"/>
    <n v="0"/>
    <n v="0"/>
    <n v="4"/>
    <n v="4"/>
    <n v="5"/>
    <n v="2"/>
    <n v="0"/>
    <n v="4"/>
    <n v="5"/>
    <n v="4"/>
    <n v="5"/>
    <n v="5"/>
    <n v="4"/>
    <n v="0"/>
    <n v="5"/>
    <n v="4"/>
    <n v="5"/>
    <n v="5"/>
    <n v="5"/>
    <n v="0"/>
    <n v="0"/>
    <n v="4"/>
    <n v="5"/>
    <n v="5"/>
    <n v="5"/>
    <n v="4"/>
    <n v="5"/>
    <n v="0"/>
    <n v="4"/>
    <n v="5"/>
    <n v="103"/>
    <n v="20"/>
    <n v="20"/>
    <n v="20"/>
    <n v="10"/>
    <n v="0"/>
    <n v="20"/>
    <n v="20"/>
    <n v="19"/>
    <n v="20"/>
    <n v="19"/>
    <n v="0"/>
    <n v="0"/>
    <n v="0"/>
    <n v="0"/>
    <n v="0"/>
    <n v="0"/>
    <n v="0"/>
    <n v="0"/>
    <n v="0"/>
    <n v="20"/>
    <n v="19"/>
    <n v="20"/>
    <n v="19"/>
    <n v="20"/>
    <n v="19"/>
    <n v="0"/>
    <n v="20"/>
    <n v="19"/>
    <n v="20"/>
    <n v="19"/>
    <n v="0"/>
    <n v="363"/>
    <n v="0"/>
    <n v="0"/>
    <n v="0"/>
    <n v="3"/>
    <n v="3"/>
    <n v="3"/>
    <n v="3"/>
    <n v="2"/>
    <n v="3"/>
    <n v="0"/>
    <n v="2"/>
    <n v="3"/>
    <n v="2"/>
    <n v="3"/>
    <n v="2"/>
    <n v="1"/>
    <n v="0"/>
    <n v="3"/>
    <n v="3"/>
    <n v="2"/>
    <n v="3"/>
    <n v="2"/>
    <n v="3"/>
    <n v="0"/>
    <n v="2"/>
    <n v="3"/>
    <n v="2"/>
    <n v="3"/>
    <n v="2"/>
    <n v="0"/>
    <n v="0"/>
    <n v="58"/>
  </r>
  <r>
    <x v="9"/>
    <s v="N749"/>
    <s v="CAMERA ASSY TELEVISION"/>
    <s v="TTETA"/>
    <s v="O1"/>
    <s v="S1"/>
    <s v="025J"/>
    <n v="38"/>
    <n v="0"/>
    <n v="3"/>
    <n v="3"/>
    <n v="3"/>
    <n v="3"/>
    <n v="3"/>
    <n v="0"/>
    <n v="0"/>
    <n v="3"/>
    <n v="3"/>
    <n v="4"/>
    <n v="3"/>
    <n v="3"/>
    <n v="3"/>
    <n v="0"/>
    <n v="3"/>
    <n v="3"/>
    <n v="3"/>
    <n v="3"/>
    <n v="3"/>
    <n v="0"/>
    <n v="0"/>
    <n v="3"/>
    <n v="4"/>
    <n v="3"/>
    <n v="4"/>
    <n v="4"/>
    <n v="3"/>
    <n v="0"/>
    <n v="0"/>
    <n v="0"/>
    <n v="70"/>
    <n v="0"/>
    <n v="0"/>
    <n v="0"/>
    <n v="4"/>
    <n v="4"/>
    <n v="5"/>
    <n v="2"/>
    <n v="0"/>
    <n v="4"/>
    <n v="5"/>
    <n v="4"/>
    <n v="5"/>
    <n v="5"/>
    <n v="4"/>
    <n v="0"/>
    <n v="5"/>
    <n v="4"/>
    <n v="5"/>
    <n v="5"/>
    <n v="5"/>
    <n v="0"/>
    <n v="0"/>
    <n v="4"/>
    <n v="5"/>
    <n v="5"/>
    <n v="5"/>
    <n v="4"/>
    <n v="5"/>
    <n v="0"/>
    <n v="4"/>
    <n v="5"/>
    <n v="103"/>
    <n v="20"/>
    <n v="20"/>
    <n v="20"/>
    <n v="10"/>
    <n v="0"/>
    <n v="20"/>
    <n v="20"/>
    <n v="19"/>
    <n v="20"/>
    <n v="19"/>
    <n v="0"/>
    <n v="0"/>
    <n v="0"/>
    <n v="0"/>
    <n v="0"/>
    <n v="0"/>
    <n v="0"/>
    <n v="0"/>
    <n v="0"/>
    <n v="20"/>
    <n v="19"/>
    <n v="20"/>
    <n v="19"/>
    <n v="20"/>
    <n v="19"/>
    <n v="0"/>
    <n v="20"/>
    <n v="19"/>
    <n v="20"/>
    <n v="19"/>
    <n v="0"/>
    <n v="363"/>
    <n v="0"/>
    <n v="0"/>
    <n v="0"/>
    <n v="3"/>
    <n v="3"/>
    <n v="3"/>
    <n v="3"/>
    <n v="2"/>
    <n v="3"/>
    <n v="0"/>
    <n v="2"/>
    <n v="3"/>
    <n v="2"/>
    <n v="3"/>
    <n v="2"/>
    <n v="1"/>
    <n v="0"/>
    <n v="3"/>
    <n v="3"/>
    <n v="2"/>
    <n v="3"/>
    <n v="2"/>
    <n v="3"/>
    <n v="0"/>
    <n v="2"/>
    <n v="3"/>
    <n v="2"/>
    <n v="3"/>
    <n v="2"/>
    <n v="0"/>
    <n v="0"/>
    <n v="5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86790-0K051-00"/>
    <s v="I338"/>
    <s v="CAMERA ASSY  TELEVISION"/>
    <s v="TTETA"/>
    <s v="MS"/>
    <s v="P1"/>
    <s v="024J"/>
    <n v="25"/>
    <n v="0"/>
    <n v="87"/>
    <n v="85"/>
    <n v="79"/>
    <n v="83"/>
    <n v="83"/>
    <n v="0"/>
    <n v="0"/>
    <n v="88"/>
    <n v="89"/>
    <n v="88"/>
    <n v="92"/>
    <n v="90"/>
    <n v="77"/>
    <n v="0"/>
    <n v="91"/>
    <n v="91"/>
    <n v="88"/>
    <n v="93"/>
    <n v="85"/>
    <n v="0"/>
    <n v="0"/>
    <n v="85"/>
    <n v="89"/>
    <n v="76"/>
    <n v="84"/>
    <n v="84"/>
    <n v="84"/>
    <n v="0"/>
    <n v="0"/>
    <n v="0"/>
    <n v="1891"/>
    <n v="0"/>
    <n v="0"/>
    <n v="0"/>
    <n v="83"/>
    <n v="84"/>
    <n v="83"/>
    <n v="39"/>
    <n v="0"/>
    <n v="79"/>
    <n v="79"/>
    <n v="79"/>
    <n v="80"/>
    <n v="70"/>
    <n v="65"/>
    <n v="0"/>
    <n v="77"/>
    <n v="80"/>
    <n v="67"/>
    <n v="77"/>
    <n v="76"/>
    <n v="73"/>
    <n v="0"/>
    <n v="72"/>
    <n v="69"/>
    <n v="55"/>
    <n v="68"/>
    <n v="61"/>
    <n v="49"/>
    <n v="0"/>
    <n v="61"/>
    <n v="51"/>
    <n v="1677"/>
    <n v="50"/>
    <n v="50"/>
    <n v="50"/>
    <n v="25"/>
    <n v="0"/>
    <n v="50"/>
    <n v="50"/>
    <n v="50"/>
    <n v="50"/>
    <n v="49"/>
    <n v="0"/>
    <n v="0"/>
    <n v="0"/>
    <n v="0"/>
    <n v="0"/>
    <n v="0"/>
    <n v="0"/>
    <n v="0"/>
    <n v="0"/>
    <n v="50"/>
    <n v="49"/>
    <n v="50"/>
    <n v="49"/>
    <n v="50"/>
    <n v="49"/>
    <n v="0"/>
    <n v="50"/>
    <n v="49"/>
    <n v="50"/>
    <n v="49"/>
    <n v="0"/>
    <n v="9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86790-0K080-00"/>
    <s v="A369"/>
    <s v="CAMERA ASSY  TELEVISION"/>
    <s v="TTETA"/>
    <s v="MS"/>
    <s v="P1"/>
    <s v="024J"/>
    <n v="42"/>
    <n v="0"/>
    <n v="12"/>
    <n v="15"/>
    <n v="12"/>
    <n v="12"/>
    <n v="12"/>
    <n v="0"/>
    <n v="0"/>
    <n v="17"/>
    <n v="15"/>
    <n v="13"/>
    <n v="12"/>
    <n v="15"/>
    <n v="13"/>
    <n v="0"/>
    <n v="17"/>
    <n v="14"/>
    <n v="13"/>
    <n v="14"/>
    <n v="14"/>
    <n v="0"/>
    <n v="0"/>
    <n v="16"/>
    <n v="12"/>
    <n v="12"/>
    <n v="13"/>
    <n v="14"/>
    <n v="12"/>
    <n v="0"/>
    <n v="0"/>
    <n v="0"/>
    <n v="299"/>
    <n v="0"/>
    <n v="0"/>
    <n v="0"/>
    <n v="3"/>
    <n v="5"/>
    <n v="2"/>
    <n v="2"/>
    <n v="0"/>
    <n v="3"/>
    <n v="4"/>
    <n v="2"/>
    <n v="3"/>
    <n v="3"/>
    <n v="3"/>
    <n v="0"/>
    <n v="5"/>
    <n v="1"/>
    <n v="4"/>
    <n v="2"/>
    <n v="3"/>
    <n v="3"/>
    <n v="0"/>
    <n v="3"/>
    <n v="3"/>
    <n v="2"/>
    <n v="3"/>
    <n v="2"/>
    <n v="2"/>
    <n v="0"/>
    <n v="3"/>
    <n v="1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86790-0K110-00"/>
    <s v="A370"/>
    <s v="CAMERA ASSY  TELEVISION"/>
    <s v="TTETA"/>
    <s v="MS"/>
    <s v="P1"/>
    <s v="024J"/>
    <n v="18"/>
    <n v="0"/>
    <n v="54"/>
    <n v="54"/>
    <n v="51"/>
    <n v="54"/>
    <n v="49"/>
    <n v="0"/>
    <n v="0"/>
    <n v="58"/>
    <n v="60"/>
    <n v="54"/>
    <n v="58"/>
    <n v="56"/>
    <n v="49"/>
    <n v="0"/>
    <n v="60"/>
    <n v="55"/>
    <n v="56"/>
    <n v="57"/>
    <n v="57"/>
    <n v="0"/>
    <n v="0"/>
    <n v="56"/>
    <n v="52"/>
    <n v="51"/>
    <n v="54"/>
    <n v="54"/>
    <n v="52"/>
    <n v="0"/>
    <n v="0"/>
    <n v="0"/>
    <n v="1201"/>
    <n v="0"/>
    <n v="0"/>
    <n v="0"/>
    <n v="49"/>
    <n v="48"/>
    <n v="49"/>
    <n v="20"/>
    <n v="0"/>
    <n v="44"/>
    <n v="43"/>
    <n v="48"/>
    <n v="42"/>
    <n v="41"/>
    <n v="38"/>
    <n v="0"/>
    <n v="43"/>
    <n v="44"/>
    <n v="38"/>
    <n v="47"/>
    <n v="38"/>
    <n v="43"/>
    <n v="0"/>
    <n v="43"/>
    <n v="38"/>
    <n v="31"/>
    <n v="39"/>
    <n v="37"/>
    <n v="28"/>
    <n v="0"/>
    <n v="36"/>
    <n v="31"/>
    <n v="958"/>
    <n v="30"/>
    <n v="30"/>
    <n v="30"/>
    <n v="15"/>
    <n v="0"/>
    <n v="29"/>
    <n v="30"/>
    <n v="29"/>
    <n v="30"/>
    <n v="29"/>
    <n v="0"/>
    <n v="0"/>
    <n v="0"/>
    <n v="0"/>
    <n v="0"/>
    <n v="0"/>
    <n v="0"/>
    <n v="0"/>
    <n v="0"/>
    <n v="30"/>
    <n v="29"/>
    <n v="30"/>
    <n v="29"/>
    <n v="30"/>
    <n v="29"/>
    <n v="0"/>
    <n v="30"/>
    <n v="29"/>
    <n v="30"/>
    <n v="29"/>
    <n v="0"/>
    <n v="547"/>
    <n v="0"/>
    <n v="0"/>
    <n v="0"/>
    <n v="53"/>
    <n v="53"/>
    <n v="53"/>
    <n v="53"/>
    <n v="53"/>
    <n v="53"/>
    <n v="0"/>
    <n v="53"/>
    <n v="53"/>
    <n v="52"/>
    <n v="53"/>
    <n v="52"/>
    <n v="26"/>
    <n v="0"/>
    <n v="53"/>
    <n v="53"/>
    <n v="52"/>
    <n v="53"/>
    <n v="52"/>
    <n v="53"/>
    <n v="0"/>
    <n v="52"/>
    <n v="53"/>
    <n v="52"/>
    <n v="53"/>
    <n v="52"/>
    <n v="0"/>
    <n v="0"/>
    <n v="1185"/>
  </r>
  <r>
    <x v="3"/>
    <s v="86790-0K141-00"/>
    <s v="F165"/>
    <s v="CAMERA ASSY  TELEVISION"/>
    <s v="TTETA"/>
    <s v="MS"/>
    <s v="P1"/>
    <s v="024J"/>
    <n v="8"/>
    <n v="0"/>
    <n v="11"/>
    <n v="10"/>
    <n v="10"/>
    <n v="11"/>
    <n v="10"/>
    <n v="0"/>
    <n v="0"/>
    <n v="9"/>
    <n v="12"/>
    <n v="9"/>
    <n v="12"/>
    <n v="10"/>
    <n v="11"/>
    <n v="0"/>
    <n v="13"/>
    <n v="11"/>
    <n v="11"/>
    <n v="10"/>
    <n v="11"/>
    <n v="0"/>
    <n v="0"/>
    <n v="8"/>
    <n v="12"/>
    <n v="10"/>
    <n v="10"/>
    <n v="10"/>
    <n v="11"/>
    <n v="0"/>
    <n v="0"/>
    <n v="0"/>
    <n v="232"/>
    <n v="0"/>
    <n v="0"/>
    <n v="0"/>
    <n v="16"/>
    <n v="18"/>
    <n v="17"/>
    <n v="8"/>
    <n v="0"/>
    <n v="16"/>
    <n v="16"/>
    <n v="17"/>
    <n v="16"/>
    <n v="14"/>
    <n v="13"/>
    <n v="0"/>
    <n v="16"/>
    <n v="15"/>
    <n v="13"/>
    <n v="16"/>
    <n v="15"/>
    <n v="15"/>
    <n v="0"/>
    <n v="14"/>
    <n v="13"/>
    <n v="10"/>
    <n v="13"/>
    <n v="13"/>
    <n v="9"/>
    <n v="0"/>
    <n v="13"/>
    <n v="10"/>
    <n v="336"/>
    <n v="3"/>
    <n v="3"/>
    <n v="3"/>
    <n v="2"/>
    <n v="0"/>
    <n v="3"/>
    <n v="3"/>
    <n v="3"/>
    <n v="3"/>
    <n v="3"/>
    <n v="0"/>
    <n v="0"/>
    <n v="0"/>
    <n v="0"/>
    <n v="0"/>
    <n v="0"/>
    <n v="0"/>
    <n v="0"/>
    <n v="0"/>
    <n v="3"/>
    <n v="3"/>
    <n v="3"/>
    <n v="3"/>
    <n v="4"/>
    <n v="3"/>
    <n v="0"/>
    <n v="4"/>
    <n v="3"/>
    <n v="4"/>
    <n v="3"/>
    <n v="0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86790-0K171-00"/>
    <s v="F320"/>
    <s v="CAMERA ASSY  TELEVISION"/>
    <s v="TTETA"/>
    <s v="MS"/>
    <s v="P1"/>
    <s v="024J"/>
    <n v="8"/>
    <n v="0"/>
    <n v="20"/>
    <n v="21"/>
    <n v="22"/>
    <n v="19"/>
    <n v="21"/>
    <n v="0"/>
    <n v="0"/>
    <n v="28"/>
    <n v="23"/>
    <n v="23"/>
    <n v="21"/>
    <n v="22"/>
    <n v="22"/>
    <n v="0"/>
    <n v="24"/>
    <n v="22"/>
    <n v="22"/>
    <n v="24"/>
    <n v="20"/>
    <n v="0"/>
    <n v="0"/>
    <n v="28"/>
    <n v="22"/>
    <n v="17"/>
    <n v="23"/>
    <n v="21"/>
    <n v="20"/>
    <n v="0"/>
    <n v="0"/>
    <n v="0"/>
    <n v="485"/>
    <n v="0"/>
    <n v="0"/>
    <n v="0"/>
    <n v="17"/>
    <n v="20"/>
    <n v="19"/>
    <n v="10"/>
    <n v="0"/>
    <n v="19"/>
    <n v="20"/>
    <n v="16"/>
    <n v="22"/>
    <n v="15"/>
    <n v="17"/>
    <n v="0"/>
    <n v="18"/>
    <n v="22"/>
    <n v="16"/>
    <n v="18"/>
    <n v="18"/>
    <n v="17"/>
    <n v="0"/>
    <n v="19"/>
    <n v="17"/>
    <n v="14"/>
    <n v="18"/>
    <n v="12"/>
    <n v="13"/>
    <n v="0"/>
    <n v="12"/>
    <n v="13"/>
    <n v="402"/>
    <n v="16"/>
    <n v="16"/>
    <n v="16"/>
    <n v="8"/>
    <n v="0"/>
    <n v="16"/>
    <n v="16"/>
    <n v="16"/>
    <n v="16"/>
    <n v="16"/>
    <n v="0"/>
    <n v="0"/>
    <n v="0"/>
    <n v="0"/>
    <n v="0"/>
    <n v="0"/>
    <n v="0"/>
    <n v="0"/>
    <n v="0"/>
    <n v="16"/>
    <n v="16"/>
    <n v="16"/>
    <n v="16"/>
    <n v="17"/>
    <n v="16"/>
    <n v="0"/>
    <n v="17"/>
    <n v="16"/>
    <n v="17"/>
    <n v="16"/>
    <n v="0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86790-0K181-00"/>
    <s v="F323"/>
    <s v="CAMERA ASSY  TELEVISION"/>
    <s v="TTETA"/>
    <s v="MS"/>
    <s v="P1"/>
    <s v="024J"/>
    <n v="8"/>
    <n v="0"/>
    <n v="4"/>
    <n v="3"/>
    <n v="2"/>
    <n v="4"/>
    <n v="3"/>
    <n v="0"/>
    <n v="0"/>
    <n v="3"/>
    <n v="4"/>
    <n v="3"/>
    <n v="3"/>
    <n v="3"/>
    <n v="3"/>
    <n v="0"/>
    <n v="3"/>
    <n v="3"/>
    <n v="3"/>
    <n v="4"/>
    <n v="4"/>
    <n v="0"/>
    <n v="0"/>
    <n v="2"/>
    <n v="3"/>
    <n v="4"/>
    <n v="3"/>
    <n v="2"/>
    <n v="4"/>
    <n v="0"/>
    <n v="0"/>
    <n v="0"/>
    <n v="7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2"/>
    <n v="0"/>
    <n v="0"/>
    <n v="0"/>
    <n v="1"/>
    <n v="1"/>
    <n v="1"/>
    <n v="1"/>
    <n v="1"/>
    <n v="1"/>
    <n v="0"/>
    <n v="1"/>
    <n v="1"/>
    <n v="0"/>
    <n v="1"/>
    <n v="0"/>
    <n v="0"/>
    <n v="0"/>
    <n v="1"/>
    <n v="1"/>
    <n v="0"/>
    <n v="1"/>
    <n v="0"/>
    <n v="1"/>
    <n v="0"/>
    <n v="0"/>
    <n v="1"/>
    <n v="0"/>
    <n v="1"/>
    <n v="0"/>
    <n v="0"/>
    <n v="0"/>
    <n v="15"/>
  </r>
  <r>
    <x v="6"/>
    <s v="86790-0K190-00"/>
    <s v="D331"/>
    <s v="CAMERA ASSY  TELEVISION"/>
    <s v="TTETA"/>
    <s v="MS"/>
    <s v="P1"/>
    <s v="024J"/>
    <n v="6"/>
    <n v="0"/>
    <n v="26"/>
    <n v="29"/>
    <n v="25"/>
    <n v="26"/>
    <n v="26"/>
    <n v="0"/>
    <n v="0"/>
    <n v="28"/>
    <n v="29"/>
    <n v="30"/>
    <n v="28"/>
    <n v="28"/>
    <n v="25"/>
    <n v="0"/>
    <n v="30"/>
    <n v="28"/>
    <n v="27"/>
    <n v="31"/>
    <n v="27"/>
    <n v="0"/>
    <n v="0"/>
    <n v="27"/>
    <n v="29"/>
    <n v="23"/>
    <n v="27"/>
    <n v="29"/>
    <n v="25"/>
    <n v="0"/>
    <n v="0"/>
    <n v="0"/>
    <n v="603"/>
    <n v="0"/>
    <n v="0"/>
    <n v="0"/>
    <n v="37"/>
    <n v="35"/>
    <n v="34"/>
    <n v="16"/>
    <n v="0"/>
    <n v="33"/>
    <n v="32"/>
    <n v="35"/>
    <n v="33"/>
    <n v="28"/>
    <n v="26"/>
    <n v="0"/>
    <n v="33"/>
    <n v="32"/>
    <n v="29"/>
    <n v="34"/>
    <n v="29"/>
    <n v="31"/>
    <n v="0"/>
    <n v="32"/>
    <n v="26"/>
    <n v="23"/>
    <n v="29"/>
    <n v="25"/>
    <n v="18"/>
    <n v="0"/>
    <n v="28"/>
    <n v="21"/>
    <n v="699"/>
    <n v="18"/>
    <n v="18"/>
    <n v="18"/>
    <n v="9"/>
    <n v="0"/>
    <n v="18"/>
    <n v="18"/>
    <n v="18"/>
    <n v="18"/>
    <n v="18"/>
    <n v="0"/>
    <n v="0"/>
    <n v="0"/>
    <n v="0"/>
    <n v="0"/>
    <n v="0"/>
    <n v="0"/>
    <n v="0"/>
    <n v="0"/>
    <n v="18"/>
    <n v="18"/>
    <n v="18"/>
    <n v="18"/>
    <n v="18"/>
    <n v="18"/>
    <n v="0"/>
    <n v="18"/>
    <n v="18"/>
    <n v="18"/>
    <n v="17"/>
    <n v="0"/>
    <n v="332"/>
    <n v="0"/>
    <n v="0"/>
    <n v="0"/>
    <n v="32"/>
    <n v="32"/>
    <n v="32"/>
    <n v="32"/>
    <n v="32"/>
    <n v="32"/>
    <n v="0"/>
    <n v="32"/>
    <n v="33"/>
    <n v="32"/>
    <n v="33"/>
    <n v="32"/>
    <n v="16"/>
    <n v="0"/>
    <n v="33"/>
    <n v="33"/>
    <n v="32"/>
    <n v="33"/>
    <n v="32"/>
    <n v="33"/>
    <n v="0"/>
    <n v="32"/>
    <n v="33"/>
    <n v="32"/>
    <n v="33"/>
    <n v="32"/>
    <n v="0"/>
    <n v="0"/>
    <n v="728"/>
  </r>
  <r>
    <x v="7"/>
    <s v="86790-0K230-00"/>
    <s v="F530"/>
    <s v="CAMERA ASSY  TELEVISION"/>
    <s v="TTETA"/>
    <s v="MS"/>
    <s v="P1"/>
    <s v="024J"/>
    <n v="10"/>
    <n v="0"/>
    <n v="30"/>
    <n v="30"/>
    <n v="25"/>
    <n v="27"/>
    <n v="28"/>
    <n v="0"/>
    <n v="0"/>
    <n v="25"/>
    <n v="29"/>
    <n v="31"/>
    <n v="31"/>
    <n v="31"/>
    <n v="17"/>
    <n v="0"/>
    <n v="26"/>
    <n v="33"/>
    <n v="29"/>
    <n v="34"/>
    <n v="29"/>
    <n v="0"/>
    <n v="0"/>
    <n v="24"/>
    <n v="30"/>
    <n v="24"/>
    <n v="26"/>
    <n v="31"/>
    <n v="28"/>
    <n v="0"/>
    <n v="0"/>
    <n v="0"/>
    <n v="618"/>
    <n v="0"/>
    <n v="0"/>
    <n v="0"/>
    <n v="40"/>
    <n v="36"/>
    <n v="37"/>
    <n v="15"/>
    <n v="0"/>
    <n v="35"/>
    <n v="34"/>
    <n v="36"/>
    <n v="34"/>
    <n v="31"/>
    <n v="29"/>
    <n v="0"/>
    <n v="32"/>
    <n v="30"/>
    <n v="31"/>
    <n v="34"/>
    <n v="33"/>
    <n v="33"/>
    <n v="0"/>
    <n v="31"/>
    <n v="28"/>
    <n v="26"/>
    <n v="29"/>
    <n v="26"/>
    <n v="21"/>
    <n v="0"/>
    <n v="28"/>
    <n v="24"/>
    <n v="733"/>
    <n v="22"/>
    <n v="22"/>
    <n v="22"/>
    <n v="11"/>
    <n v="0"/>
    <n v="22"/>
    <n v="22"/>
    <n v="22"/>
    <n v="22"/>
    <n v="22"/>
    <n v="0"/>
    <n v="0"/>
    <n v="0"/>
    <n v="0"/>
    <n v="0"/>
    <n v="0"/>
    <n v="0"/>
    <n v="0"/>
    <n v="0"/>
    <n v="22"/>
    <n v="22"/>
    <n v="22"/>
    <n v="22"/>
    <n v="22"/>
    <n v="22"/>
    <n v="0"/>
    <n v="22"/>
    <n v="22"/>
    <n v="22"/>
    <n v="21"/>
    <n v="0"/>
    <n v="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86790-0K310-00"/>
    <s v="AU19"/>
    <s v="CAMERA ASSY  TELEVISION"/>
    <s v="TTETA"/>
    <s v="N2"/>
    <s v="P1"/>
    <s v="025J"/>
    <n v="25"/>
    <n v="0"/>
    <n v="10"/>
    <n v="9"/>
    <n v="10"/>
    <n v="11"/>
    <n v="8"/>
    <n v="0"/>
    <n v="0"/>
    <n v="9"/>
    <n v="9"/>
    <n v="9"/>
    <n v="11"/>
    <n v="9"/>
    <n v="8"/>
    <n v="0"/>
    <n v="10"/>
    <n v="10"/>
    <n v="10"/>
    <n v="9"/>
    <n v="10"/>
    <n v="0"/>
    <n v="0"/>
    <n v="7"/>
    <n v="8"/>
    <n v="8"/>
    <n v="10"/>
    <n v="7"/>
    <n v="9"/>
    <n v="0"/>
    <n v="0"/>
    <n v="0"/>
    <n v="201"/>
    <n v="0"/>
    <n v="0"/>
    <n v="0"/>
    <n v="8"/>
    <n v="6"/>
    <n v="7"/>
    <n v="0"/>
    <n v="0"/>
    <n v="7"/>
    <n v="6"/>
    <n v="6"/>
    <n v="8"/>
    <n v="7"/>
    <n v="6"/>
    <n v="0"/>
    <n v="7"/>
    <n v="5"/>
    <n v="7"/>
    <n v="6"/>
    <n v="7"/>
    <n v="0"/>
    <n v="0"/>
    <n v="6"/>
    <n v="6"/>
    <n v="7"/>
    <n v="6"/>
    <n v="7"/>
    <n v="6"/>
    <n v="0"/>
    <n v="7"/>
    <n v="6"/>
    <n v="144"/>
    <n v="4"/>
    <n v="4"/>
    <n v="4"/>
    <n v="2"/>
    <n v="0"/>
    <n v="4"/>
    <n v="4"/>
    <n v="4"/>
    <n v="4"/>
    <n v="4"/>
    <n v="0"/>
    <n v="0"/>
    <n v="0"/>
    <n v="0"/>
    <n v="0"/>
    <n v="0"/>
    <n v="0"/>
    <n v="0"/>
    <n v="0"/>
    <n v="5"/>
    <n v="4"/>
    <n v="5"/>
    <n v="4"/>
    <n v="5"/>
    <n v="4"/>
    <n v="0"/>
    <n v="5"/>
    <n v="4"/>
    <n v="5"/>
    <n v="4"/>
    <n v="0"/>
    <n v="79"/>
    <n v="0"/>
    <n v="0"/>
    <n v="0"/>
    <n v="9"/>
    <n v="9"/>
    <n v="9"/>
    <n v="9"/>
    <n v="9"/>
    <n v="9"/>
    <n v="0"/>
    <n v="9"/>
    <n v="9"/>
    <n v="9"/>
    <n v="9"/>
    <n v="9"/>
    <n v="4"/>
    <n v="0"/>
    <n v="9"/>
    <n v="9"/>
    <n v="9"/>
    <n v="9"/>
    <n v="9"/>
    <n v="9"/>
    <n v="0"/>
    <n v="9"/>
    <n v="9"/>
    <n v="8"/>
    <n v="9"/>
    <n v="8"/>
    <n v="0"/>
    <n v="0"/>
    <n v="200"/>
  </r>
  <r>
    <x v="8"/>
    <s v="86790-0K310-00"/>
    <s v="AU19"/>
    <s v="CAMERA ASSY  TELEVISION"/>
    <s v="TTETA"/>
    <m/>
    <s v="E1"/>
    <s v="025J"/>
    <n v="25"/>
    <n v="0"/>
    <n v="110"/>
    <n v="106"/>
    <n v="101"/>
    <n v="100"/>
    <n v="92"/>
    <n v="0"/>
    <n v="0"/>
    <n v="107"/>
    <n v="108"/>
    <n v="100"/>
    <n v="108"/>
    <n v="99"/>
    <n v="94"/>
    <n v="0"/>
    <n v="105"/>
    <n v="98"/>
    <n v="106"/>
    <n v="103"/>
    <n v="101"/>
    <n v="0"/>
    <n v="0"/>
    <n v="0"/>
    <n v="0"/>
    <n v="0"/>
    <n v="0"/>
    <n v="0"/>
    <n v="1"/>
    <n v="0"/>
    <n v="0"/>
    <n v="0"/>
    <n v="1639"/>
    <n v="0"/>
    <n v="0"/>
    <n v="0"/>
    <n v="121"/>
    <n v="122"/>
    <n v="116"/>
    <n v="50"/>
    <n v="0"/>
    <n v="116"/>
    <n v="115"/>
    <n v="121"/>
    <n v="120"/>
    <n v="108"/>
    <n v="100"/>
    <n v="0"/>
    <n v="166"/>
    <n v="157"/>
    <n v="148"/>
    <n v="170"/>
    <n v="159"/>
    <n v="158"/>
    <n v="0"/>
    <n v="170"/>
    <n v="165"/>
    <n v="143"/>
    <n v="173"/>
    <n v="154"/>
    <n v="143"/>
    <n v="0"/>
    <n v="170"/>
    <n v="151"/>
    <n v="3316"/>
    <n v="118"/>
    <n v="118"/>
    <n v="118"/>
    <n v="59"/>
    <n v="0"/>
    <n v="118"/>
    <n v="118"/>
    <n v="118"/>
    <n v="118"/>
    <n v="118"/>
    <n v="0"/>
    <n v="0"/>
    <n v="0"/>
    <n v="0"/>
    <n v="0"/>
    <n v="0"/>
    <n v="0"/>
    <n v="0"/>
    <n v="0"/>
    <n v="118"/>
    <n v="118"/>
    <n v="118"/>
    <n v="118"/>
    <n v="118"/>
    <n v="118"/>
    <n v="0"/>
    <n v="118"/>
    <n v="118"/>
    <n v="118"/>
    <n v="118"/>
    <n v="0"/>
    <n v="2183"/>
    <n v="0"/>
    <n v="0"/>
    <n v="0"/>
    <n v="147"/>
    <n v="147"/>
    <n v="147"/>
    <n v="147"/>
    <n v="147"/>
    <n v="147"/>
    <n v="0"/>
    <n v="147"/>
    <n v="147"/>
    <n v="147"/>
    <n v="147"/>
    <n v="147"/>
    <n v="74"/>
    <n v="0"/>
    <n v="147"/>
    <n v="147"/>
    <n v="147"/>
    <n v="147"/>
    <n v="147"/>
    <n v="147"/>
    <n v="0"/>
    <n v="147"/>
    <n v="147"/>
    <n v="147"/>
    <n v="147"/>
    <n v="147"/>
    <n v="0"/>
    <n v="0"/>
    <n v="3308"/>
  </r>
  <r>
    <x v="9"/>
    <s v="86790-0K400-00"/>
    <s v="AU20"/>
    <s v="CAMERA ASSY  TELEVISION"/>
    <s v="TTETA"/>
    <s v="N2"/>
    <s v="P1"/>
    <s v="025J"/>
    <n v="38"/>
    <n v="0"/>
    <n v="10"/>
    <n v="9"/>
    <n v="10"/>
    <n v="11"/>
    <n v="8"/>
    <n v="0"/>
    <n v="0"/>
    <n v="9"/>
    <n v="9"/>
    <n v="9"/>
    <n v="11"/>
    <n v="9"/>
    <n v="8"/>
    <n v="0"/>
    <n v="10"/>
    <n v="10"/>
    <n v="10"/>
    <n v="9"/>
    <n v="10"/>
    <n v="0"/>
    <n v="0"/>
    <n v="7"/>
    <n v="8"/>
    <n v="8"/>
    <n v="10"/>
    <n v="7"/>
    <n v="9"/>
    <n v="0"/>
    <n v="0"/>
    <n v="0"/>
    <n v="201"/>
    <n v="0"/>
    <n v="0"/>
    <n v="0"/>
    <n v="8"/>
    <n v="6"/>
    <n v="7"/>
    <n v="0"/>
    <n v="0"/>
    <n v="7"/>
    <n v="6"/>
    <n v="6"/>
    <n v="8"/>
    <n v="7"/>
    <n v="6"/>
    <n v="0"/>
    <n v="7"/>
    <n v="5"/>
    <n v="7"/>
    <n v="6"/>
    <n v="7"/>
    <n v="0"/>
    <n v="0"/>
    <n v="6"/>
    <n v="6"/>
    <n v="7"/>
    <n v="6"/>
    <n v="7"/>
    <n v="6"/>
    <n v="0"/>
    <n v="7"/>
    <n v="6"/>
    <n v="144"/>
    <n v="4"/>
    <n v="4"/>
    <n v="4"/>
    <n v="2"/>
    <n v="0"/>
    <n v="4"/>
    <n v="4"/>
    <n v="4"/>
    <n v="4"/>
    <n v="4"/>
    <n v="0"/>
    <n v="0"/>
    <n v="0"/>
    <n v="0"/>
    <n v="0"/>
    <n v="0"/>
    <n v="0"/>
    <n v="0"/>
    <n v="0"/>
    <n v="5"/>
    <n v="4"/>
    <n v="5"/>
    <n v="4"/>
    <n v="5"/>
    <n v="4"/>
    <n v="0"/>
    <n v="5"/>
    <n v="4"/>
    <n v="5"/>
    <n v="4"/>
    <n v="0"/>
    <n v="79"/>
    <n v="0"/>
    <n v="0"/>
    <n v="0"/>
    <n v="9"/>
    <n v="9"/>
    <n v="9"/>
    <n v="9"/>
    <n v="9"/>
    <n v="9"/>
    <n v="0"/>
    <n v="9"/>
    <n v="9"/>
    <n v="9"/>
    <n v="9"/>
    <n v="9"/>
    <n v="4"/>
    <n v="0"/>
    <n v="9"/>
    <n v="9"/>
    <n v="9"/>
    <n v="9"/>
    <n v="9"/>
    <n v="9"/>
    <n v="0"/>
    <n v="9"/>
    <n v="9"/>
    <n v="8"/>
    <n v="9"/>
    <n v="8"/>
    <n v="0"/>
    <n v="0"/>
    <n v="200"/>
  </r>
  <r>
    <x v="9"/>
    <s v="86790-0K400-00"/>
    <s v="AU20"/>
    <s v="CAMERA ASSY  TELEVISION"/>
    <s v="TTETA"/>
    <m/>
    <s v="E1"/>
    <s v="025J"/>
    <n v="38"/>
    <n v="0"/>
    <n v="110"/>
    <n v="106"/>
    <n v="101"/>
    <n v="100"/>
    <n v="92"/>
    <n v="0"/>
    <n v="0"/>
    <n v="107"/>
    <n v="108"/>
    <n v="100"/>
    <n v="108"/>
    <n v="99"/>
    <n v="94"/>
    <n v="0"/>
    <n v="105"/>
    <n v="98"/>
    <n v="106"/>
    <n v="103"/>
    <n v="101"/>
    <n v="0"/>
    <n v="0"/>
    <n v="0"/>
    <n v="0"/>
    <n v="0"/>
    <n v="0"/>
    <n v="0"/>
    <n v="1"/>
    <n v="0"/>
    <n v="0"/>
    <n v="0"/>
    <n v="1639"/>
    <n v="0"/>
    <n v="0"/>
    <n v="0"/>
    <n v="121"/>
    <n v="122"/>
    <n v="116"/>
    <n v="50"/>
    <n v="0"/>
    <n v="116"/>
    <n v="115"/>
    <n v="121"/>
    <n v="120"/>
    <n v="108"/>
    <n v="100"/>
    <n v="0"/>
    <n v="166"/>
    <n v="157"/>
    <n v="148"/>
    <n v="170"/>
    <n v="159"/>
    <n v="158"/>
    <n v="0"/>
    <n v="170"/>
    <n v="165"/>
    <n v="143"/>
    <n v="173"/>
    <n v="154"/>
    <n v="143"/>
    <n v="0"/>
    <n v="170"/>
    <n v="151"/>
    <n v="3316"/>
    <n v="118"/>
    <n v="118"/>
    <n v="118"/>
    <n v="59"/>
    <n v="0"/>
    <n v="118"/>
    <n v="118"/>
    <n v="118"/>
    <n v="118"/>
    <n v="118"/>
    <n v="0"/>
    <n v="0"/>
    <n v="0"/>
    <n v="0"/>
    <n v="0"/>
    <n v="0"/>
    <n v="0"/>
    <n v="0"/>
    <n v="0"/>
    <n v="118"/>
    <n v="118"/>
    <n v="118"/>
    <n v="118"/>
    <n v="118"/>
    <n v="118"/>
    <n v="0"/>
    <n v="118"/>
    <n v="118"/>
    <n v="118"/>
    <n v="118"/>
    <n v="0"/>
    <n v="2183"/>
    <n v="0"/>
    <n v="0"/>
    <n v="0"/>
    <n v="147"/>
    <n v="147"/>
    <n v="147"/>
    <n v="147"/>
    <n v="147"/>
    <n v="147"/>
    <n v="0"/>
    <n v="147"/>
    <n v="147"/>
    <n v="147"/>
    <n v="147"/>
    <n v="147"/>
    <n v="74"/>
    <n v="0"/>
    <n v="147"/>
    <n v="147"/>
    <n v="147"/>
    <n v="147"/>
    <n v="147"/>
    <n v="147"/>
    <n v="0"/>
    <n v="147"/>
    <n v="147"/>
    <n v="147"/>
    <n v="147"/>
    <n v="147"/>
    <n v="0"/>
    <n v="0"/>
    <n v="3308"/>
  </r>
  <r>
    <x v="10"/>
    <s v="86790-0K220-00"/>
    <s v="T742"/>
    <s v="CAMERA ASSY  TELEVISION"/>
    <s v="TTETA"/>
    <m/>
    <s v="D1"/>
    <s v="758W"/>
    <n v="20"/>
    <n v="0"/>
    <n v="60"/>
    <n v="40"/>
    <n v="60"/>
    <n v="60"/>
    <n v="40"/>
    <n v="0"/>
    <n v="0"/>
    <n v="60"/>
    <n v="40"/>
    <n v="60"/>
    <n v="60"/>
    <n v="40"/>
    <n v="60"/>
    <n v="0"/>
    <n v="60"/>
    <n v="40"/>
    <n v="60"/>
    <n v="60"/>
    <n v="40"/>
    <n v="0"/>
    <n v="0"/>
    <n v="60"/>
    <n v="60"/>
    <n v="40"/>
    <n v="60"/>
    <n v="40"/>
    <n v="60"/>
    <n v="0"/>
    <n v="0"/>
    <n v="0"/>
    <n v="1160"/>
    <n v="0"/>
    <n v="0"/>
    <n v="80"/>
    <n v="100"/>
    <n v="80"/>
    <n v="80"/>
    <n v="40"/>
    <n v="0"/>
    <n v="100"/>
    <n v="80"/>
    <n v="100"/>
    <n v="80"/>
    <n v="100"/>
    <n v="80"/>
    <n v="0"/>
    <n v="100"/>
    <n v="80"/>
    <n v="100"/>
    <n v="80"/>
    <n v="100"/>
    <n v="0"/>
    <n v="0"/>
    <n v="80"/>
    <n v="100"/>
    <n v="80"/>
    <n v="100"/>
    <n v="100"/>
    <n v="80"/>
    <n v="0"/>
    <n v="80"/>
    <n v="100"/>
    <n v="2100"/>
    <n v="110"/>
    <n v="110"/>
    <n v="110"/>
    <n v="55"/>
    <n v="0"/>
    <n v="110"/>
    <n v="110"/>
    <n v="110"/>
    <n v="110"/>
    <n v="110"/>
    <n v="0"/>
    <n v="0"/>
    <n v="0"/>
    <n v="0"/>
    <n v="0"/>
    <n v="0"/>
    <n v="0"/>
    <n v="0"/>
    <n v="0"/>
    <n v="111"/>
    <n v="110"/>
    <n v="111"/>
    <n v="110"/>
    <n v="111"/>
    <n v="110"/>
    <n v="0"/>
    <n v="111"/>
    <n v="110"/>
    <n v="111"/>
    <n v="110"/>
    <n v="0"/>
    <n v="2040"/>
    <n v="0"/>
    <n v="0"/>
    <n v="0"/>
    <n v="0"/>
    <n v="52"/>
    <n v="52"/>
    <n v="52"/>
    <n v="52"/>
    <n v="52"/>
    <n v="0"/>
    <n v="52"/>
    <n v="52"/>
    <n v="52"/>
    <n v="52"/>
    <n v="52"/>
    <n v="0"/>
    <n v="0"/>
    <n v="52"/>
    <n v="52"/>
    <n v="52"/>
    <n v="52"/>
    <n v="52"/>
    <n v="0"/>
    <n v="0"/>
    <n v="52"/>
    <n v="52"/>
    <n v="52"/>
    <n v="52"/>
    <n v="52"/>
    <n v="0"/>
    <n v="0"/>
    <n v="1040"/>
  </r>
  <r>
    <x v="11"/>
    <s v="86790-0K051-00"/>
    <s v="W036"/>
    <s v="CAMERA ASSY  TELEVISION"/>
    <s v="TTETA"/>
    <m/>
    <s v="BN"/>
    <s v="975W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s v="86790-0K051-00"/>
    <s v="UPLD"/>
    <s v="DUMMY"/>
    <s v="TTETA"/>
    <m/>
    <s v="BN"/>
    <s v="024J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s v="86790-0K051-00"/>
    <s v="W036"/>
    <s v="CAMERA ASSY  TELEVISION"/>
    <s v="TTETA"/>
    <m/>
    <s v="BN"/>
    <s v="024J"/>
    <n v="25"/>
    <n v="0"/>
    <n v="30"/>
    <n v="40"/>
    <n v="30"/>
    <n v="20"/>
    <n v="40"/>
    <n v="0"/>
    <n v="0"/>
    <n v="10"/>
    <n v="30"/>
    <n v="40"/>
    <n v="30"/>
    <n v="30"/>
    <n v="30"/>
    <n v="0"/>
    <n v="30"/>
    <n v="30"/>
    <n v="40"/>
    <n v="20"/>
    <n v="30"/>
    <n v="0"/>
    <n v="0"/>
    <n v="20"/>
    <n v="30"/>
    <n v="40"/>
    <n v="30"/>
    <n v="30"/>
    <n v="10"/>
    <n v="0"/>
    <n v="0"/>
    <n v="0"/>
    <n v="640"/>
    <n v="0"/>
    <n v="0"/>
    <n v="30"/>
    <n v="30"/>
    <n v="20"/>
    <n v="20"/>
    <n v="20"/>
    <n v="0"/>
    <n v="40"/>
    <n v="10"/>
    <n v="40"/>
    <n v="20"/>
    <n v="30"/>
    <n v="20"/>
    <n v="0"/>
    <n v="40"/>
    <n v="20"/>
    <n v="30"/>
    <n v="20"/>
    <n v="30"/>
    <n v="0"/>
    <n v="0"/>
    <n v="40"/>
    <n v="20"/>
    <n v="30"/>
    <n v="40"/>
    <n v="0"/>
    <n v="40"/>
    <n v="0"/>
    <n v="30"/>
    <n v="30"/>
    <n v="650"/>
    <n v="25"/>
    <n v="25"/>
    <n v="25"/>
    <n v="12"/>
    <n v="0"/>
    <n v="25"/>
    <n v="25"/>
    <n v="25"/>
    <n v="25"/>
    <n v="25"/>
    <n v="0"/>
    <n v="0"/>
    <n v="0"/>
    <n v="0"/>
    <n v="0"/>
    <n v="0"/>
    <n v="0"/>
    <n v="0"/>
    <n v="0"/>
    <n v="25"/>
    <n v="25"/>
    <n v="25"/>
    <n v="25"/>
    <n v="25"/>
    <n v="25"/>
    <n v="0"/>
    <n v="25"/>
    <n v="24"/>
    <n v="25"/>
    <n v="24"/>
    <n v="0"/>
    <n v="460"/>
    <n v="0"/>
    <n v="0"/>
    <n v="0"/>
    <n v="0"/>
    <n v="12"/>
    <n v="11"/>
    <n v="12"/>
    <n v="11"/>
    <n v="12"/>
    <n v="0"/>
    <n v="11"/>
    <n v="12"/>
    <n v="11"/>
    <n v="12"/>
    <n v="11"/>
    <n v="0"/>
    <n v="0"/>
    <n v="12"/>
    <n v="11"/>
    <n v="12"/>
    <n v="11"/>
    <n v="12"/>
    <n v="0"/>
    <n v="0"/>
    <n v="11"/>
    <n v="12"/>
    <n v="11"/>
    <n v="12"/>
    <n v="11"/>
    <n v="0"/>
    <n v="0"/>
    <n v="230"/>
  </r>
  <r>
    <x v="12"/>
    <s v="86790-0K051-00"/>
    <s v="W036"/>
    <s v="CAMERA ASSY  TELEVISION"/>
    <s v="TTETA"/>
    <m/>
    <s v="D1"/>
    <s v="024J"/>
    <n v="30"/>
    <n v="0"/>
    <n v="270"/>
    <n v="270"/>
    <n v="240"/>
    <n v="270"/>
    <n v="270"/>
    <n v="0"/>
    <n v="0"/>
    <n v="270"/>
    <n v="270"/>
    <n v="240"/>
    <n v="300"/>
    <n v="240"/>
    <n v="240"/>
    <n v="0"/>
    <n v="300"/>
    <n v="240"/>
    <n v="270"/>
    <n v="270"/>
    <n v="270"/>
    <n v="0"/>
    <n v="0"/>
    <n v="240"/>
    <n v="270"/>
    <n v="270"/>
    <n v="270"/>
    <n v="270"/>
    <n v="240"/>
    <n v="0"/>
    <n v="0"/>
    <n v="0"/>
    <n v="5790"/>
    <n v="0"/>
    <n v="0"/>
    <n v="240"/>
    <n v="300"/>
    <n v="300"/>
    <n v="360"/>
    <n v="150"/>
    <n v="0"/>
    <n v="330"/>
    <n v="360"/>
    <n v="330"/>
    <n v="360"/>
    <n v="360"/>
    <n v="360"/>
    <n v="0"/>
    <n v="330"/>
    <n v="390"/>
    <n v="360"/>
    <n v="330"/>
    <n v="360"/>
    <n v="0"/>
    <n v="0"/>
    <n v="360"/>
    <n v="360"/>
    <n v="330"/>
    <n v="390"/>
    <n v="360"/>
    <n v="330"/>
    <n v="0"/>
    <n v="360"/>
    <n v="270"/>
    <n v="7980"/>
    <n v="297"/>
    <n v="297"/>
    <n v="297"/>
    <n v="148"/>
    <n v="0"/>
    <n v="297"/>
    <n v="297"/>
    <n v="297"/>
    <n v="297"/>
    <n v="297"/>
    <n v="0"/>
    <n v="0"/>
    <n v="0"/>
    <n v="0"/>
    <n v="0"/>
    <n v="0"/>
    <n v="0"/>
    <n v="0"/>
    <n v="0"/>
    <n v="297"/>
    <n v="297"/>
    <n v="297"/>
    <n v="296"/>
    <n v="297"/>
    <n v="296"/>
    <n v="0"/>
    <n v="297"/>
    <n v="296"/>
    <n v="297"/>
    <n v="296"/>
    <n v="0"/>
    <n v="5490"/>
    <n v="0"/>
    <n v="0"/>
    <n v="0"/>
    <n v="0"/>
    <n v="186"/>
    <n v="186"/>
    <n v="186"/>
    <n v="186"/>
    <n v="186"/>
    <n v="0"/>
    <n v="186"/>
    <n v="186"/>
    <n v="186"/>
    <n v="186"/>
    <n v="186"/>
    <n v="0"/>
    <n v="0"/>
    <n v="186"/>
    <n v="186"/>
    <n v="186"/>
    <n v="186"/>
    <n v="186"/>
    <n v="0"/>
    <n v="0"/>
    <n v="186"/>
    <n v="186"/>
    <n v="186"/>
    <n v="186"/>
    <n v="186"/>
    <n v="0"/>
    <n v="0"/>
    <n v="3720"/>
  </r>
  <r>
    <x v="13"/>
    <s v="86790-0K110-00"/>
    <s v="M523"/>
    <s v="CAMERA ASSY  TELEVISION"/>
    <s v="TTETA"/>
    <m/>
    <s v="D1"/>
    <s v="024J"/>
    <n v="20"/>
    <n v="0"/>
    <n v="340"/>
    <n v="280"/>
    <n v="300"/>
    <n v="320"/>
    <n v="280"/>
    <n v="0"/>
    <n v="0"/>
    <n v="280"/>
    <n v="280"/>
    <n v="320"/>
    <n v="280"/>
    <n v="320"/>
    <n v="300"/>
    <n v="0"/>
    <n v="280"/>
    <n v="260"/>
    <n v="260"/>
    <n v="320"/>
    <n v="320"/>
    <n v="0"/>
    <n v="0"/>
    <n v="320"/>
    <n v="320"/>
    <n v="300"/>
    <n v="360"/>
    <n v="320"/>
    <n v="320"/>
    <n v="0"/>
    <n v="0"/>
    <n v="0"/>
    <n v="6680"/>
    <n v="0"/>
    <n v="0"/>
    <n v="260"/>
    <n v="280"/>
    <n v="320"/>
    <n v="300"/>
    <n v="140"/>
    <n v="0"/>
    <n v="300"/>
    <n v="280"/>
    <n v="320"/>
    <n v="320"/>
    <n v="300"/>
    <n v="300"/>
    <n v="0"/>
    <n v="300"/>
    <n v="300"/>
    <n v="320"/>
    <n v="300"/>
    <n v="300"/>
    <n v="0"/>
    <n v="0"/>
    <n v="280"/>
    <n v="280"/>
    <n v="260"/>
    <n v="280"/>
    <n v="260"/>
    <n v="260"/>
    <n v="0"/>
    <n v="260"/>
    <n v="220"/>
    <n v="6740"/>
    <n v="277"/>
    <n v="277"/>
    <n v="277"/>
    <n v="138"/>
    <n v="0"/>
    <n v="277"/>
    <n v="277"/>
    <n v="277"/>
    <n v="277"/>
    <n v="277"/>
    <n v="0"/>
    <n v="0"/>
    <n v="0"/>
    <n v="0"/>
    <n v="0"/>
    <n v="0"/>
    <n v="0"/>
    <n v="0"/>
    <n v="0"/>
    <n v="277"/>
    <n v="277"/>
    <n v="277"/>
    <n v="276"/>
    <n v="277"/>
    <n v="276"/>
    <n v="0"/>
    <n v="277"/>
    <n v="276"/>
    <n v="277"/>
    <n v="276"/>
    <n v="0"/>
    <n v="5120"/>
    <n v="0"/>
    <n v="0"/>
    <n v="0"/>
    <n v="0"/>
    <n v="211"/>
    <n v="211"/>
    <n v="211"/>
    <n v="211"/>
    <n v="211"/>
    <n v="0"/>
    <n v="211"/>
    <n v="211"/>
    <n v="211"/>
    <n v="211"/>
    <n v="211"/>
    <n v="0"/>
    <n v="0"/>
    <n v="211"/>
    <n v="211"/>
    <n v="211"/>
    <n v="211"/>
    <n v="211"/>
    <n v="0"/>
    <n v="0"/>
    <n v="211"/>
    <n v="211"/>
    <n v="211"/>
    <n v="211"/>
    <n v="211"/>
    <n v="0"/>
    <n v="0"/>
    <n v="4220"/>
  </r>
  <r>
    <x v="14"/>
    <s v="86790-0K110-00"/>
    <s v="M523"/>
    <s v="CAMERA ASSY  TELEVISION"/>
    <s v="TTETA"/>
    <m/>
    <s v="BN"/>
    <s v="024J"/>
    <n v="10"/>
    <n v="0"/>
    <n v="20"/>
    <n v="10"/>
    <n v="10"/>
    <n v="0"/>
    <n v="10"/>
    <n v="0"/>
    <n v="0"/>
    <n v="10"/>
    <n v="10"/>
    <n v="10"/>
    <n v="10"/>
    <n v="10"/>
    <n v="10"/>
    <n v="0"/>
    <n v="0"/>
    <n v="10"/>
    <n v="10"/>
    <n v="10"/>
    <n v="10"/>
    <n v="0"/>
    <n v="0"/>
    <n v="0"/>
    <n v="0"/>
    <n v="0"/>
    <n v="0"/>
    <n v="10"/>
    <n v="10"/>
    <n v="0"/>
    <n v="0"/>
    <n v="0"/>
    <n v="170"/>
    <n v="0"/>
    <n v="0"/>
    <n v="10"/>
    <n v="20"/>
    <n v="10"/>
    <n v="30"/>
    <n v="0"/>
    <n v="0"/>
    <n v="20"/>
    <n v="10"/>
    <n v="20"/>
    <n v="10"/>
    <n v="20"/>
    <n v="10"/>
    <n v="0"/>
    <n v="30"/>
    <n v="10"/>
    <n v="20"/>
    <n v="10"/>
    <n v="20"/>
    <n v="0"/>
    <n v="0"/>
    <n v="10"/>
    <n v="20"/>
    <n v="10"/>
    <n v="20"/>
    <n v="20"/>
    <n v="20"/>
    <n v="0"/>
    <n v="10"/>
    <n v="20"/>
    <n v="380"/>
    <n v="7"/>
    <n v="7"/>
    <n v="7"/>
    <n v="4"/>
    <n v="0"/>
    <n v="7"/>
    <n v="7"/>
    <n v="7"/>
    <n v="7"/>
    <n v="7"/>
    <n v="0"/>
    <n v="0"/>
    <n v="0"/>
    <n v="0"/>
    <n v="0"/>
    <n v="0"/>
    <n v="0"/>
    <n v="0"/>
    <n v="0"/>
    <n v="7"/>
    <n v="7"/>
    <n v="7"/>
    <n v="7"/>
    <n v="7"/>
    <n v="7"/>
    <n v="0"/>
    <n v="7"/>
    <n v="7"/>
    <n v="7"/>
    <n v="7"/>
    <n v="0"/>
    <n v="130"/>
    <n v="0"/>
    <n v="0"/>
    <n v="0"/>
    <n v="0"/>
    <n v="11"/>
    <n v="10"/>
    <n v="11"/>
    <n v="10"/>
    <n v="11"/>
    <n v="0"/>
    <n v="10"/>
    <n v="11"/>
    <n v="10"/>
    <n v="11"/>
    <n v="10"/>
    <n v="0"/>
    <n v="0"/>
    <n v="11"/>
    <n v="10"/>
    <n v="11"/>
    <n v="10"/>
    <n v="11"/>
    <n v="0"/>
    <n v="0"/>
    <n v="10"/>
    <n v="11"/>
    <n v="10"/>
    <n v="11"/>
    <n v="10"/>
    <n v="0"/>
    <n v="0"/>
    <n v="210"/>
  </r>
  <r>
    <x v="15"/>
    <s v="86790-0K141-00"/>
    <s v="U324"/>
    <s v="CAMERA ASSY  TELEVISION"/>
    <s v="TTETA"/>
    <m/>
    <s v="BN"/>
    <s v="024J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s v="86790-0K120-00"/>
    <s v="T962"/>
    <s v="CAMERA ASSY  TELEVISION"/>
    <s v="TTETA"/>
    <m/>
    <s v="D1"/>
    <s v="024J"/>
    <n v="20"/>
    <n v="0"/>
    <n v="20"/>
    <n v="0"/>
    <n v="20"/>
    <n v="0"/>
    <n v="20"/>
    <n v="0"/>
    <n v="0"/>
    <n v="0"/>
    <n v="20"/>
    <n v="0"/>
    <n v="20"/>
    <n v="0"/>
    <n v="20"/>
    <n v="0"/>
    <n v="20"/>
    <n v="0"/>
    <n v="20"/>
    <n v="0"/>
    <n v="20"/>
    <n v="0"/>
    <n v="0"/>
    <n v="0"/>
    <n v="20"/>
    <n v="0"/>
    <n v="20"/>
    <n v="0"/>
    <n v="20"/>
    <n v="0"/>
    <n v="0"/>
    <n v="0"/>
    <n v="240"/>
    <n v="0"/>
    <n v="0"/>
    <n v="20"/>
    <n v="0"/>
    <n v="20"/>
    <n v="20"/>
    <n v="0"/>
    <n v="0"/>
    <n v="20"/>
    <n v="20"/>
    <n v="20"/>
    <n v="0"/>
    <n v="20"/>
    <n v="20"/>
    <n v="0"/>
    <n v="20"/>
    <n v="20"/>
    <n v="0"/>
    <n v="20"/>
    <n v="20"/>
    <n v="0"/>
    <n v="0"/>
    <n v="20"/>
    <n v="0"/>
    <n v="20"/>
    <n v="20"/>
    <n v="20"/>
    <n v="0"/>
    <n v="0"/>
    <n v="20"/>
    <n v="20"/>
    <n v="360"/>
    <n v="11"/>
    <n v="11"/>
    <n v="11"/>
    <n v="5"/>
    <n v="0"/>
    <n v="11"/>
    <n v="11"/>
    <n v="11"/>
    <n v="11"/>
    <n v="11"/>
    <n v="0"/>
    <n v="0"/>
    <n v="0"/>
    <n v="0"/>
    <n v="0"/>
    <n v="0"/>
    <n v="0"/>
    <n v="0"/>
    <n v="0"/>
    <n v="11"/>
    <n v="11"/>
    <n v="11"/>
    <n v="11"/>
    <n v="11"/>
    <n v="10"/>
    <n v="0"/>
    <n v="11"/>
    <n v="10"/>
    <n v="11"/>
    <n v="10"/>
    <n v="0"/>
    <n v="200"/>
    <n v="0"/>
    <n v="0"/>
    <n v="0"/>
    <n v="0"/>
    <n v="1"/>
    <n v="1"/>
    <n v="1"/>
    <n v="1"/>
    <n v="1"/>
    <n v="0"/>
    <n v="1"/>
    <n v="1"/>
    <n v="1"/>
    <n v="1"/>
    <n v="1"/>
    <n v="0"/>
    <n v="0"/>
    <n v="1"/>
    <n v="1"/>
    <n v="1"/>
    <n v="1"/>
    <n v="1"/>
    <n v="0"/>
    <n v="0"/>
    <n v="1"/>
    <n v="1"/>
    <n v="1"/>
    <n v="1"/>
    <n v="1"/>
    <n v="0"/>
    <n v="0"/>
    <n v="20"/>
  </r>
  <r>
    <x v="17"/>
    <s v="86790-0K141-00"/>
    <s v="U324"/>
    <s v="CAMERA ASSY  TELEVISION"/>
    <s v="TTETA"/>
    <m/>
    <s v="D1"/>
    <s v="024J"/>
    <n v="16"/>
    <n v="0"/>
    <n v="48"/>
    <n v="64"/>
    <n v="48"/>
    <n v="48"/>
    <n v="80"/>
    <n v="0"/>
    <n v="0"/>
    <n v="80"/>
    <n v="80"/>
    <n v="80"/>
    <n v="96"/>
    <n v="80"/>
    <n v="80"/>
    <n v="0"/>
    <n v="80"/>
    <n v="96"/>
    <n v="80"/>
    <n v="80"/>
    <n v="80"/>
    <n v="0"/>
    <n v="0"/>
    <n v="80"/>
    <n v="96"/>
    <n v="80"/>
    <n v="80"/>
    <n v="80"/>
    <n v="96"/>
    <n v="0"/>
    <n v="0"/>
    <n v="0"/>
    <n v="1712"/>
    <n v="0"/>
    <n v="0"/>
    <n v="80"/>
    <n v="112"/>
    <n v="96"/>
    <n v="96"/>
    <n v="32"/>
    <n v="0"/>
    <n v="80"/>
    <n v="80"/>
    <n v="96"/>
    <n v="80"/>
    <n v="96"/>
    <n v="80"/>
    <n v="0"/>
    <n v="96"/>
    <n v="80"/>
    <n v="96"/>
    <n v="80"/>
    <n v="96"/>
    <n v="0"/>
    <n v="0"/>
    <n v="80"/>
    <n v="96"/>
    <n v="80"/>
    <n v="96"/>
    <n v="80"/>
    <n v="80"/>
    <n v="0"/>
    <n v="96"/>
    <n v="80"/>
    <n v="2064"/>
    <n v="75"/>
    <n v="75"/>
    <n v="75"/>
    <n v="38"/>
    <n v="0"/>
    <n v="75"/>
    <n v="75"/>
    <n v="75"/>
    <n v="75"/>
    <n v="75"/>
    <n v="0"/>
    <n v="0"/>
    <n v="0"/>
    <n v="0"/>
    <n v="0"/>
    <n v="0"/>
    <n v="0"/>
    <n v="0"/>
    <n v="0"/>
    <n v="75"/>
    <n v="75"/>
    <n v="76"/>
    <n v="75"/>
    <n v="76"/>
    <n v="75"/>
    <n v="0"/>
    <n v="76"/>
    <n v="75"/>
    <n v="76"/>
    <n v="75"/>
    <n v="0"/>
    <n v="1392"/>
    <n v="0"/>
    <n v="0"/>
    <n v="0"/>
    <n v="0"/>
    <n v="46"/>
    <n v="46"/>
    <n v="46"/>
    <n v="46"/>
    <n v="46"/>
    <n v="0"/>
    <n v="45"/>
    <n v="46"/>
    <n v="45"/>
    <n v="46"/>
    <n v="45"/>
    <n v="0"/>
    <n v="0"/>
    <n v="46"/>
    <n v="45"/>
    <n v="46"/>
    <n v="45"/>
    <n v="46"/>
    <n v="0"/>
    <n v="0"/>
    <n v="45"/>
    <n v="46"/>
    <n v="45"/>
    <n v="46"/>
    <n v="45"/>
    <n v="0"/>
    <n v="0"/>
    <n v="912"/>
  </r>
  <r>
    <x v="18"/>
    <s v="86790-0K171-00"/>
    <s v="U325"/>
    <s v="CAMERA ASSY  TELEVISION"/>
    <s v="TTETA"/>
    <m/>
    <s v="BN"/>
    <s v="024J"/>
    <n v="8"/>
    <n v="0"/>
    <n v="10"/>
    <n v="20"/>
    <n v="10"/>
    <n v="10"/>
    <n v="20"/>
    <n v="0"/>
    <n v="0"/>
    <n v="0"/>
    <n v="10"/>
    <n v="20"/>
    <n v="10"/>
    <n v="10"/>
    <n v="20"/>
    <n v="0"/>
    <n v="10"/>
    <n v="10"/>
    <n v="20"/>
    <n v="10"/>
    <n v="10"/>
    <n v="0"/>
    <n v="0"/>
    <n v="20"/>
    <n v="10"/>
    <n v="20"/>
    <n v="20"/>
    <n v="10"/>
    <n v="10"/>
    <n v="0"/>
    <n v="0"/>
    <n v="0"/>
    <n v="290"/>
    <n v="0"/>
    <n v="0"/>
    <n v="20"/>
    <n v="10"/>
    <n v="20"/>
    <n v="10"/>
    <n v="20"/>
    <n v="0"/>
    <n v="20"/>
    <n v="0"/>
    <n v="20"/>
    <n v="20"/>
    <n v="20"/>
    <n v="10"/>
    <n v="0"/>
    <n v="20"/>
    <n v="20"/>
    <n v="10"/>
    <n v="10"/>
    <n v="20"/>
    <n v="0"/>
    <n v="0"/>
    <n v="20"/>
    <n v="20"/>
    <n v="20"/>
    <n v="20"/>
    <n v="0"/>
    <n v="30"/>
    <n v="0"/>
    <n v="10"/>
    <n v="20"/>
    <n v="390"/>
    <n v="19"/>
    <n v="19"/>
    <n v="20"/>
    <n v="10"/>
    <n v="0"/>
    <n v="19"/>
    <n v="20"/>
    <n v="19"/>
    <n v="20"/>
    <n v="19"/>
    <n v="0"/>
    <n v="0"/>
    <n v="0"/>
    <n v="0"/>
    <n v="0"/>
    <n v="0"/>
    <n v="0"/>
    <n v="0"/>
    <n v="0"/>
    <n v="20"/>
    <n v="19"/>
    <n v="20"/>
    <n v="19"/>
    <n v="20"/>
    <n v="19"/>
    <n v="0"/>
    <n v="20"/>
    <n v="19"/>
    <n v="20"/>
    <n v="19"/>
    <n v="0"/>
    <n v="360"/>
    <n v="0"/>
    <n v="0"/>
    <n v="0"/>
    <n v="0"/>
    <n v="12"/>
    <n v="11"/>
    <n v="12"/>
    <n v="11"/>
    <n v="12"/>
    <n v="0"/>
    <n v="11"/>
    <n v="12"/>
    <n v="11"/>
    <n v="12"/>
    <n v="11"/>
    <n v="0"/>
    <n v="0"/>
    <n v="12"/>
    <n v="11"/>
    <n v="12"/>
    <n v="11"/>
    <n v="12"/>
    <n v="0"/>
    <n v="0"/>
    <n v="11"/>
    <n v="12"/>
    <n v="11"/>
    <n v="12"/>
    <n v="11"/>
    <n v="0"/>
    <n v="0"/>
    <n v="230"/>
  </r>
  <r>
    <x v="19"/>
    <s v="86790-0K171-00"/>
    <s v="U325"/>
    <s v="CAMERA ASSY  TELEVISION"/>
    <s v="TTETA"/>
    <m/>
    <s v="D1"/>
    <s v="024J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s v="86790-0K171-00"/>
    <s v="UPLD"/>
    <s v="DUMMY"/>
    <s v="TTETA"/>
    <m/>
    <s v="BN"/>
    <s v="024J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s v="86790-0K181-00"/>
    <s v="U326"/>
    <s v="CAMERA ASSY  TELEVISION"/>
    <s v="TTETA"/>
    <m/>
    <s v="D1"/>
    <s v="024J"/>
    <n v="16"/>
    <n v="0"/>
    <n v="48"/>
    <n v="32"/>
    <n v="16"/>
    <n v="32"/>
    <n v="48"/>
    <n v="0"/>
    <n v="0"/>
    <n v="32"/>
    <n v="16"/>
    <n v="32"/>
    <n v="48"/>
    <n v="16"/>
    <n v="16"/>
    <n v="0"/>
    <n v="32"/>
    <n v="0"/>
    <n v="0"/>
    <n v="16"/>
    <n v="32"/>
    <n v="0"/>
    <n v="0"/>
    <n v="16"/>
    <n v="0"/>
    <n v="32"/>
    <n v="32"/>
    <n v="0"/>
    <n v="16"/>
    <n v="0"/>
    <n v="0"/>
    <n v="0"/>
    <n v="512"/>
    <n v="0"/>
    <n v="0"/>
    <n v="16"/>
    <n v="32"/>
    <n v="0"/>
    <n v="16"/>
    <n v="16"/>
    <n v="0"/>
    <n v="0"/>
    <n v="32"/>
    <n v="0"/>
    <n v="32"/>
    <n v="16"/>
    <n v="16"/>
    <n v="0"/>
    <n v="16"/>
    <n v="0"/>
    <n v="32"/>
    <n v="0"/>
    <n v="16"/>
    <n v="0"/>
    <n v="0"/>
    <n v="16"/>
    <n v="32"/>
    <n v="0"/>
    <n v="32"/>
    <n v="0"/>
    <n v="32"/>
    <n v="0"/>
    <n v="16"/>
    <n v="16"/>
    <n v="384"/>
    <n v="21"/>
    <n v="21"/>
    <n v="21"/>
    <n v="10"/>
    <n v="0"/>
    <n v="21"/>
    <n v="21"/>
    <n v="21"/>
    <n v="21"/>
    <n v="21"/>
    <n v="0"/>
    <n v="0"/>
    <n v="0"/>
    <n v="0"/>
    <n v="0"/>
    <n v="0"/>
    <n v="0"/>
    <n v="0"/>
    <n v="0"/>
    <n v="21"/>
    <n v="21"/>
    <n v="21"/>
    <n v="20"/>
    <n v="21"/>
    <n v="20"/>
    <n v="0"/>
    <n v="21"/>
    <n v="20"/>
    <n v="21"/>
    <n v="20"/>
    <n v="0"/>
    <n v="384"/>
    <n v="0"/>
    <n v="0"/>
    <n v="0"/>
    <n v="0"/>
    <n v="18"/>
    <n v="18"/>
    <n v="18"/>
    <n v="18"/>
    <n v="18"/>
    <n v="0"/>
    <n v="17"/>
    <n v="18"/>
    <n v="17"/>
    <n v="18"/>
    <n v="17"/>
    <n v="0"/>
    <n v="0"/>
    <n v="18"/>
    <n v="17"/>
    <n v="18"/>
    <n v="17"/>
    <n v="18"/>
    <n v="0"/>
    <n v="0"/>
    <n v="17"/>
    <n v="18"/>
    <n v="17"/>
    <n v="18"/>
    <n v="17"/>
    <n v="0"/>
    <n v="0"/>
    <n v="352"/>
  </r>
  <r>
    <x v="21"/>
    <s v="86790-0K190-00"/>
    <s v="T023"/>
    <s v="CAMERA ASSY  TELEVISION"/>
    <s v="TTETA"/>
    <m/>
    <s v="D1"/>
    <s v="024J"/>
    <n v="42"/>
    <n v="0"/>
    <n v="168"/>
    <n v="168"/>
    <n v="168"/>
    <n v="168"/>
    <n v="168"/>
    <n v="0"/>
    <n v="0"/>
    <n v="168"/>
    <n v="168"/>
    <n v="210"/>
    <n v="210"/>
    <n v="168"/>
    <n v="126"/>
    <n v="0"/>
    <n v="168"/>
    <n v="210"/>
    <n v="168"/>
    <n v="252"/>
    <n v="210"/>
    <n v="0"/>
    <n v="0"/>
    <n v="168"/>
    <n v="168"/>
    <n v="210"/>
    <n v="210"/>
    <n v="168"/>
    <n v="210"/>
    <n v="0"/>
    <n v="0"/>
    <n v="0"/>
    <n v="4032"/>
    <n v="0"/>
    <n v="0"/>
    <n v="168"/>
    <n v="168"/>
    <n v="210"/>
    <n v="210"/>
    <n v="84"/>
    <n v="0"/>
    <n v="168"/>
    <n v="168"/>
    <n v="210"/>
    <n v="168"/>
    <n v="168"/>
    <n v="252"/>
    <n v="0"/>
    <n v="210"/>
    <n v="126"/>
    <n v="210"/>
    <n v="168"/>
    <n v="210"/>
    <n v="0"/>
    <n v="0"/>
    <n v="168"/>
    <n v="168"/>
    <n v="252"/>
    <n v="168"/>
    <n v="168"/>
    <n v="168"/>
    <n v="0"/>
    <n v="168"/>
    <n v="126"/>
    <n v="4284"/>
    <n v="166"/>
    <n v="166"/>
    <n v="166"/>
    <n v="83"/>
    <n v="0"/>
    <n v="166"/>
    <n v="166"/>
    <n v="166"/>
    <n v="166"/>
    <n v="166"/>
    <n v="0"/>
    <n v="0"/>
    <n v="0"/>
    <n v="0"/>
    <n v="0"/>
    <n v="0"/>
    <n v="0"/>
    <n v="0"/>
    <n v="0"/>
    <n v="166"/>
    <n v="165"/>
    <n v="166"/>
    <n v="165"/>
    <n v="166"/>
    <n v="165"/>
    <n v="0"/>
    <n v="166"/>
    <n v="165"/>
    <n v="166"/>
    <n v="165"/>
    <n v="0"/>
    <n v="3066"/>
    <n v="0"/>
    <n v="0"/>
    <n v="0"/>
    <n v="0"/>
    <n v="122"/>
    <n v="122"/>
    <n v="122"/>
    <n v="122"/>
    <n v="122"/>
    <n v="0"/>
    <n v="122"/>
    <n v="122"/>
    <n v="122"/>
    <n v="122"/>
    <n v="122"/>
    <n v="0"/>
    <n v="0"/>
    <n v="122"/>
    <n v="122"/>
    <n v="122"/>
    <n v="121"/>
    <n v="122"/>
    <n v="0"/>
    <n v="0"/>
    <n v="121"/>
    <n v="122"/>
    <n v="121"/>
    <n v="122"/>
    <n v="121"/>
    <n v="0"/>
    <n v="0"/>
    <n v="2436"/>
  </r>
  <r>
    <x v="22"/>
    <s v="86790-0K190-00"/>
    <s v="T023"/>
    <s v="CAMERA ASSY  TELEVISION"/>
    <s v="TTETA"/>
    <m/>
    <s v="BN"/>
    <s v="024J"/>
    <n v="6"/>
    <n v="0"/>
    <n v="10"/>
    <n v="0"/>
    <n v="0"/>
    <n v="0"/>
    <n v="0"/>
    <n v="0"/>
    <n v="0"/>
    <n v="10"/>
    <n v="0"/>
    <n v="0"/>
    <n v="10"/>
    <n v="10"/>
    <n v="10"/>
    <n v="0"/>
    <n v="0"/>
    <n v="10"/>
    <n v="10"/>
    <n v="10"/>
    <n v="10"/>
    <n v="0"/>
    <n v="0"/>
    <n v="0"/>
    <n v="0"/>
    <n v="0"/>
    <n v="0"/>
    <n v="10"/>
    <n v="10"/>
    <n v="0"/>
    <n v="0"/>
    <n v="0"/>
    <n v="110"/>
    <n v="0"/>
    <n v="0"/>
    <n v="10"/>
    <n v="10"/>
    <n v="10"/>
    <n v="20"/>
    <n v="0"/>
    <n v="0"/>
    <n v="10"/>
    <n v="10"/>
    <n v="10"/>
    <n v="10"/>
    <n v="10"/>
    <n v="10"/>
    <n v="0"/>
    <n v="20"/>
    <n v="10"/>
    <n v="10"/>
    <n v="10"/>
    <n v="10"/>
    <n v="0"/>
    <n v="0"/>
    <n v="10"/>
    <n v="10"/>
    <n v="10"/>
    <n v="10"/>
    <n v="20"/>
    <n v="10"/>
    <n v="0"/>
    <n v="10"/>
    <n v="10"/>
    <n v="260"/>
    <n v="4"/>
    <n v="4"/>
    <n v="4"/>
    <n v="2"/>
    <n v="0"/>
    <n v="4"/>
    <n v="4"/>
    <n v="4"/>
    <n v="4"/>
    <n v="4"/>
    <n v="0"/>
    <n v="0"/>
    <n v="0"/>
    <n v="0"/>
    <n v="0"/>
    <n v="0"/>
    <n v="0"/>
    <n v="0"/>
    <n v="0"/>
    <n v="4"/>
    <n v="4"/>
    <n v="4"/>
    <n v="3"/>
    <n v="4"/>
    <n v="3"/>
    <n v="0"/>
    <n v="4"/>
    <n v="3"/>
    <n v="4"/>
    <n v="3"/>
    <n v="0"/>
    <n v="70"/>
    <n v="0"/>
    <n v="0"/>
    <n v="0"/>
    <n v="0"/>
    <n v="6"/>
    <n v="6"/>
    <n v="6"/>
    <n v="6"/>
    <n v="6"/>
    <n v="0"/>
    <n v="6"/>
    <n v="6"/>
    <n v="6"/>
    <n v="6"/>
    <n v="6"/>
    <n v="0"/>
    <n v="0"/>
    <n v="6"/>
    <n v="6"/>
    <n v="6"/>
    <n v="6"/>
    <n v="6"/>
    <n v="0"/>
    <n v="0"/>
    <n v="6"/>
    <n v="6"/>
    <n v="6"/>
    <n v="6"/>
    <n v="6"/>
    <n v="0"/>
    <n v="0"/>
    <n v="120"/>
  </r>
  <r>
    <x v="23"/>
    <s v="86790-0K200-00"/>
    <s v="T741"/>
    <s v="CAMERA ASSY  TELEVISION"/>
    <s v="TTETA"/>
    <m/>
    <s v="D1"/>
    <s v="024J"/>
    <n v="20"/>
    <n v="0"/>
    <n v="120"/>
    <n v="160"/>
    <n v="120"/>
    <n v="140"/>
    <n v="140"/>
    <n v="0"/>
    <n v="0"/>
    <n v="140"/>
    <n v="140"/>
    <n v="140"/>
    <n v="120"/>
    <n v="160"/>
    <n v="120"/>
    <n v="0"/>
    <n v="140"/>
    <n v="140"/>
    <n v="140"/>
    <n v="140"/>
    <n v="140"/>
    <n v="0"/>
    <n v="0"/>
    <n v="140"/>
    <n v="140"/>
    <n v="140"/>
    <n v="120"/>
    <n v="140"/>
    <n v="140"/>
    <n v="0"/>
    <n v="0"/>
    <n v="0"/>
    <n v="3020"/>
    <n v="0"/>
    <n v="0"/>
    <n v="100"/>
    <n v="140"/>
    <n v="100"/>
    <n v="120"/>
    <n v="60"/>
    <n v="0"/>
    <n v="120"/>
    <n v="120"/>
    <n v="120"/>
    <n v="120"/>
    <n v="120"/>
    <n v="120"/>
    <n v="0"/>
    <n v="120"/>
    <n v="120"/>
    <n v="140"/>
    <n v="120"/>
    <n v="100"/>
    <n v="0"/>
    <n v="0"/>
    <n v="120"/>
    <n v="140"/>
    <n v="120"/>
    <n v="120"/>
    <n v="120"/>
    <n v="120"/>
    <n v="0"/>
    <n v="120"/>
    <n v="120"/>
    <n v="2820"/>
    <n v="156"/>
    <n v="156"/>
    <n v="156"/>
    <n v="78"/>
    <n v="0"/>
    <n v="156"/>
    <n v="156"/>
    <n v="156"/>
    <n v="156"/>
    <n v="155"/>
    <n v="0"/>
    <n v="0"/>
    <n v="0"/>
    <n v="0"/>
    <n v="0"/>
    <n v="0"/>
    <n v="0"/>
    <n v="0"/>
    <n v="0"/>
    <n v="156"/>
    <n v="155"/>
    <n v="156"/>
    <n v="155"/>
    <n v="156"/>
    <n v="155"/>
    <n v="0"/>
    <n v="156"/>
    <n v="155"/>
    <n v="156"/>
    <n v="155"/>
    <n v="0"/>
    <n v="2880"/>
    <n v="0"/>
    <n v="0"/>
    <n v="0"/>
    <n v="0"/>
    <n v="131"/>
    <n v="131"/>
    <n v="131"/>
    <n v="131"/>
    <n v="131"/>
    <n v="0"/>
    <n v="131"/>
    <n v="131"/>
    <n v="131"/>
    <n v="131"/>
    <n v="131"/>
    <n v="0"/>
    <n v="0"/>
    <n v="131"/>
    <n v="131"/>
    <n v="131"/>
    <n v="131"/>
    <n v="131"/>
    <n v="0"/>
    <n v="0"/>
    <n v="131"/>
    <n v="131"/>
    <n v="131"/>
    <n v="131"/>
    <n v="131"/>
    <n v="0"/>
    <n v="0"/>
    <n v="2620"/>
  </r>
  <r>
    <x v="24"/>
    <s v="86790-0K230-00"/>
    <s v="U750"/>
    <s v="CAMERA ASSY  TELEVISION"/>
    <s v="TTETA"/>
    <m/>
    <s v="D1"/>
    <s v="024J"/>
    <n v="16"/>
    <n v="0"/>
    <n v="48"/>
    <n v="16"/>
    <n v="16"/>
    <n v="16"/>
    <n v="16"/>
    <n v="0"/>
    <n v="0"/>
    <n v="32"/>
    <n v="16"/>
    <n v="16"/>
    <n v="16"/>
    <n v="32"/>
    <n v="16"/>
    <n v="0"/>
    <n v="16"/>
    <n v="32"/>
    <n v="16"/>
    <n v="16"/>
    <n v="16"/>
    <n v="0"/>
    <n v="0"/>
    <n v="32"/>
    <n v="16"/>
    <n v="16"/>
    <n v="32"/>
    <n v="16"/>
    <n v="16"/>
    <n v="0"/>
    <n v="0"/>
    <n v="0"/>
    <n v="464"/>
    <n v="0"/>
    <n v="0"/>
    <n v="16"/>
    <n v="32"/>
    <n v="32"/>
    <n v="16"/>
    <n v="16"/>
    <n v="0"/>
    <n v="16"/>
    <n v="32"/>
    <n v="16"/>
    <n v="32"/>
    <n v="32"/>
    <n v="16"/>
    <n v="0"/>
    <n v="32"/>
    <n v="16"/>
    <n v="32"/>
    <n v="16"/>
    <n v="32"/>
    <n v="0"/>
    <n v="0"/>
    <n v="16"/>
    <n v="32"/>
    <n v="32"/>
    <n v="16"/>
    <n v="32"/>
    <n v="16"/>
    <n v="0"/>
    <n v="32"/>
    <n v="16"/>
    <n v="576"/>
    <n v="22"/>
    <n v="23"/>
    <n v="22"/>
    <n v="11"/>
    <n v="0"/>
    <n v="23"/>
    <n v="23"/>
    <n v="22"/>
    <n v="23"/>
    <n v="22"/>
    <n v="0"/>
    <n v="0"/>
    <n v="0"/>
    <n v="0"/>
    <n v="0"/>
    <n v="0"/>
    <n v="0"/>
    <n v="0"/>
    <n v="0"/>
    <n v="23"/>
    <n v="22"/>
    <n v="23"/>
    <n v="22"/>
    <n v="23"/>
    <n v="22"/>
    <n v="0"/>
    <n v="23"/>
    <n v="22"/>
    <n v="23"/>
    <n v="22"/>
    <n v="0"/>
    <n v="416"/>
    <n v="0"/>
    <n v="0"/>
    <n v="0"/>
    <n v="0"/>
    <n v="14"/>
    <n v="14"/>
    <n v="14"/>
    <n v="14"/>
    <n v="15"/>
    <n v="0"/>
    <n v="14"/>
    <n v="15"/>
    <n v="14"/>
    <n v="15"/>
    <n v="14"/>
    <n v="0"/>
    <n v="0"/>
    <n v="15"/>
    <n v="14"/>
    <n v="15"/>
    <n v="14"/>
    <n v="15"/>
    <n v="0"/>
    <n v="0"/>
    <n v="14"/>
    <n v="15"/>
    <n v="14"/>
    <n v="15"/>
    <n v="14"/>
    <n v="0"/>
    <n v="0"/>
    <n v="288"/>
  </r>
  <r>
    <x v="25"/>
    <s v="86790-BZ310-00"/>
    <s v="W976"/>
    <s v="CAMERA ASSY  TELEVISION"/>
    <s v="TTETA"/>
    <m/>
    <s v="D1"/>
    <s v="D54H"/>
    <n v="15"/>
    <n v="0"/>
    <n v="285"/>
    <n v="285"/>
    <n v="285"/>
    <n v="285"/>
    <n v="285"/>
    <n v="0"/>
    <n v="0"/>
    <n v="285"/>
    <n v="285"/>
    <n v="285"/>
    <n v="285"/>
    <n v="285"/>
    <n v="300"/>
    <n v="0"/>
    <n v="285"/>
    <n v="270"/>
    <n v="270"/>
    <n v="255"/>
    <n v="255"/>
    <n v="0"/>
    <n v="0"/>
    <n v="255"/>
    <n v="255"/>
    <n v="255"/>
    <n v="255"/>
    <n v="270"/>
    <n v="255"/>
    <n v="0"/>
    <n v="0"/>
    <n v="0"/>
    <n v="6030"/>
    <n v="0"/>
    <n v="0"/>
    <n v="210"/>
    <n v="240"/>
    <n v="255"/>
    <n v="240"/>
    <n v="105"/>
    <n v="0"/>
    <n v="240"/>
    <n v="240"/>
    <n v="255"/>
    <n v="240"/>
    <n v="240"/>
    <n v="255"/>
    <n v="0"/>
    <n v="240"/>
    <n v="255"/>
    <n v="225"/>
    <n v="240"/>
    <n v="225"/>
    <n v="0"/>
    <n v="0"/>
    <n v="240"/>
    <n v="225"/>
    <n v="240"/>
    <n v="225"/>
    <n v="240"/>
    <n v="225"/>
    <n v="0"/>
    <n v="240"/>
    <n v="225"/>
    <n v="5565"/>
    <n v="303"/>
    <n v="303"/>
    <n v="303"/>
    <n v="152"/>
    <n v="0"/>
    <n v="303"/>
    <n v="303"/>
    <n v="303"/>
    <n v="303"/>
    <n v="303"/>
    <n v="0"/>
    <n v="0"/>
    <n v="0"/>
    <n v="0"/>
    <n v="0"/>
    <n v="0"/>
    <n v="0"/>
    <n v="0"/>
    <n v="0"/>
    <n v="303"/>
    <n v="303"/>
    <n v="304"/>
    <n v="303"/>
    <n v="304"/>
    <n v="303"/>
    <n v="0"/>
    <n v="304"/>
    <n v="303"/>
    <n v="304"/>
    <n v="303"/>
    <n v="0"/>
    <n v="5610"/>
    <n v="0"/>
    <n v="0"/>
    <n v="0"/>
    <n v="0"/>
    <n v="246"/>
    <n v="246"/>
    <n v="246"/>
    <n v="246"/>
    <n v="246"/>
    <n v="0"/>
    <n v="246"/>
    <n v="246"/>
    <n v="246"/>
    <n v="246"/>
    <n v="246"/>
    <n v="0"/>
    <n v="0"/>
    <n v="246"/>
    <n v="246"/>
    <n v="246"/>
    <n v="246"/>
    <n v="246"/>
    <n v="0"/>
    <n v="0"/>
    <n v="246"/>
    <n v="246"/>
    <n v="246"/>
    <n v="246"/>
    <n v="246"/>
    <n v="0"/>
    <n v="0"/>
    <n v="4920"/>
  </r>
  <r>
    <x v="26"/>
    <s v="86790-0K310-00"/>
    <s v="X402"/>
    <s v="CAMERA ASSY  TELEVISION"/>
    <s v="TTETA"/>
    <m/>
    <s v="D1"/>
    <s v="025J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60"/>
    <n v="120"/>
    <n v="120"/>
    <n v="0"/>
    <n v="0"/>
    <n v="120"/>
    <n v="60"/>
    <n v="120"/>
    <n v="60"/>
    <n v="120"/>
    <n v="120"/>
    <n v="0"/>
    <n v="60"/>
    <n v="120"/>
    <n v="120"/>
    <n v="60"/>
    <n v="120"/>
    <n v="0"/>
    <n v="0"/>
    <n v="120"/>
    <n v="120"/>
    <n v="120"/>
    <n v="60"/>
    <n v="120"/>
    <n v="120"/>
    <n v="0"/>
    <n v="120"/>
    <n v="120"/>
    <n v="2340"/>
    <n v="149"/>
    <n v="149"/>
    <n v="149"/>
    <n v="75"/>
    <n v="0"/>
    <n v="149"/>
    <n v="149"/>
    <n v="149"/>
    <n v="149"/>
    <n v="149"/>
    <n v="0"/>
    <n v="0"/>
    <n v="0"/>
    <n v="0"/>
    <n v="0"/>
    <n v="0"/>
    <n v="0"/>
    <n v="0"/>
    <n v="0"/>
    <n v="149"/>
    <n v="149"/>
    <n v="149"/>
    <n v="149"/>
    <n v="150"/>
    <n v="149"/>
    <n v="0"/>
    <n v="150"/>
    <n v="149"/>
    <n v="150"/>
    <n v="149"/>
    <n v="0"/>
    <n v="2760"/>
    <n v="0"/>
    <n v="0"/>
    <n v="0"/>
    <n v="0"/>
    <n v="120"/>
    <n v="120"/>
    <n v="120"/>
    <n v="120"/>
    <n v="120"/>
    <n v="0"/>
    <n v="120"/>
    <n v="120"/>
    <n v="120"/>
    <n v="120"/>
    <n v="120"/>
    <n v="0"/>
    <n v="0"/>
    <n v="120"/>
    <n v="120"/>
    <n v="120"/>
    <n v="120"/>
    <n v="120"/>
    <n v="0"/>
    <n v="0"/>
    <n v="120"/>
    <n v="120"/>
    <n v="120"/>
    <n v="120"/>
    <n v="120"/>
    <n v="0"/>
    <n v="0"/>
    <n v="2400"/>
  </r>
  <r>
    <x v="27"/>
    <s v="86790-0K400-00"/>
    <s v="X403"/>
    <s v="CAMERA ASSY  TELEVISION"/>
    <s v="TTETA"/>
    <m/>
    <s v="D1"/>
    <s v="025J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n v="84"/>
    <n v="84"/>
    <n v="84"/>
    <n v="0"/>
    <n v="84"/>
    <n v="84"/>
    <n v="84"/>
    <n v="84"/>
    <n v="84"/>
    <n v="84"/>
    <n v="0"/>
    <n v="168"/>
    <n v="84"/>
    <n v="84"/>
    <n v="84"/>
    <n v="84"/>
    <n v="0"/>
    <n v="0"/>
    <n v="168"/>
    <n v="84"/>
    <n v="84"/>
    <n v="168"/>
    <n v="84"/>
    <n v="84"/>
    <n v="0"/>
    <n v="168"/>
    <n v="84"/>
    <n v="2352"/>
    <n v="150"/>
    <n v="150"/>
    <n v="150"/>
    <n v="75"/>
    <n v="0"/>
    <n v="150"/>
    <n v="150"/>
    <n v="150"/>
    <n v="150"/>
    <n v="150"/>
    <n v="0"/>
    <n v="0"/>
    <n v="0"/>
    <n v="0"/>
    <n v="0"/>
    <n v="0"/>
    <n v="0"/>
    <n v="0"/>
    <n v="0"/>
    <n v="150"/>
    <n v="150"/>
    <n v="150"/>
    <n v="150"/>
    <n v="150"/>
    <n v="149"/>
    <n v="0"/>
    <n v="150"/>
    <n v="149"/>
    <n v="150"/>
    <n v="149"/>
    <n v="0"/>
    <n v="2772"/>
    <n v="0"/>
    <n v="0"/>
    <n v="0"/>
    <n v="0"/>
    <n v="122"/>
    <n v="122"/>
    <n v="122"/>
    <n v="122"/>
    <n v="122"/>
    <n v="0"/>
    <n v="122"/>
    <n v="122"/>
    <n v="122"/>
    <n v="122"/>
    <n v="122"/>
    <n v="0"/>
    <n v="0"/>
    <n v="122"/>
    <n v="122"/>
    <n v="122"/>
    <n v="121"/>
    <n v="122"/>
    <n v="0"/>
    <n v="0"/>
    <n v="121"/>
    <n v="122"/>
    <n v="121"/>
    <n v="122"/>
    <n v="121"/>
    <n v="0"/>
    <n v="0"/>
    <n v="2436"/>
  </r>
  <r>
    <x v="28"/>
    <s v="86790-BZ271-00"/>
    <s v="A055"/>
    <s v="CAMERA ASSY  TELEVISION"/>
    <s v="TTETA"/>
    <m/>
    <s v="Z1"/>
    <s v="D33H"/>
    <n v="36"/>
    <n v="0"/>
    <n v="108"/>
    <n v="108"/>
    <n v="72"/>
    <n v="108"/>
    <n v="108"/>
    <n v="0"/>
    <n v="0"/>
    <n v="108"/>
    <n v="108"/>
    <n v="72"/>
    <n v="72"/>
    <n v="108"/>
    <n v="108"/>
    <n v="0"/>
    <n v="72"/>
    <n v="108"/>
    <n v="108"/>
    <n v="72"/>
    <n v="108"/>
    <n v="0"/>
    <n v="0"/>
    <n v="108"/>
    <n v="72"/>
    <n v="108"/>
    <n v="72"/>
    <n v="108"/>
    <n v="72"/>
    <n v="0"/>
    <n v="0"/>
    <n v="0"/>
    <n v="2088"/>
    <n v="0"/>
    <n v="0"/>
    <n v="108"/>
    <n v="72"/>
    <n v="72"/>
    <n v="108"/>
    <n v="36"/>
    <n v="0"/>
    <n v="108"/>
    <n v="72"/>
    <n v="72"/>
    <n v="108"/>
    <n v="72"/>
    <n v="72"/>
    <n v="0"/>
    <n v="108"/>
    <n v="72"/>
    <n v="72"/>
    <n v="108"/>
    <n v="72"/>
    <n v="0"/>
    <n v="0"/>
    <n v="108"/>
    <n v="72"/>
    <n v="72"/>
    <n v="108"/>
    <n v="72"/>
    <n v="72"/>
    <n v="0"/>
    <n v="108"/>
    <n v="36"/>
    <n v="1980"/>
    <n v="97"/>
    <n v="97"/>
    <n v="97"/>
    <n v="49"/>
    <n v="0"/>
    <n v="97"/>
    <n v="97"/>
    <n v="97"/>
    <n v="97"/>
    <n v="97"/>
    <n v="0"/>
    <n v="0"/>
    <n v="0"/>
    <n v="0"/>
    <n v="0"/>
    <n v="0"/>
    <n v="0"/>
    <n v="0"/>
    <n v="0"/>
    <n v="98"/>
    <n v="97"/>
    <n v="98"/>
    <n v="97"/>
    <n v="98"/>
    <n v="97"/>
    <n v="0"/>
    <n v="98"/>
    <n v="97"/>
    <n v="98"/>
    <n v="97"/>
    <n v="0"/>
    <n v="1800"/>
    <n v="0"/>
    <n v="0"/>
    <n v="0"/>
    <n v="0"/>
    <n v="92"/>
    <n v="92"/>
    <n v="92"/>
    <n v="92"/>
    <n v="92"/>
    <n v="0"/>
    <n v="92"/>
    <n v="92"/>
    <n v="92"/>
    <n v="92"/>
    <n v="92"/>
    <n v="0"/>
    <n v="0"/>
    <n v="92"/>
    <n v="92"/>
    <n v="92"/>
    <n v="91"/>
    <n v="92"/>
    <n v="0"/>
    <n v="0"/>
    <n v="91"/>
    <n v="92"/>
    <n v="91"/>
    <n v="92"/>
    <n v="91"/>
    <n v="0"/>
    <n v="0"/>
    <n v="1836"/>
  </r>
  <r>
    <x v="29"/>
    <s v="86790-BZ280-00"/>
    <s v="V642"/>
    <s v="CAMERA ASSY  TELEVISION"/>
    <s v="TTETA"/>
    <m/>
    <s v="Z1"/>
    <s v="D33H"/>
    <n v="10"/>
    <n v="0"/>
    <n v="410"/>
    <n v="430"/>
    <n v="390"/>
    <n v="400"/>
    <n v="390"/>
    <n v="0"/>
    <n v="0"/>
    <n v="420"/>
    <n v="390"/>
    <n v="410"/>
    <n v="410"/>
    <n v="350"/>
    <n v="420"/>
    <n v="0"/>
    <n v="320"/>
    <n v="360"/>
    <n v="380"/>
    <n v="340"/>
    <n v="350"/>
    <n v="0"/>
    <n v="0"/>
    <n v="330"/>
    <n v="350"/>
    <n v="350"/>
    <n v="340"/>
    <n v="340"/>
    <n v="330"/>
    <n v="0"/>
    <n v="0"/>
    <n v="0"/>
    <n v="8210"/>
    <n v="0"/>
    <n v="0"/>
    <n v="210"/>
    <n v="230"/>
    <n v="240"/>
    <n v="240"/>
    <n v="120"/>
    <n v="0"/>
    <n v="230"/>
    <n v="240"/>
    <n v="210"/>
    <n v="240"/>
    <n v="250"/>
    <n v="230"/>
    <n v="0"/>
    <n v="230"/>
    <n v="240"/>
    <n v="230"/>
    <n v="240"/>
    <n v="230"/>
    <n v="0"/>
    <n v="0"/>
    <n v="230"/>
    <n v="210"/>
    <n v="220"/>
    <n v="250"/>
    <n v="230"/>
    <n v="240"/>
    <n v="0"/>
    <n v="240"/>
    <n v="200"/>
    <n v="5430"/>
    <n v="298"/>
    <n v="298"/>
    <n v="298"/>
    <n v="149"/>
    <n v="0"/>
    <n v="298"/>
    <n v="299"/>
    <n v="298"/>
    <n v="299"/>
    <n v="298"/>
    <n v="0"/>
    <n v="0"/>
    <n v="0"/>
    <n v="0"/>
    <n v="0"/>
    <n v="0"/>
    <n v="0"/>
    <n v="0"/>
    <n v="0"/>
    <n v="299"/>
    <n v="298"/>
    <n v="299"/>
    <n v="298"/>
    <n v="299"/>
    <n v="298"/>
    <n v="0"/>
    <n v="299"/>
    <n v="298"/>
    <n v="299"/>
    <n v="298"/>
    <n v="0"/>
    <n v="5520"/>
    <n v="0"/>
    <n v="0"/>
    <n v="0"/>
    <n v="0"/>
    <n v="259"/>
    <n v="258"/>
    <n v="259"/>
    <n v="258"/>
    <n v="259"/>
    <n v="0"/>
    <n v="258"/>
    <n v="259"/>
    <n v="258"/>
    <n v="259"/>
    <n v="258"/>
    <n v="0"/>
    <n v="0"/>
    <n v="259"/>
    <n v="258"/>
    <n v="259"/>
    <n v="258"/>
    <n v="259"/>
    <n v="0"/>
    <n v="0"/>
    <n v="258"/>
    <n v="259"/>
    <n v="258"/>
    <n v="259"/>
    <n v="258"/>
    <n v="0"/>
    <n v="0"/>
    <n v="5170"/>
  </r>
  <r>
    <x v="30"/>
    <s v="86790-BZ210-00"/>
    <s v="5U62"/>
    <s v="CAMERA ASSY  TELEVISION"/>
    <s v="TTETA"/>
    <m/>
    <s v="G2"/>
    <s v="D41H"/>
    <n v="21"/>
    <n v="0"/>
    <n v="254"/>
    <n v="254"/>
    <n v="254"/>
    <n v="270"/>
    <n v="255"/>
    <n v="0"/>
    <n v="0"/>
    <n v="258"/>
    <n v="251"/>
    <n v="256"/>
    <n v="252"/>
    <n v="278"/>
    <n v="259"/>
    <n v="0"/>
    <n v="251"/>
    <n v="255"/>
    <n v="255"/>
    <n v="253"/>
    <n v="253"/>
    <n v="0"/>
    <n v="0"/>
    <n v="274"/>
    <n v="253"/>
    <n v="256"/>
    <n v="253"/>
    <n v="254"/>
    <n v="253"/>
    <n v="0"/>
    <n v="0"/>
    <n v="0"/>
    <n v="5651"/>
    <n v="0"/>
    <n v="0"/>
    <n v="0"/>
    <n v="321"/>
    <n v="325"/>
    <n v="322"/>
    <n v="0"/>
    <n v="0"/>
    <n v="324"/>
    <n v="341"/>
    <n v="325"/>
    <n v="342"/>
    <n v="322"/>
    <n v="288"/>
    <n v="0"/>
    <n v="324"/>
    <n v="344"/>
    <n v="324"/>
    <n v="322"/>
    <n v="323"/>
    <n v="0"/>
    <n v="0"/>
    <n v="324"/>
    <n v="343"/>
    <n v="286"/>
    <n v="323"/>
    <n v="325"/>
    <n v="286"/>
    <n v="0"/>
    <n v="327"/>
    <n v="283"/>
    <n v="7044"/>
    <n v="290"/>
    <n v="290"/>
    <n v="290"/>
    <n v="0"/>
    <n v="0"/>
    <n v="290"/>
    <n v="290"/>
    <n v="290"/>
    <n v="290"/>
    <n v="290"/>
    <n v="0"/>
    <n v="0"/>
    <n v="0"/>
    <n v="0"/>
    <n v="0"/>
    <n v="0"/>
    <n v="0"/>
    <n v="0"/>
    <n v="0"/>
    <n v="290"/>
    <n v="290"/>
    <n v="291"/>
    <n v="290"/>
    <n v="291"/>
    <n v="290"/>
    <n v="0"/>
    <n v="291"/>
    <n v="290"/>
    <n v="291"/>
    <n v="290"/>
    <n v="0"/>
    <n v="5224"/>
    <n v="0"/>
    <n v="0"/>
    <n v="0"/>
    <n v="0"/>
    <n v="396"/>
    <n v="396"/>
    <n v="396"/>
    <n v="396"/>
    <n v="396"/>
    <n v="0"/>
    <n v="395"/>
    <n v="396"/>
    <n v="395"/>
    <n v="396"/>
    <n v="395"/>
    <n v="0"/>
    <n v="0"/>
    <n v="396"/>
    <n v="395"/>
    <n v="396"/>
    <n v="395"/>
    <n v="396"/>
    <n v="0"/>
    <n v="0"/>
    <n v="395"/>
    <n v="396"/>
    <n v="395"/>
    <n v="396"/>
    <n v="395"/>
    <n v="0"/>
    <n v="0"/>
    <n v="7912"/>
  </r>
  <r>
    <x v="31"/>
    <s v="86790-BZ220-00"/>
    <s v="5U63"/>
    <s v="CAMERA ASSY  TELEVISION"/>
    <s v="TTETA"/>
    <s v="R1"/>
    <s v="G2"/>
    <s v="D41H"/>
    <n v="8"/>
    <n v="0"/>
    <n v="34"/>
    <n v="36"/>
    <n v="35"/>
    <n v="36"/>
    <n v="36"/>
    <n v="0"/>
    <n v="0"/>
    <n v="33"/>
    <n v="35"/>
    <n v="36"/>
    <n v="34"/>
    <n v="38"/>
    <n v="35"/>
    <n v="0"/>
    <n v="35"/>
    <n v="34"/>
    <n v="35"/>
    <n v="35"/>
    <n v="35"/>
    <n v="0"/>
    <n v="0"/>
    <n v="36"/>
    <n v="35"/>
    <n v="34"/>
    <n v="35"/>
    <n v="35"/>
    <n v="35"/>
    <n v="0"/>
    <n v="0"/>
    <n v="0"/>
    <n v="772"/>
    <n v="0"/>
    <n v="0"/>
    <n v="0"/>
    <n v="64"/>
    <n v="63"/>
    <n v="64"/>
    <n v="0"/>
    <n v="0"/>
    <n v="64"/>
    <n v="67"/>
    <n v="64"/>
    <n v="67"/>
    <n v="64"/>
    <n v="57"/>
    <n v="0"/>
    <n v="64"/>
    <n v="67"/>
    <n v="64"/>
    <n v="64"/>
    <n v="64"/>
    <n v="0"/>
    <n v="0"/>
    <n v="63"/>
    <n v="68"/>
    <n v="55"/>
    <n v="65"/>
    <n v="63"/>
    <n v="57"/>
    <n v="0"/>
    <n v="64"/>
    <n v="56"/>
    <n v="1388"/>
    <n v="41"/>
    <n v="41"/>
    <n v="41"/>
    <n v="0"/>
    <n v="0"/>
    <n v="41"/>
    <n v="41"/>
    <n v="41"/>
    <n v="41"/>
    <n v="41"/>
    <n v="0"/>
    <n v="0"/>
    <n v="0"/>
    <n v="0"/>
    <n v="0"/>
    <n v="0"/>
    <n v="0"/>
    <n v="0"/>
    <n v="0"/>
    <n v="41"/>
    <n v="40"/>
    <n v="41"/>
    <n v="40"/>
    <n v="41"/>
    <n v="40"/>
    <n v="0"/>
    <n v="41"/>
    <n v="40"/>
    <n v="41"/>
    <n v="40"/>
    <n v="0"/>
    <n v="733"/>
    <n v="0"/>
    <n v="0"/>
    <n v="0"/>
    <n v="0"/>
    <n v="68"/>
    <n v="68"/>
    <n v="68"/>
    <n v="68"/>
    <n v="68"/>
    <n v="0"/>
    <n v="68"/>
    <n v="68"/>
    <n v="67"/>
    <n v="68"/>
    <n v="67"/>
    <n v="0"/>
    <n v="0"/>
    <n v="68"/>
    <n v="67"/>
    <n v="68"/>
    <n v="67"/>
    <n v="68"/>
    <n v="0"/>
    <n v="0"/>
    <n v="67"/>
    <n v="68"/>
    <n v="67"/>
    <n v="68"/>
    <n v="67"/>
    <n v="0"/>
    <n v="0"/>
    <n v="1353"/>
  </r>
  <r>
    <x v="32"/>
    <s v="86790-BZ310-00"/>
    <s v="W611"/>
    <s v="CAMERA ASSY  TELEVISION"/>
    <s v="TTETA"/>
    <m/>
    <s v="Z1"/>
    <s v="D46H"/>
    <n v="15"/>
    <n v="0"/>
    <n v="90"/>
    <n v="105"/>
    <n v="120"/>
    <n v="90"/>
    <n v="135"/>
    <n v="0"/>
    <n v="0"/>
    <n v="120"/>
    <n v="90"/>
    <n v="135"/>
    <n v="90"/>
    <n v="120"/>
    <n v="195"/>
    <n v="0"/>
    <n v="135"/>
    <n v="150"/>
    <n v="120"/>
    <n v="135"/>
    <n v="105"/>
    <n v="0"/>
    <n v="0"/>
    <n v="135"/>
    <n v="180"/>
    <n v="45"/>
    <n v="135"/>
    <n v="120"/>
    <n v="120"/>
    <n v="0"/>
    <n v="0"/>
    <n v="0"/>
    <n v="2670"/>
    <n v="0"/>
    <n v="0"/>
    <n v="120"/>
    <n v="105"/>
    <n v="150"/>
    <n v="60"/>
    <n v="45"/>
    <n v="0"/>
    <n v="135"/>
    <n v="120"/>
    <n v="90"/>
    <n v="105"/>
    <n v="120"/>
    <n v="165"/>
    <n v="0"/>
    <n v="60"/>
    <n v="120"/>
    <n v="105"/>
    <n v="120"/>
    <n v="120"/>
    <n v="0"/>
    <n v="0"/>
    <n v="165"/>
    <n v="120"/>
    <n v="120"/>
    <n v="90"/>
    <n v="105"/>
    <n v="120"/>
    <n v="0"/>
    <n v="150"/>
    <n v="135"/>
    <n v="2745"/>
    <n v="208"/>
    <n v="208"/>
    <n v="208"/>
    <n v="104"/>
    <n v="0"/>
    <n v="207"/>
    <n v="208"/>
    <n v="207"/>
    <n v="208"/>
    <n v="207"/>
    <n v="0"/>
    <n v="0"/>
    <n v="0"/>
    <n v="0"/>
    <n v="0"/>
    <n v="0"/>
    <n v="0"/>
    <n v="0"/>
    <n v="0"/>
    <n v="208"/>
    <n v="207"/>
    <n v="208"/>
    <n v="207"/>
    <n v="208"/>
    <n v="207"/>
    <n v="0"/>
    <n v="208"/>
    <n v="207"/>
    <n v="208"/>
    <n v="207"/>
    <n v="0"/>
    <n v="3840"/>
    <n v="0"/>
    <n v="0"/>
    <n v="0"/>
    <n v="0"/>
    <n v="126"/>
    <n v="126"/>
    <n v="126"/>
    <n v="126"/>
    <n v="126"/>
    <n v="0"/>
    <n v="126"/>
    <n v="126"/>
    <n v="126"/>
    <n v="126"/>
    <n v="126"/>
    <n v="0"/>
    <n v="0"/>
    <n v="126"/>
    <n v="126"/>
    <n v="126"/>
    <n v="126"/>
    <n v="126"/>
    <n v="0"/>
    <n v="0"/>
    <n v="126"/>
    <n v="126"/>
    <n v="126"/>
    <n v="126"/>
    <n v="126"/>
    <n v="0"/>
    <n v="0"/>
    <n v="2520"/>
  </r>
  <r>
    <x v="33"/>
    <s v="86790-BZ310-00"/>
    <s v="B800"/>
    <s v="CAMERA ASSY  TELEVISION"/>
    <s v="TTETA"/>
    <m/>
    <s v="G2"/>
    <s v="D46H"/>
    <n v="15"/>
    <n v="0"/>
    <n v="149"/>
    <n v="148"/>
    <n v="149"/>
    <n v="158"/>
    <n v="149"/>
    <n v="0"/>
    <n v="0"/>
    <n v="148"/>
    <n v="149"/>
    <n v="149"/>
    <n v="148"/>
    <n v="163"/>
    <n v="149"/>
    <n v="0"/>
    <n v="148"/>
    <n v="149"/>
    <n v="148"/>
    <n v="149"/>
    <n v="149"/>
    <n v="0"/>
    <n v="0"/>
    <n v="158"/>
    <n v="149"/>
    <n v="148"/>
    <n v="149"/>
    <n v="148"/>
    <n v="149"/>
    <n v="0"/>
    <n v="0"/>
    <n v="0"/>
    <n v="3303"/>
    <n v="0"/>
    <n v="0"/>
    <n v="0"/>
    <n v="161"/>
    <n v="162"/>
    <n v="161"/>
    <n v="0"/>
    <n v="0"/>
    <n v="161"/>
    <n v="171"/>
    <n v="161"/>
    <n v="170"/>
    <n v="161"/>
    <n v="142"/>
    <n v="0"/>
    <n v="161"/>
    <n v="170"/>
    <n v="161"/>
    <n v="161"/>
    <n v="161"/>
    <n v="0"/>
    <n v="0"/>
    <n v="161"/>
    <n v="171"/>
    <n v="142"/>
    <n v="161"/>
    <n v="161"/>
    <n v="142"/>
    <n v="0"/>
    <n v="161"/>
    <n v="142"/>
    <n v="3505"/>
    <n v="146"/>
    <n v="146"/>
    <n v="146"/>
    <n v="0"/>
    <n v="0"/>
    <n v="146"/>
    <n v="146"/>
    <n v="146"/>
    <n v="146"/>
    <n v="146"/>
    <n v="0"/>
    <n v="0"/>
    <n v="0"/>
    <n v="0"/>
    <n v="0"/>
    <n v="0"/>
    <n v="0"/>
    <n v="0"/>
    <n v="0"/>
    <n v="146"/>
    <n v="146"/>
    <n v="146"/>
    <n v="146"/>
    <n v="146"/>
    <n v="146"/>
    <n v="0"/>
    <n v="146"/>
    <n v="145"/>
    <n v="146"/>
    <n v="145"/>
    <n v="0"/>
    <n v="2626"/>
    <n v="0"/>
    <n v="0"/>
    <n v="0"/>
    <n v="0"/>
    <n v="142"/>
    <n v="142"/>
    <n v="142"/>
    <n v="141"/>
    <n v="142"/>
    <n v="0"/>
    <n v="141"/>
    <n v="142"/>
    <n v="141"/>
    <n v="142"/>
    <n v="141"/>
    <n v="0"/>
    <n v="0"/>
    <n v="142"/>
    <n v="141"/>
    <n v="142"/>
    <n v="141"/>
    <n v="142"/>
    <n v="0"/>
    <n v="0"/>
    <n v="141"/>
    <n v="142"/>
    <n v="141"/>
    <n v="142"/>
    <n v="141"/>
    <n v="0"/>
    <n v="0"/>
    <n v="2831"/>
  </r>
  <r>
    <x v="34"/>
    <s v="86790-BZ321-00"/>
    <s v="B901"/>
    <s v="CAMERA ASSY  TELEVISION"/>
    <s v="TTETA"/>
    <s v="R1"/>
    <s v="G2"/>
    <s v="D46H"/>
    <n v="6"/>
    <n v="0"/>
    <n v="61"/>
    <n v="60"/>
    <n v="60"/>
    <n v="62"/>
    <n v="61"/>
    <n v="0"/>
    <n v="0"/>
    <n v="60"/>
    <n v="61"/>
    <n v="60"/>
    <n v="60"/>
    <n v="65"/>
    <n v="61"/>
    <n v="0"/>
    <n v="60"/>
    <n v="60"/>
    <n v="60"/>
    <n v="60"/>
    <n v="61"/>
    <n v="0"/>
    <n v="0"/>
    <n v="62"/>
    <n v="61"/>
    <n v="59"/>
    <n v="61"/>
    <n v="59"/>
    <n v="61"/>
    <n v="0"/>
    <n v="0"/>
    <n v="0"/>
    <n v="1335"/>
    <n v="0"/>
    <n v="0"/>
    <n v="0"/>
    <n v="81"/>
    <n v="81"/>
    <n v="82"/>
    <n v="0"/>
    <n v="0"/>
    <n v="81"/>
    <n v="86"/>
    <n v="81"/>
    <n v="87"/>
    <n v="80"/>
    <n v="72"/>
    <n v="0"/>
    <n v="81"/>
    <n v="86"/>
    <n v="81"/>
    <n v="81"/>
    <n v="82"/>
    <n v="0"/>
    <n v="0"/>
    <n v="80"/>
    <n v="87"/>
    <n v="71"/>
    <n v="82"/>
    <n v="80"/>
    <n v="72"/>
    <n v="0"/>
    <n v="81"/>
    <n v="72"/>
    <n v="1767"/>
    <n v="67"/>
    <n v="67"/>
    <n v="67"/>
    <n v="0"/>
    <n v="0"/>
    <n v="67"/>
    <n v="67"/>
    <n v="67"/>
    <n v="67"/>
    <n v="66"/>
    <n v="0"/>
    <n v="0"/>
    <n v="0"/>
    <n v="0"/>
    <n v="0"/>
    <n v="0"/>
    <n v="0"/>
    <n v="0"/>
    <n v="0"/>
    <n v="67"/>
    <n v="66"/>
    <n v="67"/>
    <n v="66"/>
    <n v="67"/>
    <n v="66"/>
    <n v="0"/>
    <n v="67"/>
    <n v="66"/>
    <n v="67"/>
    <n v="66"/>
    <n v="0"/>
    <n v="1200"/>
    <n v="0"/>
    <n v="0"/>
    <n v="0"/>
    <n v="0"/>
    <n v="71"/>
    <n v="71"/>
    <n v="71"/>
    <n v="71"/>
    <n v="71"/>
    <n v="0"/>
    <n v="71"/>
    <n v="71"/>
    <n v="71"/>
    <n v="71"/>
    <n v="71"/>
    <n v="0"/>
    <n v="0"/>
    <n v="72"/>
    <n v="71"/>
    <n v="72"/>
    <n v="71"/>
    <n v="72"/>
    <n v="0"/>
    <n v="0"/>
    <n v="71"/>
    <n v="72"/>
    <n v="71"/>
    <n v="72"/>
    <n v="71"/>
    <n v="0"/>
    <n v="0"/>
    <n v="1425"/>
  </r>
  <r>
    <x v="35"/>
    <s v="86790-BZ350-00"/>
    <s v="17U2"/>
    <s v="CAMERA ASSY  TELEVISION"/>
    <s v="TTETA"/>
    <s v="R1"/>
    <s v="G2"/>
    <s v="D41H"/>
    <n v="8"/>
    <n v="0"/>
    <n v="43"/>
    <n v="37"/>
    <n v="40"/>
    <n v="44"/>
    <n v="41"/>
    <n v="0"/>
    <n v="0"/>
    <n v="37"/>
    <n v="39"/>
    <n v="39"/>
    <n v="37"/>
    <n v="43"/>
    <n v="41"/>
    <n v="0"/>
    <n v="39"/>
    <n v="39"/>
    <n v="39"/>
    <n v="39"/>
    <n v="39"/>
    <n v="0"/>
    <n v="0"/>
    <n v="41"/>
    <n v="38"/>
    <n v="41"/>
    <n v="38"/>
    <n v="39"/>
    <n v="40"/>
    <n v="0"/>
    <n v="0"/>
    <n v="0"/>
    <n v="873"/>
    <n v="0"/>
    <n v="0"/>
    <n v="0"/>
    <n v="51"/>
    <n v="52"/>
    <n v="50"/>
    <n v="0"/>
    <n v="0"/>
    <n v="54"/>
    <n v="54"/>
    <n v="53"/>
    <n v="54"/>
    <n v="53"/>
    <n v="47"/>
    <n v="0"/>
    <n v="52"/>
    <n v="55"/>
    <n v="51"/>
    <n v="52"/>
    <n v="53"/>
    <n v="0"/>
    <n v="0"/>
    <n v="52"/>
    <n v="55"/>
    <n v="45"/>
    <n v="51"/>
    <n v="53"/>
    <n v="48"/>
    <n v="0"/>
    <n v="52"/>
    <n v="47"/>
    <n v="1134"/>
    <n v="75"/>
    <n v="75"/>
    <n v="75"/>
    <n v="0"/>
    <n v="0"/>
    <n v="75"/>
    <n v="75"/>
    <n v="75"/>
    <n v="76"/>
    <n v="75"/>
    <n v="0"/>
    <n v="0"/>
    <n v="0"/>
    <n v="0"/>
    <n v="0"/>
    <n v="0"/>
    <n v="0"/>
    <n v="0"/>
    <n v="0"/>
    <n v="76"/>
    <n v="75"/>
    <n v="76"/>
    <n v="75"/>
    <n v="76"/>
    <n v="75"/>
    <n v="0"/>
    <n v="76"/>
    <n v="75"/>
    <n v="76"/>
    <n v="75"/>
    <n v="0"/>
    <n v="1356"/>
    <n v="0"/>
    <n v="0"/>
    <n v="0"/>
    <n v="0"/>
    <n v="73"/>
    <n v="73"/>
    <n v="73"/>
    <n v="73"/>
    <n v="74"/>
    <n v="0"/>
    <n v="73"/>
    <n v="74"/>
    <n v="73"/>
    <n v="74"/>
    <n v="73"/>
    <n v="0"/>
    <n v="0"/>
    <n v="74"/>
    <n v="73"/>
    <n v="74"/>
    <n v="73"/>
    <n v="74"/>
    <n v="0"/>
    <n v="0"/>
    <n v="73"/>
    <n v="74"/>
    <n v="73"/>
    <n v="74"/>
    <n v="73"/>
    <n v="0"/>
    <n v="0"/>
    <n v="1468"/>
  </r>
  <r>
    <x v="36"/>
    <s v="86790-0K051-00"/>
    <s v="L342"/>
    <s v="CAMERA ASSY TELEVISION"/>
    <s v="TTETA"/>
    <s v="O1"/>
    <s v="S1"/>
    <s v="024J"/>
    <n v="25"/>
    <n v="0"/>
    <n v="59"/>
    <n v="54"/>
    <n v="60"/>
    <n v="65"/>
    <n v="58"/>
    <n v="0"/>
    <n v="0"/>
    <n v="57"/>
    <n v="60"/>
    <n v="58"/>
    <n v="59"/>
    <n v="57"/>
    <n v="59"/>
    <n v="0"/>
    <n v="64"/>
    <n v="62"/>
    <n v="56"/>
    <n v="63"/>
    <n v="52"/>
    <n v="0"/>
    <n v="0"/>
    <n v="64"/>
    <n v="73"/>
    <n v="70"/>
    <n v="70"/>
    <n v="68"/>
    <n v="64"/>
    <n v="0"/>
    <n v="0"/>
    <n v="0"/>
    <n v="1352"/>
    <n v="0"/>
    <n v="0"/>
    <n v="0"/>
    <n v="72"/>
    <n v="69"/>
    <n v="74"/>
    <n v="38"/>
    <n v="0"/>
    <n v="76"/>
    <n v="78"/>
    <n v="77"/>
    <n v="82"/>
    <n v="82"/>
    <n v="77"/>
    <n v="0"/>
    <n v="83"/>
    <n v="82"/>
    <n v="86"/>
    <n v="85"/>
    <n v="83"/>
    <n v="0"/>
    <n v="0"/>
    <n v="82"/>
    <n v="82"/>
    <n v="74"/>
    <n v="87"/>
    <n v="78"/>
    <n v="80"/>
    <n v="0"/>
    <n v="83"/>
    <n v="77"/>
    <n v="1787"/>
    <n v="110"/>
    <n v="110"/>
    <n v="110"/>
    <n v="55"/>
    <n v="0"/>
    <n v="110"/>
    <n v="110"/>
    <n v="110"/>
    <n v="110"/>
    <n v="110"/>
    <n v="0"/>
    <n v="0"/>
    <n v="0"/>
    <n v="0"/>
    <n v="0"/>
    <n v="0"/>
    <n v="0"/>
    <n v="0"/>
    <n v="0"/>
    <n v="110"/>
    <n v="110"/>
    <n v="110"/>
    <n v="110"/>
    <n v="110"/>
    <n v="110"/>
    <n v="0"/>
    <n v="111"/>
    <n v="110"/>
    <n v="111"/>
    <n v="110"/>
    <n v="0"/>
    <n v="20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s v="86790-0K080-00"/>
    <s v="G871"/>
    <s v="CAMERA ASSY TELEVISION"/>
    <s v="TTETA"/>
    <s v="O1"/>
    <s v="S1"/>
    <s v="024J"/>
    <n v="42"/>
    <n v="0"/>
    <n v="29"/>
    <n v="28"/>
    <n v="29"/>
    <n v="32"/>
    <n v="27"/>
    <n v="0"/>
    <n v="0"/>
    <n v="33"/>
    <n v="27"/>
    <n v="29"/>
    <n v="30"/>
    <n v="28"/>
    <n v="28"/>
    <n v="0"/>
    <n v="38"/>
    <n v="27"/>
    <n v="32"/>
    <n v="28"/>
    <n v="27"/>
    <n v="0"/>
    <n v="0"/>
    <n v="28"/>
    <n v="39"/>
    <n v="36"/>
    <n v="37"/>
    <n v="32"/>
    <n v="32"/>
    <n v="0"/>
    <n v="0"/>
    <n v="0"/>
    <n v="676"/>
    <n v="0"/>
    <n v="0"/>
    <n v="0"/>
    <n v="46"/>
    <n v="50"/>
    <n v="45"/>
    <n v="23"/>
    <n v="0"/>
    <n v="53"/>
    <n v="49"/>
    <n v="54"/>
    <n v="52"/>
    <n v="54"/>
    <n v="51"/>
    <n v="0"/>
    <n v="53"/>
    <n v="55"/>
    <n v="51"/>
    <n v="56"/>
    <n v="53"/>
    <n v="0"/>
    <n v="0"/>
    <n v="55"/>
    <n v="55"/>
    <n v="51"/>
    <n v="55"/>
    <n v="56"/>
    <n v="49"/>
    <n v="0"/>
    <n v="54"/>
    <n v="50"/>
    <n v="1170"/>
    <n v="59"/>
    <n v="59"/>
    <n v="59"/>
    <n v="29"/>
    <n v="0"/>
    <n v="59"/>
    <n v="59"/>
    <n v="58"/>
    <n v="59"/>
    <n v="58"/>
    <n v="0"/>
    <n v="0"/>
    <n v="0"/>
    <n v="0"/>
    <n v="0"/>
    <n v="0"/>
    <n v="0"/>
    <n v="0"/>
    <n v="0"/>
    <n v="59"/>
    <n v="58"/>
    <n v="59"/>
    <n v="58"/>
    <n v="59"/>
    <n v="58"/>
    <n v="0"/>
    <n v="59"/>
    <n v="58"/>
    <n v="59"/>
    <n v="58"/>
    <n v="0"/>
    <n v="1084"/>
    <n v="0"/>
    <n v="0"/>
    <n v="0"/>
    <n v="20"/>
    <n v="20"/>
    <n v="20"/>
    <n v="20"/>
    <n v="20"/>
    <n v="20"/>
    <n v="0"/>
    <n v="20"/>
    <n v="20"/>
    <n v="20"/>
    <n v="20"/>
    <n v="20"/>
    <n v="10"/>
    <n v="0"/>
    <n v="20"/>
    <n v="20"/>
    <n v="20"/>
    <n v="20"/>
    <n v="20"/>
    <n v="20"/>
    <n v="0"/>
    <n v="20"/>
    <n v="20"/>
    <n v="20"/>
    <n v="21"/>
    <n v="20"/>
    <n v="0"/>
    <n v="0"/>
    <n v="451"/>
  </r>
  <r>
    <x v="38"/>
    <s v="86790-0K141-00"/>
    <s v="J788"/>
    <s v="CAMERA ASSY TELEVISION"/>
    <s v="TTETA"/>
    <s v="O1"/>
    <s v="S1"/>
    <s v="024J"/>
    <n v="8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s v="86790-0K171-00"/>
    <s v="J789"/>
    <s v="CAMERA ASSY TELEVISION"/>
    <s v="TTETA"/>
    <s v="O1"/>
    <s v="S1"/>
    <s v="024J"/>
    <n v="8"/>
    <n v="0"/>
    <n v="12"/>
    <n v="8"/>
    <n v="10"/>
    <n v="16"/>
    <n v="10"/>
    <n v="0"/>
    <n v="0"/>
    <n v="10"/>
    <n v="11"/>
    <n v="10"/>
    <n v="10"/>
    <n v="10"/>
    <n v="11"/>
    <n v="0"/>
    <n v="13"/>
    <n v="14"/>
    <n v="9"/>
    <n v="12"/>
    <n v="8"/>
    <n v="0"/>
    <n v="0"/>
    <n v="12"/>
    <n v="13"/>
    <n v="16"/>
    <n v="12"/>
    <n v="10"/>
    <n v="14"/>
    <n v="0"/>
    <n v="0"/>
    <n v="0"/>
    <n v="251"/>
    <n v="0"/>
    <n v="0"/>
    <n v="0"/>
    <n v="12"/>
    <n v="10"/>
    <n v="13"/>
    <n v="8"/>
    <n v="0"/>
    <n v="9"/>
    <n v="15"/>
    <n v="10"/>
    <n v="11"/>
    <n v="14"/>
    <n v="13"/>
    <n v="0"/>
    <n v="13"/>
    <n v="14"/>
    <n v="14"/>
    <n v="13"/>
    <n v="13"/>
    <n v="0"/>
    <n v="0"/>
    <n v="16"/>
    <n v="12"/>
    <n v="8"/>
    <n v="14"/>
    <n v="11"/>
    <n v="18"/>
    <n v="0"/>
    <n v="11"/>
    <n v="13"/>
    <n v="285"/>
    <n v="19"/>
    <n v="19"/>
    <n v="20"/>
    <n v="10"/>
    <n v="0"/>
    <n v="19"/>
    <n v="20"/>
    <n v="19"/>
    <n v="20"/>
    <n v="19"/>
    <n v="0"/>
    <n v="0"/>
    <n v="0"/>
    <n v="0"/>
    <n v="0"/>
    <n v="0"/>
    <n v="0"/>
    <n v="0"/>
    <n v="0"/>
    <n v="20"/>
    <n v="19"/>
    <n v="20"/>
    <n v="19"/>
    <n v="20"/>
    <n v="19"/>
    <n v="0"/>
    <n v="20"/>
    <n v="19"/>
    <n v="20"/>
    <n v="19"/>
    <n v="0"/>
    <n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s v="86790-0K310-00"/>
    <s v="N748"/>
    <s v="CAMERA ASSY TELEVISION"/>
    <s v="TTETA"/>
    <s v="O1"/>
    <s v="S1"/>
    <s v="025J"/>
    <n v="25"/>
    <n v="0"/>
    <n v="3"/>
    <n v="3"/>
    <n v="3"/>
    <n v="3"/>
    <n v="3"/>
    <n v="0"/>
    <n v="0"/>
    <n v="3"/>
    <n v="3"/>
    <n v="4"/>
    <n v="3"/>
    <n v="3"/>
    <n v="3"/>
    <n v="0"/>
    <n v="3"/>
    <n v="3"/>
    <n v="3"/>
    <n v="3"/>
    <n v="3"/>
    <n v="0"/>
    <n v="0"/>
    <n v="3"/>
    <n v="4"/>
    <n v="3"/>
    <n v="4"/>
    <n v="4"/>
    <n v="3"/>
    <n v="0"/>
    <n v="0"/>
    <n v="0"/>
    <n v="70"/>
    <n v="0"/>
    <n v="0"/>
    <n v="0"/>
    <n v="4"/>
    <n v="4"/>
    <n v="5"/>
    <n v="2"/>
    <n v="0"/>
    <n v="4"/>
    <n v="5"/>
    <n v="4"/>
    <n v="5"/>
    <n v="5"/>
    <n v="4"/>
    <n v="0"/>
    <n v="5"/>
    <n v="4"/>
    <n v="5"/>
    <n v="5"/>
    <n v="5"/>
    <n v="0"/>
    <n v="0"/>
    <n v="4"/>
    <n v="5"/>
    <n v="5"/>
    <n v="5"/>
    <n v="4"/>
    <n v="5"/>
    <n v="0"/>
    <n v="4"/>
    <n v="5"/>
    <n v="103"/>
    <n v="20"/>
    <n v="20"/>
    <n v="20"/>
    <n v="10"/>
    <n v="0"/>
    <n v="20"/>
    <n v="20"/>
    <n v="19"/>
    <n v="20"/>
    <n v="19"/>
    <n v="0"/>
    <n v="0"/>
    <n v="0"/>
    <n v="0"/>
    <n v="0"/>
    <n v="0"/>
    <n v="0"/>
    <n v="0"/>
    <n v="0"/>
    <n v="20"/>
    <n v="19"/>
    <n v="20"/>
    <n v="19"/>
    <n v="20"/>
    <n v="19"/>
    <n v="0"/>
    <n v="20"/>
    <n v="19"/>
    <n v="20"/>
    <n v="19"/>
    <n v="0"/>
    <n v="363"/>
    <n v="0"/>
    <n v="0"/>
    <n v="0"/>
    <n v="3"/>
    <n v="3"/>
    <n v="3"/>
    <n v="3"/>
    <n v="2"/>
    <n v="3"/>
    <n v="0"/>
    <n v="2"/>
    <n v="3"/>
    <n v="2"/>
    <n v="3"/>
    <n v="2"/>
    <n v="1"/>
    <n v="0"/>
    <n v="3"/>
    <n v="3"/>
    <n v="2"/>
    <n v="3"/>
    <n v="2"/>
    <n v="3"/>
    <n v="0"/>
    <n v="2"/>
    <n v="3"/>
    <n v="2"/>
    <n v="3"/>
    <n v="2"/>
    <n v="0"/>
    <n v="0"/>
    <n v="58"/>
  </r>
  <r>
    <x v="41"/>
    <s v="86790-0K400-00"/>
    <s v="N749"/>
    <s v="CAMERA ASSY TELEVISION"/>
    <s v="TTETA"/>
    <s v="O1"/>
    <s v="S1"/>
    <s v="025J"/>
    <n v="38"/>
    <n v="0"/>
    <n v="3"/>
    <n v="3"/>
    <n v="3"/>
    <n v="3"/>
    <n v="3"/>
    <n v="0"/>
    <n v="0"/>
    <n v="3"/>
    <n v="3"/>
    <n v="4"/>
    <n v="3"/>
    <n v="3"/>
    <n v="3"/>
    <n v="0"/>
    <n v="3"/>
    <n v="3"/>
    <n v="3"/>
    <n v="3"/>
    <n v="3"/>
    <n v="0"/>
    <n v="0"/>
    <n v="3"/>
    <n v="4"/>
    <n v="3"/>
    <n v="4"/>
    <n v="4"/>
    <n v="3"/>
    <n v="0"/>
    <n v="0"/>
    <n v="0"/>
    <n v="70"/>
    <n v="0"/>
    <n v="0"/>
    <n v="0"/>
    <n v="4"/>
    <n v="4"/>
    <n v="5"/>
    <n v="2"/>
    <n v="0"/>
    <n v="4"/>
    <n v="5"/>
    <n v="4"/>
    <n v="5"/>
    <n v="5"/>
    <n v="4"/>
    <n v="0"/>
    <n v="5"/>
    <n v="4"/>
    <n v="5"/>
    <n v="5"/>
    <n v="5"/>
    <n v="0"/>
    <n v="0"/>
    <n v="4"/>
    <n v="5"/>
    <n v="5"/>
    <n v="5"/>
    <n v="4"/>
    <n v="5"/>
    <n v="0"/>
    <n v="4"/>
    <n v="5"/>
    <n v="103"/>
    <n v="20"/>
    <n v="20"/>
    <n v="20"/>
    <n v="10"/>
    <n v="0"/>
    <n v="20"/>
    <n v="20"/>
    <n v="19"/>
    <n v="20"/>
    <n v="19"/>
    <n v="0"/>
    <n v="0"/>
    <n v="0"/>
    <n v="0"/>
    <n v="0"/>
    <n v="0"/>
    <n v="0"/>
    <n v="0"/>
    <n v="0"/>
    <n v="20"/>
    <n v="19"/>
    <n v="20"/>
    <n v="19"/>
    <n v="20"/>
    <n v="19"/>
    <n v="0"/>
    <n v="20"/>
    <n v="19"/>
    <n v="20"/>
    <n v="19"/>
    <n v="0"/>
    <n v="363"/>
    <n v="0"/>
    <n v="0"/>
    <n v="0"/>
    <n v="3"/>
    <n v="3"/>
    <n v="3"/>
    <n v="3"/>
    <n v="2"/>
    <n v="3"/>
    <n v="0"/>
    <n v="2"/>
    <n v="3"/>
    <n v="2"/>
    <n v="3"/>
    <n v="2"/>
    <n v="1"/>
    <n v="0"/>
    <n v="3"/>
    <n v="3"/>
    <n v="2"/>
    <n v="3"/>
    <n v="2"/>
    <n v="3"/>
    <n v="0"/>
    <n v="2"/>
    <n v="3"/>
    <n v="2"/>
    <n v="3"/>
    <n v="2"/>
    <n v="0"/>
    <n v="0"/>
    <n v="58"/>
  </r>
  <r>
    <x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K15:EP31" firstHeaderRow="0" firstDataRow="1" firstDataCol="2"/>
  <pivotFields count="136">
    <pivotField axis="axisRow" compact="0" outline="0" showAll="0" defaultSubtotal="0">
      <items count="11">
        <item x="1"/>
        <item x="2"/>
        <item x="3"/>
        <item x="4"/>
        <item x="5"/>
        <item x="6"/>
        <item x="7"/>
        <item x="8"/>
        <item x="0"/>
        <item x="9"/>
        <item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5"/>
  </rowFields>
  <rowItems count="16">
    <i>
      <x/>
      <x/>
    </i>
    <i r="1">
      <x v="1"/>
    </i>
    <i>
      <x v="1"/>
      <x/>
    </i>
    <i r="1">
      <x v="1"/>
    </i>
    <i>
      <x v="2"/>
      <x v="1"/>
    </i>
    <i>
      <x v="3"/>
      <x v="1"/>
    </i>
    <i>
      <x v="4"/>
      <x/>
    </i>
    <i r="1">
      <x v="1"/>
    </i>
    <i>
      <x v="5"/>
      <x v="1"/>
    </i>
    <i>
      <x v="6"/>
      <x/>
    </i>
    <i r="1">
      <x v="1"/>
    </i>
    <i>
      <x v="7"/>
      <x v="1"/>
    </i>
    <i>
      <x v="8"/>
      <x v="1"/>
    </i>
    <i>
      <x v="9"/>
      <x v="1"/>
    </i>
    <i>
      <x v="10"/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" fld="39" baseField="0" baseItem="0"/>
    <dataField name="Sum of N+1" fld="71" baseField="0" baseItem="0"/>
    <dataField name="Sum of N+2" fld="103" baseField="0" baseItem="0"/>
    <dataField name="Sum of N+3" fld="13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E25" firstHeaderRow="1" firstDataRow="2" firstDataCol="1"/>
  <pivotFields count="136">
    <pivotField axis="axisRow" showAll="0">
      <items count="21">
        <item x="0"/>
        <item x="1"/>
        <item x="2"/>
        <item x="11"/>
        <item x="3"/>
        <item x="4"/>
        <item x="5"/>
        <item x="6"/>
        <item x="12"/>
        <item x="10"/>
        <item x="7"/>
        <item x="8"/>
        <item x="9"/>
        <item x="16"/>
        <item x="17"/>
        <item x="14"/>
        <item x="15"/>
        <item x="13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" fld="39" baseField="0" baseItem="0" numFmtId="165"/>
    <dataField name="Sum of N+1" fld="71" baseField="0" baseItem="0" numFmtId="165"/>
    <dataField name="Sum of N+2" fld="103" baseField="0" baseItem="0" numFmtId="165"/>
    <dataField name="Sum of N+3" fld="135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61:F106" firstHeaderRow="1" firstDataRow="2" firstDataCol="1"/>
  <pivotFields count="137">
    <pivotField axis="axisRow" showAll="0">
      <items count="47">
        <item x="1"/>
        <item x="37"/>
        <item x="2"/>
        <item x="13"/>
        <item x="16"/>
        <item x="3"/>
        <item x="17"/>
        <item x="38"/>
        <item x="4"/>
        <item x="39"/>
        <item x="5"/>
        <item x="20"/>
        <item x="6"/>
        <item x="21"/>
        <item x="23"/>
        <item x="10"/>
        <item x="7"/>
        <item x="24"/>
        <item x="30"/>
        <item x="31"/>
        <item m="1" x="43"/>
        <item x="29"/>
        <item x="33"/>
        <item x="0"/>
        <item x="36"/>
        <item m="1" x="44"/>
        <item x="14"/>
        <item m="1" x="45"/>
        <item x="11"/>
        <item x="12"/>
        <item x="32"/>
        <item x="18"/>
        <item x="34"/>
        <item x="15"/>
        <item x="19"/>
        <item x="28"/>
        <item x="42"/>
        <item x="25"/>
        <item x="35"/>
        <item x="8"/>
        <item x="9"/>
        <item x="40"/>
        <item x="41"/>
        <item x="22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" fld="40" baseField="0" baseItem="0"/>
    <dataField name="Sum of N+1" fld="72" baseField="0" baseItem="0"/>
    <dataField name="Sum of N+2" fld="104" baseField="0" baseItem="0"/>
    <dataField name="Sum of N+3" fld="13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FB3:FF25" firstHeaderRow="1" firstDataRow="2" firstDataCol="1"/>
  <pivotFields count="136">
    <pivotField axis="axisRow" showAll="0">
      <items count="21">
        <item x="0"/>
        <item x="1"/>
        <item x="2"/>
        <item x="11"/>
        <item x="3"/>
        <item x="4"/>
        <item x="5"/>
        <item x="6"/>
        <item x="12"/>
        <item x="10"/>
        <item x="7"/>
        <item x="8"/>
        <item x="9"/>
        <item x="16"/>
        <item x="17"/>
        <item x="14"/>
        <item x="15"/>
        <item x="13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" fld="39" baseField="0" baseItem="0" numFmtId="165"/>
    <dataField name="Sum of N+1" fld="71" baseField="0" baseItem="0" numFmtId="165"/>
    <dataField name="Sum of N+2" fld="103" baseField="0" baseItem="0" numFmtId="165"/>
    <dataField name="Sum of N+3" fld="135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meesuk@toyota.co.th" TargetMode="External"/><Relationship Id="rId13" Type="http://schemas.openxmlformats.org/officeDocument/2006/relationships/hyperlink" Target="mailto:pattarawan_lea@tdem.toyota-asia.com" TargetMode="External"/><Relationship Id="rId18" Type="http://schemas.openxmlformats.org/officeDocument/2006/relationships/hyperlink" Target="mailto:iwongcha@toyota.co.th" TargetMode="External"/><Relationship Id="rId3" Type="http://schemas.openxmlformats.org/officeDocument/2006/relationships/hyperlink" Target="mailto:ktriratt@toyota.co.th" TargetMode="External"/><Relationship Id="rId21" Type="http://schemas.openxmlformats.org/officeDocument/2006/relationships/hyperlink" Target="mailto:tkrittop@toyota.co.th" TargetMode="External"/><Relationship Id="rId7" Type="http://schemas.openxmlformats.org/officeDocument/2006/relationships/hyperlink" Target="mailto:pmeesuk@toyota.co.th" TargetMode="External"/><Relationship Id="rId12" Type="http://schemas.openxmlformats.org/officeDocument/2006/relationships/hyperlink" Target="mailto:pmeesuk@toyota.co.th" TargetMode="External"/><Relationship Id="rId17" Type="http://schemas.openxmlformats.org/officeDocument/2006/relationships/hyperlink" Target="mailto:teeraporn_sir@tdem.toyota-asia.com" TargetMode="External"/><Relationship Id="rId2" Type="http://schemas.openxmlformats.org/officeDocument/2006/relationships/hyperlink" Target="mailto:ktriratt@toyota.co.th" TargetMode="External"/><Relationship Id="rId16" Type="http://schemas.openxmlformats.org/officeDocument/2006/relationships/hyperlink" Target="mailto:tkrittop@toyota.co.th" TargetMode="External"/><Relationship Id="rId20" Type="http://schemas.openxmlformats.org/officeDocument/2006/relationships/hyperlink" Target="mailto:tkrittop@toyota.co.th" TargetMode="External"/><Relationship Id="rId1" Type="http://schemas.openxmlformats.org/officeDocument/2006/relationships/hyperlink" Target="mailto:ktriratt@toyota.co.th" TargetMode="External"/><Relationship Id="rId6" Type="http://schemas.openxmlformats.org/officeDocument/2006/relationships/hyperlink" Target="mailto:pmeesuk@toyota.co.th" TargetMode="External"/><Relationship Id="rId11" Type="http://schemas.openxmlformats.org/officeDocument/2006/relationships/hyperlink" Target="mailto:pmeesuk@toyota.co.th" TargetMode="External"/><Relationship Id="rId5" Type="http://schemas.openxmlformats.org/officeDocument/2006/relationships/hyperlink" Target="mailto:pmeesuk@toyota.co.th" TargetMode="External"/><Relationship Id="rId15" Type="http://schemas.openxmlformats.org/officeDocument/2006/relationships/hyperlink" Target="mailto:pattarawan_lea@tdem.toyota-asia.com" TargetMode="External"/><Relationship Id="rId10" Type="http://schemas.openxmlformats.org/officeDocument/2006/relationships/hyperlink" Target="mailto:pmeesuk@toyota.co.th" TargetMode="External"/><Relationship Id="rId19" Type="http://schemas.openxmlformats.org/officeDocument/2006/relationships/hyperlink" Target="mailto:iwongcha@toyota.co.th" TargetMode="External"/><Relationship Id="rId4" Type="http://schemas.openxmlformats.org/officeDocument/2006/relationships/hyperlink" Target="mailto:ktriratt@toyota.co.th" TargetMode="External"/><Relationship Id="rId9" Type="http://schemas.openxmlformats.org/officeDocument/2006/relationships/hyperlink" Target="mailto:pmeesuk@toyota.co.th" TargetMode="External"/><Relationship Id="rId14" Type="http://schemas.openxmlformats.org/officeDocument/2006/relationships/hyperlink" Target="mailto:pattarawan_lea@tdem.toyota-asia.com" TargetMode="External"/><Relationship Id="rId22" Type="http://schemas.openxmlformats.org/officeDocument/2006/relationships/hyperlink" Target="mailto:pattarawan_lea@tdem.toyota-asia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4"/>
  <sheetViews>
    <sheetView topLeftCell="A4" zoomScale="90" zoomScaleNormal="90" workbookViewId="0">
      <selection activeCell="M33" sqref="M33"/>
    </sheetView>
  </sheetViews>
  <sheetFormatPr defaultColWidth="9.33203125" defaultRowHeight="20.100000000000001" customHeight="1" x14ac:dyDescent="0.3"/>
  <cols>
    <col min="1" max="2" width="18" style="4" customWidth="1"/>
    <col min="3" max="3" width="15" style="4" customWidth="1"/>
    <col min="4" max="37" width="9.33203125" style="4" customWidth="1"/>
    <col min="38" max="38" width="13.6640625" style="4" bestFit="1" customWidth="1"/>
    <col min="39" max="39" width="9.33203125" style="4" customWidth="1"/>
    <col min="40" max="16384" width="9.33203125" style="4"/>
  </cols>
  <sheetData>
    <row r="1" spans="1:38" ht="20.100000000000001" customHeight="1" x14ac:dyDescent="0.3">
      <c r="A1" s="37" t="s">
        <v>0</v>
      </c>
      <c r="B1" s="37"/>
    </row>
    <row r="2" spans="1:38" ht="20.100000000000001" customHeight="1" x14ac:dyDescent="0.3">
      <c r="A2" s="2" t="s">
        <v>1</v>
      </c>
      <c r="B2" s="20">
        <f>'Monthly FC (Don''t use)'!E1</f>
        <v>46045</v>
      </c>
      <c r="C2" s="20"/>
    </row>
    <row r="3" spans="1:38" ht="20.100000000000001" customHeight="1" x14ac:dyDescent="0.3">
      <c r="A3" s="37" t="s">
        <v>2</v>
      </c>
      <c r="B3" s="19" t="str">
        <f>'Monthly FC (Don''t use)'!I1</f>
        <v>Production Month:Feb'26</v>
      </c>
      <c r="C3" s="19"/>
    </row>
    <row r="4" spans="1:38" ht="20.100000000000001" customHeight="1" x14ac:dyDescent="0.3">
      <c r="A4" s="1" t="s">
        <v>3</v>
      </c>
    </row>
    <row r="5" spans="1:38" ht="20.100000000000001" customHeight="1" thickBot="1" x14ac:dyDescent="0.35">
      <c r="D5" s="285">
        <v>2021</v>
      </c>
      <c r="E5" s="286"/>
      <c r="F5" s="286"/>
      <c r="G5" s="286"/>
      <c r="H5" s="286"/>
      <c r="I5" s="286"/>
      <c r="J5" s="286"/>
      <c r="K5" s="286"/>
      <c r="L5" s="287"/>
      <c r="M5" s="285">
        <v>2022</v>
      </c>
      <c r="N5" s="286"/>
      <c r="O5" s="286"/>
      <c r="P5" s="286"/>
      <c r="Q5" s="286"/>
      <c r="R5" s="286"/>
      <c r="S5" s="286"/>
      <c r="T5" s="286"/>
      <c r="U5" s="286"/>
      <c r="V5" s="286"/>
      <c r="W5" s="287"/>
      <c r="X5" s="285"/>
      <c r="Y5" s="286"/>
      <c r="Z5" s="286"/>
      <c r="AA5" s="286"/>
      <c r="AB5" s="286"/>
      <c r="AC5" s="286"/>
      <c r="AD5" s="287"/>
      <c r="AE5" s="58"/>
      <c r="AF5" s="58"/>
      <c r="AG5" s="58"/>
      <c r="AH5" s="58"/>
      <c r="AI5" s="58"/>
    </row>
    <row r="6" spans="1:38" ht="20.100000000000001" customHeight="1" thickBot="1" x14ac:dyDescent="0.35">
      <c r="A6" s="38" t="s">
        <v>4</v>
      </c>
      <c r="B6" s="49" t="s">
        <v>5</v>
      </c>
      <c r="C6" s="39"/>
      <c r="D6" s="53" t="s">
        <v>6</v>
      </c>
      <c r="E6" s="53" t="s">
        <v>7</v>
      </c>
      <c r="F6" s="53" t="s">
        <v>8</v>
      </c>
      <c r="G6" s="52" t="s">
        <v>9</v>
      </c>
      <c r="H6" s="52" t="s">
        <v>10</v>
      </c>
      <c r="I6" s="52" t="s">
        <v>11</v>
      </c>
      <c r="J6" s="52" t="s">
        <v>12</v>
      </c>
      <c r="K6" s="52" t="s">
        <v>13</v>
      </c>
      <c r="L6" s="52" t="s">
        <v>14</v>
      </c>
      <c r="M6" s="52" t="s">
        <v>15</v>
      </c>
      <c r="N6" s="52" t="s">
        <v>16</v>
      </c>
      <c r="O6" s="52" t="s">
        <v>7</v>
      </c>
      <c r="P6" s="52" t="s">
        <v>8</v>
      </c>
      <c r="Q6" s="52" t="s">
        <v>9</v>
      </c>
      <c r="R6" s="52" t="s">
        <v>10</v>
      </c>
      <c r="S6" s="52" t="s">
        <v>11</v>
      </c>
      <c r="T6" s="52" t="s">
        <v>12</v>
      </c>
      <c r="U6" s="52" t="s">
        <v>17</v>
      </c>
      <c r="V6" s="52" t="s">
        <v>13</v>
      </c>
      <c r="W6" s="52" t="s">
        <v>14</v>
      </c>
      <c r="X6" s="52" t="s">
        <v>15</v>
      </c>
      <c r="Y6" s="52" t="s">
        <v>16</v>
      </c>
      <c r="Z6" s="52" t="s">
        <v>6</v>
      </c>
      <c r="AA6" s="52" t="s">
        <v>7</v>
      </c>
      <c r="AB6" s="52" t="s">
        <v>8</v>
      </c>
      <c r="AC6" s="52" t="s">
        <v>9</v>
      </c>
      <c r="AD6" s="52" t="s">
        <v>10</v>
      </c>
      <c r="AE6" s="52" t="s">
        <v>11</v>
      </c>
      <c r="AF6" s="52" t="s">
        <v>12</v>
      </c>
      <c r="AG6" s="52" t="s">
        <v>17</v>
      </c>
      <c r="AH6" s="52" t="s">
        <v>13</v>
      </c>
      <c r="AI6" s="52" t="s">
        <v>13</v>
      </c>
    </row>
    <row r="7" spans="1:38" ht="20.100000000000001" customHeight="1" x14ac:dyDescent="0.3">
      <c r="A7" s="282" t="s">
        <v>18</v>
      </c>
      <c r="B7" s="279" t="s">
        <v>19</v>
      </c>
      <c r="C7" s="21" t="s">
        <v>20</v>
      </c>
      <c r="D7" s="27">
        <v>0</v>
      </c>
      <c r="E7" s="28">
        <v>34</v>
      </c>
      <c r="F7" s="29">
        <v>43</v>
      </c>
      <c r="G7" s="30">
        <v>8396</v>
      </c>
      <c r="H7" s="30">
        <v>8314</v>
      </c>
      <c r="I7" s="30">
        <v>13430</v>
      </c>
      <c r="J7" s="30">
        <v>22698</v>
      </c>
      <c r="K7" s="30">
        <v>13644</v>
      </c>
      <c r="L7" s="30">
        <v>17349</v>
      </c>
      <c r="M7" s="30">
        <v>19123</v>
      </c>
      <c r="N7" s="30">
        <v>18580</v>
      </c>
      <c r="O7" s="30"/>
      <c r="P7" s="30">
        <v>18029</v>
      </c>
      <c r="Q7" s="30">
        <v>16437</v>
      </c>
      <c r="R7" s="30">
        <v>22295</v>
      </c>
      <c r="S7" s="30">
        <v>24394</v>
      </c>
      <c r="T7" s="30">
        <v>28530</v>
      </c>
      <c r="U7" s="30">
        <v>25510</v>
      </c>
      <c r="V7" s="30">
        <v>26808</v>
      </c>
      <c r="W7" s="30">
        <v>22098</v>
      </c>
      <c r="X7" s="30">
        <v>22011</v>
      </c>
      <c r="Y7" s="30">
        <v>25986</v>
      </c>
      <c r="Z7" s="30">
        <v>28830</v>
      </c>
      <c r="AA7" s="30">
        <v>21378</v>
      </c>
      <c r="AB7" s="30">
        <v>24514</v>
      </c>
      <c r="AC7" s="30">
        <v>23357</v>
      </c>
      <c r="AD7" s="30">
        <v>14462</v>
      </c>
      <c r="AE7" s="30">
        <v>25100</v>
      </c>
      <c r="AF7" s="30"/>
      <c r="AG7" s="30"/>
      <c r="AH7" s="30"/>
      <c r="AI7" s="30"/>
    </row>
    <row r="8" spans="1:38" ht="20.100000000000001" customHeight="1" x14ac:dyDescent="0.3">
      <c r="A8" s="283"/>
      <c r="B8" s="280"/>
      <c r="C8" s="22" t="s">
        <v>1</v>
      </c>
      <c r="D8" s="31">
        <v>0</v>
      </c>
      <c r="E8" s="32"/>
      <c r="F8" s="33">
        <v>43</v>
      </c>
      <c r="G8" s="34">
        <v>7380</v>
      </c>
      <c r="H8" s="34">
        <v>8373</v>
      </c>
      <c r="I8" s="34">
        <v>13277</v>
      </c>
      <c r="J8" s="34">
        <v>22558</v>
      </c>
      <c r="K8" s="34">
        <v>15740</v>
      </c>
      <c r="L8" s="34">
        <v>17349</v>
      </c>
      <c r="M8" s="34">
        <v>18652</v>
      </c>
      <c r="N8" s="34">
        <v>18126</v>
      </c>
      <c r="O8" s="34">
        <v>18474</v>
      </c>
      <c r="P8" s="34">
        <v>17226</v>
      </c>
      <c r="Q8" s="34">
        <v>15356</v>
      </c>
      <c r="R8" s="34">
        <v>19810</v>
      </c>
      <c r="S8" s="34">
        <v>24394</v>
      </c>
      <c r="T8" s="34">
        <v>27645</v>
      </c>
      <c r="U8" s="34">
        <v>25823</v>
      </c>
      <c r="V8" s="34">
        <v>23620</v>
      </c>
      <c r="W8" s="34">
        <v>21338</v>
      </c>
      <c r="X8" s="34">
        <v>22121</v>
      </c>
      <c r="Y8" s="34">
        <v>25812</v>
      </c>
      <c r="Z8" s="34">
        <v>29257</v>
      </c>
      <c r="AA8" s="34">
        <v>20054</v>
      </c>
      <c r="AB8" s="34">
        <v>17934</v>
      </c>
      <c r="AC8" s="34">
        <v>23167</v>
      </c>
      <c r="AD8" s="34">
        <v>14023</v>
      </c>
      <c r="AE8" s="34">
        <v>21562</v>
      </c>
      <c r="AF8" s="34"/>
      <c r="AG8" s="34"/>
      <c r="AH8" s="34"/>
      <c r="AI8" s="34"/>
      <c r="AL8" s="6"/>
    </row>
    <row r="9" spans="1:38" ht="20.100000000000001" customHeight="1" thickBot="1" x14ac:dyDescent="0.35">
      <c r="A9" s="284"/>
      <c r="B9" s="281"/>
      <c r="C9" s="23" t="s">
        <v>21</v>
      </c>
      <c r="D9" s="24" t="e">
        <f>(D8-D7)/D8</f>
        <v>#DIV/0!</v>
      </c>
      <c r="E9" s="25" t="e">
        <f>(E8-E7)/E8</f>
        <v>#DIV/0!</v>
      </c>
      <c r="F9" s="25">
        <f>(F8-F7)/F8</f>
        <v>0</v>
      </c>
      <c r="G9" s="26">
        <f t="shared" ref="G9:AI9" si="0">(G8-G7)/G7</f>
        <v>-0.12101000476417341</v>
      </c>
      <c r="H9" s="26">
        <f t="shared" si="0"/>
        <v>7.0964637960067353E-3</v>
      </c>
      <c r="I9" s="26">
        <f t="shared" si="0"/>
        <v>-1.1392405063291139E-2</v>
      </c>
      <c r="J9" s="26">
        <f t="shared" si="0"/>
        <v>-6.167944312274209E-3</v>
      </c>
      <c r="K9" s="45">
        <f t="shared" si="0"/>
        <v>0.15362063910876575</v>
      </c>
      <c r="L9" s="26">
        <f t="shared" si="0"/>
        <v>0</v>
      </c>
      <c r="M9" s="26">
        <f t="shared" si="0"/>
        <v>-2.4630026669455629E-2</v>
      </c>
      <c r="N9" s="26">
        <f t="shared" si="0"/>
        <v>-2.4434876210979548E-2</v>
      </c>
      <c r="O9" s="26" t="e">
        <f t="shared" si="0"/>
        <v>#DIV/0!</v>
      </c>
      <c r="P9" s="45">
        <f t="shared" si="0"/>
        <v>-4.4539353264185476E-2</v>
      </c>
      <c r="Q9" s="26">
        <f t="shared" si="0"/>
        <v>-6.5766259049704928E-2</v>
      </c>
      <c r="R9" s="26">
        <f t="shared" si="0"/>
        <v>-0.11145996860282574</v>
      </c>
      <c r="S9" s="26">
        <f t="shared" si="0"/>
        <v>0</v>
      </c>
      <c r="T9" s="26">
        <f t="shared" si="0"/>
        <v>-3.1019978969505785E-2</v>
      </c>
      <c r="U9" s="26">
        <f t="shared" si="0"/>
        <v>1.226969815758526E-2</v>
      </c>
      <c r="V9" s="26">
        <f t="shared" si="0"/>
        <v>-0.11891972545508803</v>
      </c>
      <c r="W9" s="26">
        <f t="shared" si="0"/>
        <v>-3.4392252692551362E-2</v>
      </c>
      <c r="X9" s="26">
        <f t="shared" si="0"/>
        <v>4.9975012493753126E-3</v>
      </c>
      <c r="Y9" s="26">
        <f t="shared" si="0"/>
        <v>-6.6959131840221659E-3</v>
      </c>
      <c r="Z9" s="26">
        <f t="shared" si="0"/>
        <v>1.4810960804717308E-2</v>
      </c>
      <c r="AA9" s="26">
        <f t="shared" si="0"/>
        <v>-6.1932828141079616E-2</v>
      </c>
      <c r="AB9" s="26">
        <f t="shared" si="0"/>
        <v>-0.26841804683038262</v>
      </c>
      <c r="AC9" s="26">
        <f t="shared" si="0"/>
        <v>-8.1346063278674493E-3</v>
      </c>
      <c r="AD9" s="26">
        <f t="shared" si="0"/>
        <v>-3.0355414188908865E-2</v>
      </c>
      <c r="AE9" s="26">
        <f t="shared" si="0"/>
        <v>-0.14095617529880478</v>
      </c>
      <c r="AF9" s="26" t="e">
        <f t="shared" si="0"/>
        <v>#DIV/0!</v>
      </c>
      <c r="AG9" s="26" t="e">
        <f t="shared" si="0"/>
        <v>#DIV/0!</v>
      </c>
      <c r="AH9" s="26" t="e">
        <f t="shared" si="0"/>
        <v>#DIV/0!</v>
      </c>
      <c r="AI9" s="26" t="e">
        <f t="shared" si="0"/>
        <v>#DIV/0!</v>
      </c>
    </row>
    <row r="10" spans="1:38" ht="20.100000000000001" customHeight="1" x14ac:dyDescent="0.3">
      <c r="A10" s="282" t="s">
        <v>22</v>
      </c>
      <c r="B10" s="279" t="s">
        <v>19</v>
      </c>
      <c r="C10" s="21" t="s">
        <v>20</v>
      </c>
      <c r="D10" s="27">
        <v>0</v>
      </c>
      <c r="E10" s="28">
        <v>5</v>
      </c>
      <c r="F10" s="29">
        <v>1414</v>
      </c>
      <c r="G10" s="30">
        <v>1640</v>
      </c>
      <c r="H10" s="30">
        <v>895</v>
      </c>
      <c r="I10" s="30">
        <v>1432</v>
      </c>
      <c r="J10" s="30">
        <v>2000</v>
      </c>
      <c r="K10" s="30">
        <v>1654</v>
      </c>
      <c r="L10" s="30">
        <v>1283</v>
      </c>
      <c r="M10" s="30">
        <v>1404</v>
      </c>
      <c r="N10" s="30">
        <v>1265</v>
      </c>
      <c r="O10" s="30"/>
      <c r="P10" s="30">
        <v>2545</v>
      </c>
      <c r="Q10" s="30">
        <v>2189</v>
      </c>
      <c r="R10" s="30">
        <v>2115</v>
      </c>
      <c r="S10" s="30">
        <v>1436</v>
      </c>
      <c r="T10" s="30">
        <v>1305</v>
      </c>
      <c r="U10" s="30">
        <v>1652</v>
      </c>
      <c r="V10" s="30">
        <v>1293</v>
      </c>
      <c r="W10" s="30">
        <v>1974</v>
      </c>
      <c r="X10" s="30">
        <v>1769</v>
      </c>
      <c r="Y10" s="30">
        <v>2102</v>
      </c>
      <c r="Z10" s="30">
        <v>2823</v>
      </c>
      <c r="AA10" s="30">
        <v>2320</v>
      </c>
      <c r="AB10" s="30">
        <v>3658</v>
      </c>
      <c r="AC10" s="30">
        <v>2551</v>
      </c>
      <c r="AD10" s="30">
        <v>2215</v>
      </c>
      <c r="AE10" s="30">
        <v>2147</v>
      </c>
      <c r="AF10" s="30"/>
      <c r="AG10" s="30"/>
      <c r="AH10" s="30"/>
      <c r="AI10" s="30"/>
    </row>
    <row r="11" spans="1:38" ht="20.100000000000001" customHeight="1" x14ac:dyDescent="0.3">
      <c r="A11" s="283"/>
      <c r="B11" s="280"/>
      <c r="C11" s="22" t="s">
        <v>1</v>
      </c>
      <c r="D11" s="31">
        <v>0</v>
      </c>
      <c r="E11" s="32"/>
      <c r="F11" s="33">
        <v>5</v>
      </c>
      <c r="G11" s="34">
        <v>1294</v>
      </c>
      <c r="H11" s="34">
        <v>919</v>
      </c>
      <c r="I11" s="34">
        <v>1436</v>
      </c>
      <c r="J11" s="34">
        <v>2000</v>
      </c>
      <c r="K11" s="34">
        <v>1661</v>
      </c>
      <c r="L11" s="34">
        <v>1283</v>
      </c>
      <c r="M11" s="34">
        <v>1404</v>
      </c>
      <c r="N11" s="34">
        <v>1265</v>
      </c>
      <c r="O11" s="34">
        <v>1317</v>
      </c>
      <c r="P11" s="34">
        <v>2543</v>
      </c>
      <c r="Q11" s="34">
        <v>2329</v>
      </c>
      <c r="R11" s="34">
        <v>2118</v>
      </c>
      <c r="S11" s="34">
        <v>1436</v>
      </c>
      <c r="T11" s="34">
        <v>1630</v>
      </c>
      <c r="U11" s="34">
        <v>1288</v>
      </c>
      <c r="V11" s="34">
        <v>991</v>
      </c>
      <c r="W11" s="34">
        <v>1974</v>
      </c>
      <c r="X11" s="34">
        <v>1769</v>
      </c>
      <c r="Y11" s="34">
        <v>2102</v>
      </c>
      <c r="Z11" s="34">
        <v>2788</v>
      </c>
      <c r="AA11" s="34">
        <v>1910</v>
      </c>
      <c r="AB11" s="34">
        <v>3658</v>
      </c>
      <c r="AC11" s="34">
        <v>2542</v>
      </c>
      <c r="AD11" s="34">
        <v>1961</v>
      </c>
      <c r="AE11" s="34">
        <v>2147</v>
      </c>
      <c r="AF11" s="34"/>
      <c r="AG11" s="34"/>
      <c r="AH11" s="34"/>
      <c r="AI11" s="34"/>
    </row>
    <row r="12" spans="1:38" ht="20.100000000000001" customHeight="1" thickBot="1" x14ac:dyDescent="0.35">
      <c r="A12" s="284"/>
      <c r="B12" s="281"/>
      <c r="C12" s="23" t="s">
        <v>21</v>
      </c>
      <c r="D12" s="24" t="e">
        <f>(D11-D10)/D11</f>
        <v>#DIV/0!</v>
      </c>
      <c r="E12" s="25" t="e">
        <f>(E11-E10)/E11</f>
        <v>#DIV/0!</v>
      </c>
      <c r="F12" s="25">
        <f>(F11-F10)/F11</f>
        <v>-281.8</v>
      </c>
      <c r="G12" s="26">
        <f t="shared" ref="G12:AI12" si="1">(G11-G10)/G10</f>
        <v>-0.21097560975609755</v>
      </c>
      <c r="H12" s="26">
        <f t="shared" si="1"/>
        <v>2.6815642458100558E-2</v>
      </c>
      <c r="I12" s="26">
        <f t="shared" si="1"/>
        <v>2.7932960893854749E-3</v>
      </c>
      <c r="J12" s="26">
        <f t="shared" si="1"/>
        <v>0</v>
      </c>
      <c r="K12" s="26">
        <f t="shared" si="1"/>
        <v>4.2321644498186217E-3</v>
      </c>
      <c r="L12" s="45">
        <f t="shared" si="1"/>
        <v>0</v>
      </c>
      <c r="M12" s="45">
        <f t="shared" si="1"/>
        <v>0</v>
      </c>
      <c r="N12" s="26">
        <f t="shared" si="1"/>
        <v>0</v>
      </c>
      <c r="O12" s="26" t="e">
        <f t="shared" si="1"/>
        <v>#DIV/0!</v>
      </c>
      <c r="P12" s="26">
        <f t="shared" si="1"/>
        <v>-7.8585461689587423E-4</v>
      </c>
      <c r="Q12" s="26">
        <f t="shared" si="1"/>
        <v>6.3956144358154415E-2</v>
      </c>
      <c r="R12" s="26">
        <f t="shared" si="1"/>
        <v>1.4184397163120568E-3</v>
      </c>
      <c r="S12" s="26">
        <f t="shared" si="1"/>
        <v>0</v>
      </c>
      <c r="T12" s="26">
        <f t="shared" si="1"/>
        <v>0.24904214559386972</v>
      </c>
      <c r="U12" s="26">
        <f t="shared" si="1"/>
        <v>-0.22033898305084745</v>
      </c>
      <c r="V12" s="26">
        <f t="shared" si="1"/>
        <v>-0.23356535189481825</v>
      </c>
      <c r="W12" s="26">
        <f t="shared" si="1"/>
        <v>0</v>
      </c>
      <c r="X12" s="26">
        <f t="shared" si="1"/>
        <v>0</v>
      </c>
      <c r="Y12" s="26">
        <f t="shared" si="1"/>
        <v>0</v>
      </c>
      <c r="Z12" s="26">
        <f t="shared" si="1"/>
        <v>-1.2398157987956075E-2</v>
      </c>
      <c r="AA12" s="26">
        <f t="shared" si="1"/>
        <v>-0.17672413793103448</v>
      </c>
      <c r="AB12" s="26">
        <f t="shared" si="1"/>
        <v>0</v>
      </c>
      <c r="AC12" s="26">
        <f t="shared" si="1"/>
        <v>-3.5280282242257936E-3</v>
      </c>
      <c r="AD12" s="26">
        <f t="shared" si="1"/>
        <v>-0.1146726862302483</v>
      </c>
      <c r="AE12" s="26">
        <f t="shared" si="1"/>
        <v>0</v>
      </c>
      <c r="AF12" s="26" t="e">
        <f t="shared" si="1"/>
        <v>#DIV/0!</v>
      </c>
      <c r="AG12" s="26" t="e">
        <f t="shared" si="1"/>
        <v>#DIV/0!</v>
      </c>
      <c r="AH12" s="26" t="e">
        <f t="shared" si="1"/>
        <v>#DIV/0!</v>
      </c>
      <c r="AI12" s="26" t="e">
        <f t="shared" si="1"/>
        <v>#DIV/0!</v>
      </c>
    </row>
    <row r="13" spans="1:38" ht="20.100000000000001" customHeight="1" x14ac:dyDescent="0.3">
      <c r="A13" s="282" t="s">
        <v>23</v>
      </c>
      <c r="B13" s="279" t="s">
        <v>19</v>
      </c>
      <c r="C13" s="21" t="s">
        <v>20</v>
      </c>
      <c r="D13" s="27">
        <v>0</v>
      </c>
      <c r="E13" s="28">
        <v>251</v>
      </c>
      <c r="F13" s="29">
        <v>11</v>
      </c>
      <c r="G13" s="30">
        <v>2088</v>
      </c>
      <c r="H13" s="30">
        <v>1071</v>
      </c>
      <c r="I13" s="30">
        <v>2336</v>
      </c>
      <c r="J13" s="30">
        <v>5312</v>
      </c>
      <c r="K13" s="30">
        <v>4274</v>
      </c>
      <c r="L13" s="30">
        <v>6041</v>
      </c>
      <c r="M13" s="30">
        <v>6987</v>
      </c>
      <c r="N13" s="30">
        <v>6243</v>
      </c>
      <c r="O13" s="30"/>
      <c r="P13" s="30">
        <v>5991</v>
      </c>
      <c r="Q13" s="30">
        <v>6083</v>
      </c>
      <c r="R13" s="30">
        <v>16356</v>
      </c>
      <c r="S13" s="30">
        <v>7371</v>
      </c>
      <c r="T13" s="30">
        <v>9924</v>
      </c>
      <c r="U13" s="30">
        <v>6485</v>
      </c>
      <c r="V13" s="30">
        <v>5680</v>
      </c>
      <c r="W13" s="30">
        <v>6739</v>
      </c>
      <c r="X13" s="30">
        <v>8709</v>
      </c>
      <c r="Y13" s="30">
        <v>7803</v>
      </c>
      <c r="Z13" s="30">
        <v>7753</v>
      </c>
      <c r="AA13" s="30">
        <v>5551</v>
      </c>
      <c r="AB13" s="30">
        <v>5968</v>
      </c>
      <c r="AC13" s="30">
        <v>5755</v>
      </c>
      <c r="AD13" s="30">
        <v>4407</v>
      </c>
      <c r="AE13" s="30">
        <v>8337</v>
      </c>
      <c r="AF13" s="30"/>
      <c r="AG13" s="30"/>
      <c r="AH13" s="30"/>
      <c r="AI13" s="30"/>
    </row>
    <row r="14" spans="1:38" ht="20.100000000000001" customHeight="1" x14ac:dyDescent="0.3">
      <c r="A14" s="283"/>
      <c r="B14" s="280"/>
      <c r="C14" s="22" t="s">
        <v>1</v>
      </c>
      <c r="D14" s="31">
        <v>0</v>
      </c>
      <c r="E14" s="32"/>
      <c r="F14" s="33">
        <v>11</v>
      </c>
      <c r="G14" s="34">
        <v>1385</v>
      </c>
      <c r="H14" s="34">
        <v>1151</v>
      </c>
      <c r="I14" s="34">
        <v>2167</v>
      </c>
      <c r="J14" s="34">
        <v>5036</v>
      </c>
      <c r="K14" s="34">
        <v>4648</v>
      </c>
      <c r="L14" s="34">
        <v>6041</v>
      </c>
      <c r="M14" s="34">
        <v>7213</v>
      </c>
      <c r="N14" s="34">
        <v>6743</v>
      </c>
      <c r="O14" s="34">
        <v>4920</v>
      </c>
      <c r="P14" s="34">
        <v>5914</v>
      </c>
      <c r="Q14" s="34">
        <v>6089</v>
      </c>
      <c r="R14" s="34">
        <v>10891</v>
      </c>
      <c r="S14" s="34">
        <v>7371</v>
      </c>
      <c r="T14" s="34">
        <v>6356</v>
      </c>
      <c r="U14" s="34">
        <v>6774</v>
      </c>
      <c r="V14" s="34">
        <v>5886</v>
      </c>
      <c r="W14" s="50">
        <v>9919</v>
      </c>
      <c r="X14" s="34">
        <v>6299</v>
      </c>
      <c r="Y14" s="34">
        <v>7526</v>
      </c>
      <c r="Z14" s="34">
        <v>7661</v>
      </c>
      <c r="AA14" s="34">
        <v>5004</v>
      </c>
      <c r="AB14" s="34">
        <v>4188</v>
      </c>
      <c r="AC14" s="34">
        <v>5688</v>
      </c>
      <c r="AD14" s="34">
        <v>4349</v>
      </c>
      <c r="AE14" s="34">
        <v>7542</v>
      </c>
      <c r="AF14" s="34"/>
      <c r="AG14" s="34"/>
      <c r="AH14" s="34"/>
      <c r="AI14" s="34"/>
    </row>
    <row r="15" spans="1:38" ht="20.100000000000001" customHeight="1" thickBot="1" x14ac:dyDescent="0.35">
      <c r="A15" s="284"/>
      <c r="B15" s="281"/>
      <c r="C15" s="23" t="s">
        <v>21</v>
      </c>
      <c r="D15" s="24" t="e">
        <f>(D14-D13)/D14</f>
        <v>#DIV/0!</v>
      </c>
      <c r="E15" s="25" t="e">
        <f>(E14-E13)/E14</f>
        <v>#DIV/0!</v>
      </c>
      <c r="F15" s="25">
        <f>(F14-F13)/F14</f>
        <v>0</v>
      </c>
      <c r="G15" s="26">
        <f t="shared" ref="G15:AI15" si="2">(G14-G13)/G13</f>
        <v>-0.33668582375478928</v>
      </c>
      <c r="H15" s="26">
        <f t="shared" si="2"/>
        <v>7.4696545284780577E-2</v>
      </c>
      <c r="I15" s="26">
        <f t="shared" si="2"/>
        <v>-7.2345890410958902E-2</v>
      </c>
      <c r="J15" s="26">
        <f t="shared" si="2"/>
        <v>-5.1957831325301206E-2</v>
      </c>
      <c r="K15" s="45">
        <f t="shared" si="2"/>
        <v>8.7505849321478715E-2</v>
      </c>
      <c r="L15" s="45">
        <f t="shared" si="2"/>
        <v>0</v>
      </c>
      <c r="M15" s="45">
        <f t="shared" si="2"/>
        <v>3.2345785029340206E-2</v>
      </c>
      <c r="N15" s="45">
        <f t="shared" si="2"/>
        <v>8.0089700464520269E-2</v>
      </c>
      <c r="O15" s="45" t="e">
        <f t="shared" si="2"/>
        <v>#DIV/0!</v>
      </c>
      <c r="P15" s="45">
        <f t="shared" si="2"/>
        <v>-1.28526122517109E-2</v>
      </c>
      <c r="Q15" s="45">
        <f t="shared" si="2"/>
        <v>9.8635541673516348E-4</v>
      </c>
      <c r="R15" s="45">
        <f t="shared" si="2"/>
        <v>-0.33412814869161162</v>
      </c>
      <c r="S15" s="45">
        <f t="shared" si="2"/>
        <v>0</v>
      </c>
      <c r="T15" s="45">
        <f t="shared" si="2"/>
        <v>-0.35953244659411526</v>
      </c>
      <c r="U15" s="45">
        <f t="shared" si="2"/>
        <v>4.456437933693138E-2</v>
      </c>
      <c r="V15" s="45">
        <f t="shared" si="2"/>
        <v>3.6267605633802817E-2</v>
      </c>
      <c r="W15" s="45">
        <f t="shared" si="2"/>
        <v>0.47188010090517879</v>
      </c>
      <c r="X15" s="45">
        <f t="shared" si="2"/>
        <v>-0.27672522677689748</v>
      </c>
      <c r="Y15" s="45">
        <f t="shared" si="2"/>
        <v>-3.5499166987056262E-2</v>
      </c>
      <c r="Z15" s="45">
        <f t="shared" si="2"/>
        <v>-1.186637430671998E-2</v>
      </c>
      <c r="AA15" s="45">
        <f t="shared" si="2"/>
        <v>-9.8540803458836243E-2</v>
      </c>
      <c r="AB15" s="45">
        <f t="shared" si="2"/>
        <v>-0.29825737265415547</v>
      </c>
      <c r="AC15" s="45">
        <f t="shared" si="2"/>
        <v>-1.1642050390964378E-2</v>
      </c>
      <c r="AD15" s="45">
        <f t="shared" si="2"/>
        <v>-1.3160880417517586E-2</v>
      </c>
      <c r="AE15" s="45">
        <f t="shared" si="2"/>
        <v>-9.5358042461317016E-2</v>
      </c>
      <c r="AF15" s="45" t="e">
        <f t="shared" si="2"/>
        <v>#DIV/0!</v>
      </c>
      <c r="AG15" s="45" t="e">
        <f t="shared" si="2"/>
        <v>#DIV/0!</v>
      </c>
      <c r="AH15" s="45" t="e">
        <f t="shared" si="2"/>
        <v>#DIV/0!</v>
      </c>
      <c r="AI15" s="45" t="e">
        <f t="shared" si="2"/>
        <v>#DIV/0!</v>
      </c>
    </row>
    <row r="16" spans="1:38" ht="20.100000000000001" customHeight="1" x14ac:dyDescent="0.3">
      <c r="A16" s="282" t="s">
        <v>24</v>
      </c>
      <c r="B16" s="279" t="s">
        <v>19</v>
      </c>
      <c r="C16" s="21" t="s">
        <v>20</v>
      </c>
      <c r="D16" s="27"/>
      <c r="E16" s="28"/>
      <c r="F16" s="29"/>
      <c r="G16" s="30"/>
      <c r="H16" s="30">
        <v>0</v>
      </c>
      <c r="I16" s="30">
        <v>46</v>
      </c>
      <c r="J16" s="44">
        <v>280</v>
      </c>
      <c r="K16" s="44">
        <v>1485</v>
      </c>
      <c r="L16" s="44">
        <v>3192</v>
      </c>
      <c r="M16" s="44">
        <v>3178</v>
      </c>
      <c r="N16" s="44">
        <v>3642</v>
      </c>
      <c r="O16" s="44"/>
      <c r="P16" s="44">
        <v>2734</v>
      </c>
      <c r="Q16" s="44">
        <v>2519</v>
      </c>
      <c r="R16" s="44">
        <v>10223</v>
      </c>
      <c r="S16" s="44">
        <v>2740</v>
      </c>
      <c r="T16" s="44">
        <v>4120</v>
      </c>
      <c r="U16" s="44">
        <v>20</v>
      </c>
      <c r="V16" s="44">
        <v>0</v>
      </c>
      <c r="W16" s="44">
        <v>80</v>
      </c>
      <c r="X16" s="44">
        <v>0</v>
      </c>
      <c r="Y16" s="44">
        <v>60</v>
      </c>
      <c r="Z16" s="44">
        <v>120</v>
      </c>
      <c r="AA16" s="44">
        <v>40</v>
      </c>
      <c r="AB16" s="44">
        <v>80</v>
      </c>
      <c r="AC16" s="44">
        <v>120</v>
      </c>
      <c r="AD16" s="44">
        <v>60</v>
      </c>
      <c r="AE16" s="44">
        <v>60</v>
      </c>
      <c r="AF16" s="44"/>
      <c r="AG16" s="44"/>
      <c r="AH16" s="44"/>
      <c r="AI16" s="44"/>
    </row>
    <row r="17" spans="1:35" ht="20.100000000000001" customHeight="1" x14ac:dyDescent="0.3">
      <c r="A17" s="283"/>
      <c r="B17" s="280"/>
      <c r="C17" s="22" t="s">
        <v>1</v>
      </c>
      <c r="D17" s="35"/>
      <c r="E17" s="36"/>
      <c r="F17" s="36"/>
      <c r="G17" s="42">
        <v>0</v>
      </c>
      <c r="H17" s="42">
        <v>0</v>
      </c>
      <c r="I17" s="43">
        <v>60</v>
      </c>
      <c r="J17" s="43">
        <v>300</v>
      </c>
      <c r="K17" s="43">
        <v>780</v>
      </c>
      <c r="L17" s="43">
        <v>3240</v>
      </c>
      <c r="M17" s="43">
        <v>3040</v>
      </c>
      <c r="N17" s="43">
        <v>3620</v>
      </c>
      <c r="O17" s="43">
        <v>2380</v>
      </c>
      <c r="P17" s="43">
        <v>2720</v>
      </c>
      <c r="Q17" s="43">
        <v>2620</v>
      </c>
      <c r="R17" s="43">
        <v>3300</v>
      </c>
      <c r="S17" s="43">
        <v>2740</v>
      </c>
      <c r="T17" s="43">
        <v>20</v>
      </c>
      <c r="U17" s="43">
        <v>0</v>
      </c>
      <c r="V17" s="43">
        <v>220</v>
      </c>
      <c r="W17" s="51">
        <v>3800</v>
      </c>
      <c r="X17" s="43">
        <v>3860</v>
      </c>
      <c r="Y17" s="34">
        <v>120</v>
      </c>
      <c r="Z17" s="34">
        <v>120</v>
      </c>
      <c r="AA17" s="34">
        <v>40</v>
      </c>
      <c r="AB17" s="34">
        <v>100</v>
      </c>
      <c r="AC17" s="34">
        <v>40</v>
      </c>
      <c r="AD17" s="34">
        <v>60</v>
      </c>
      <c r="AE17" s="34">
        <v>40</v>
      </c>
      <c r="AF17" s="34"/>
      <c r="AG17" s="34"/>
      <c r="AH17" s="34"/>
      <c r="AI17" s="34"/>
    </row>
    <row r="18" spans="1:35" ht="20.100000000000001" customHeight="1" thickBot="1" x14ac:dyDescent="0.35">
      <c r="A18" s="284"/>
      <c r="B18" s="281"/>
      <c r="C18" s="23" t="s">
        <v>21</v>
      </c>
      <c r="D18" s="24" t="e">
        <f>(D17-D16)/D17</f>
        <v>#DIV/0!</v>
      </c>
      <c r="E18" s="25" t="e">
        <f>(E17-E16)/E17</f>
        <v>#DIV/0!</v>
      </c>
      <c r="F18" s="25" t="e">
        <f>(F17-F16)/F17</f>
        <v>#DIV/0!</v>
      </c>
      <c r="G18" s="26" t="e">
        <f t="shared" ref="G18:AI18" si="3">(G17-G16)/G16</f>
        <v>#DIV/0!</v>
      </c>
      <c r="H18" s="26" t="e">
        <f t="shared" si="3"/>
        <v>#DIV/0!</v>
      </c>
      <c r="I18" s="26">
        <f t="shared" si="3"/>
        <v>0.30434782608695654</v>
      </c>
      <c r="J18" s="26">
        <f t="shared" si="3"/>
        <v>7.1428571428571425E-2</v>
      </c>
      <c r="K18" s="45">
        <f t="shared" si="3"/>
        <v>-0.47474747474747475</v>
      </c>
      <c r="L18" s="26">
        <f t="shared" si="3"/>
        <v>1.5037593984962405E-2</v>
      </c>
      <c r="M18" s="45">
        <f t="shared" si="3"/>
        <v>-4.3423536815607303E-2</v>
      </c>
      <c r="N18" s="45">
        <f t="shared" si="3"/>
        <v>-6.0406370126304225E-3</v>
      </c>
      <c r="O18" s="45" t="e">
        <f t="shared" si="3"/>
        <v>#DIV/0!</v>
      </c>
      <c r="P18" s="45">
        <f t="shared" si="3"/>
        <v>-5.1207022677395757E-3</v>
      </c>
      <c r="Q18" s="45">
        <f t="shared" si="3"/>
        <v>4.0095275903136163E-2</v>
      </c>
      <c r="R18" s="45">
        <f t="shared" si="3"/>
        <v>-0.67719847402915001</v>
      </c>
      <c r="S18" s="45">
        <f t="shared" si="3"/>
        <v>0</v>
      </c>
      <c r="T18" s="45">
        <f t="shared" si="3"/>
        <v>-0.99514563106796117</v>
      </c>
      <c r="U18" s="45">
        <f t="shared" si="3"/>
        <v>-1</v>
      </c>
      <c r="V18" s="45" t="e">
        <f t="shared" si="3"/>
        <v>#DIV/0!</v>
      </c>
      <c r="W18" s="45">
        <f t="shared" si="3"/>
        <v>46.5</v>
      </c>
      <c r="X18" s="45" t="e">
        <f t="shared" si="3"/>
        <v>#DIV/0!</v>
      </c>
      <c r="Y18" s="45">
        <f t="shared" si="3"/>
        <v>1</v>
      </c>
      <c r="Z18" s="45">
        <f t="shared" si="3"/>
        <v>0</v>
      </c>
      <c r="AA18" s="45">
        <f t="shared" si="3"/>
        <v>0</v>
      </c>
      <c r="AB18" s="45">
        <f t="shared" si="3"/>
        <v>0.25</v>
      </c>
      <c r="AC18" s="45">
        <f t="shared" si="3"/>
        <v>-0.66666666666666663</v>
      </c>
      <c r="AD18" s="45">
        <f t="shared" si="3"/>
        <v>0</v>
      </c>
      <c r="AE18" s="45">
        <f t="shared" si="3"/>
        <v>-0.33333333333333331</v>
      </c>
      <c r="AF18" s="45" t="e">
        <f t="shared" si="3"/>
        <v>#DIV/0!</v>
      </c>
      <c r="AG18" s="45" t="e">
        <f t="shared" si="3"/>
        <v>#DIV/0!</v>
      </c>
      <c r="AH18" s="45" t="e">
        <f t="shared" si="3"/>
        <v>#DIV/0!</v>
      </c>
      <c r="AI18" s="45" t="e">
        <f t="shared" si="3"/>
        <v>#DIV/0!</v>
      </c>
    </row>
    <row r="19" spans="1:35" ht="20.100000000000001" customHeight="1" x14ac:dyDescent="0.3">
      <c r="A19" s="282" t="s">
        <v>25</v>
      </c>
      <c r="B19" s="279" t="s">
        <v>19</v>
      </c>
      <c r="C19" s="21" t="s">
        <v>20</v>
      </c>
      <c r="D19" s="27"/>
      <c r="E19" s="28"/>
      <c r="F19" s="29"/>
      <c r="G19" s="30"/>
      <c r="H19" s="30">
        <v>0</v>
      </c>
      <c r="I19" s="30">
        <v>46</v>
      </c>
      <c r="J19" s="44">
        <v>280</v>
      </c>
      <c r="K19" s="44">
        <v>1485</v>
      </c>
      <c r="L19" s="44">
        <v>3192</v>
      </c>
      <c r="M19" s="44">
        <v>3178</v>
      </c>
      <c r="N19" s="44">
        <v>3642</v>
      </c>
      <c r="O19" s="44"/>
      <c r="P19" s="44">
        <v>0</v>
      </c>
      <c r="Q19" s="44">
        <v>0</v>
      </c>
      <c r="R19" s="44">
        <v>14</v>
      </c>
      <c r="S19" s="44">
        <v>693</v>
      </c>
      <c r="T19" s="44">
        <v>5257</v>
      </c>
      <c r="U19" s="44">
        <v>3952</v>
      </c>
      <c r="V19" s="44">
        <v>3432</v>
      </c>
      <c r="W19" s="44">
        <v>3185</v>
      </c>
      <c r="X19" s="44">
        <v>3356</v>
      </c>
      <c r="Y19" s="44">
        <v>4026</v>
      </c>
      <c r="Z19" s="44">
        <v>5032</v>
      </c>
      <c r="AA19" s="44">
        <v>2977</v>
      </c>
      <c r="AB19" s="44">
        <v>3481</v>
      </c>
      <c r="AC19" s="44">
        <v>3263</v>
      </c>
      <c r="AD19" s="44">
        <v>236</v>
      </c>
      <c r="AE19" s="44">
        <v>41</v>
      </c>
      <c r="AF19" s="44"/>
      <c r="AG19" s="44"/>
      <c r="AH19" s="44"/>
      <c r="AI19" s="44"/>
    </row>
    <row r="20" spans="1:35" ht="20.100000000000001" customHeight="1" x14ac:dyDescent="0.3">
      <c r="A20" s="283"/>
      <c r="B20" s="280"/>
      <c r="C20" s="22" t="s">
        <v>1</v>
      </c>
      <c r="D20" s="35"/>
      <c r="E20" s="36"/>
      <c r="F20" s="36"/>
      <c r="G20" s="42">
        <v>0</v>
      </c>
      <c r="H20" s="42">
        <v>0</v>
      </c>
      <c r="I20" s="43">
        <v>60</v>
      </c>
      <c r="J20" s="43">
        <v>300</v>
      </c>
      <c r="K20" s="43">
        <v>780</v>
      </c>
      <c r="L20" s="43">
        <v>3240</v>
      </c>
      <c r="M20" s="43">
        <v>3040</v>
      </c>
      <c r="N20" s="43">
        <v>3620</v>
      </c>
      <c r="O20" s="43">
        <v>0</v>
      </c>
      <c r="P20" s="43">
        <v>0</v>
      </c>
      <c r="Q20" s="43">
        <v>0</v>
      </c>
      <c r="R20" s="43">
        <v>52</v>
      </c>
      <c r="S20" s="43">
        <v>693</v>
      </c>
      <c r="T20" s="43">
        <v>3997</v>
      </c>
      <c r="U20" s="43">
        <v>3879</v>
      </c>
      <c r="V20" s="43">
        <v>3457</v>
      </c>
      <c r="W20" s="43">
        <v>3195</v>
      </c>
      <c r="X20" s="43">
        <v>3336</v>
      </c>
      <c r="Y20" s="34">
        <v>3816</v>
      </c>
      <c r="Z20" s="34">
        <v>5188</v>
      </c>
      <c r="AA20" s="34">
        <v>2723</v>
      </c>
      <c r="AB20" s="34">
        <v>3261</v>
      </c>
      <c r="AC20" s="34">
        <v>3630</v>
      </c>
      <c r="AD20" s="34">
        <v>113</v>
      </c>
      <c r="AE20" s="34">
        <v>917</v>
      </c>
      <c r="AF20" s="34"/>
      <c r="AG20" s="34"/>
      <c r="AH20" s="34"/>
      <c r="AI20" s="34"/>
    </row>
    <row r="21" spans="1:35" ht="20.100000000000001" customHeight="1" thickBot="1" x14ac:dyDescent="0.35">
      <c r="A21" s="284"/>
      <c r="B21" s="281"/>
      <c r="C21" s="23" t="s">
        <v>21</v>
      </c>
      <c r="D21" s="24" t="e">
        <f>(D20-D19)/D20</f>
        <v>#DIV/0!</v>
      </c>
      <c r="E21" s="25" t="e">
        <f>(E20-E19)/E20</f>
        <v>#DIV/0!</v>
      </c>
      <c r="F21" s="25" t="e">
        <f>(F20-F19)/F20</f>
        <v>#DIV/0!</v>
      </c>
      <c r="G21" s="26" t="e">
        <f t="shared" ref="G21:AI21" si="4">(G20-G19)/G19</f>
        <v>#DIV/0!</v>
      </c>
      <c r="H21" s="26" t="e">
        <f t="shared" si="4"/>
        <v>#DIV/0!</v>
      </c>
      <c r="I21" s="26">
        <f t="shared" si="4"/>
        <v>0.30434782608695654</v>
      </c>
      <c r="J21" s="26">
        <f t="shared" si="4"/>
        <v>7.1428571428571425E-2</v>
      </c>
      <c r="K21" s="45">
        <f t="shared" si="4"/>
        <v>-0.47474747474747475</v>
      </c>
      <c r="L21" s="26">
        <f t="shared" si="4"/>
        <v>1.5037593984962405E-2</v>
      </c>
      <c r="M21" s="45">
        <f t="shared" si="4"/>
        <v>-4.3423536815607303E-2</v>
      </c>
      <c r="N21" s="45">
        <f t="shared" si="4"/>
        <v>-6.0406370126304225E-3</v>
      </c>
      <c r="O21" s="45" t="e">
        <f t="shared" si="4"/>
        <v>#DIV/0!</v>
      </c>
      <c r="P21" s="45" t="e">
        <f t="shared" si="4"/>
        <v>#DIV/0!</v>
      </c>
      <c r="Q21" s="45" t="e">
        <f t="shared" si="4"/>
        <v>#DIV/0!</v>
      </c>
      <c r="R21" s="45">
        <f t="shared" si="4"/>
        <v>2.7142857142857144</v>
      </c>
      <c r="S21" s="45">
        <f t="shared" si="4"/>
        <v>0</v>
      </c>
      <c r="T21" s="45">
        <f t="shared" si="4"/>
        <v>-0.23968042609853529</v>
      </c>
      <c r="U21" s="45">
        <f t="shared" si="4"/>
        <v>-1.8471659919028341E-2</v>
      </c>
      <c r="V21" s="45">
        <f t="shared" si="4"/>
        <v>7.2843822843822841E-3</v>
      </c>
      <c r="W21" s="45">
        <f t="shared" si="4"/>
        <v>3.1397174254317113E-3</v>
      </c>
      <c r="X21" s="45">
        <f t="shared" si="4"/>
        <v>-5.9594755661501785E-3</v>
      </c>
      <c r="Y21" s="45">
        <f t="shared" si="4"/>
        <v>-5.216095380029806E-2</v>
      </c>
      <c r="Z21" s="45">
        <f t="shared" si="4"/>
        <v>3.1001589825119236E-2</v>
      </c>
      <c r="AA21" s="45">
        <f t="shared" si="4"/>
        <v>-8.5320792744373528E-2</v>
      </c>
      <c r="AB21" s="45">
        <f t="shared" si="4"/>
        <v>-6.3200229819017517E-2</v>
      </c>
      <c r="AC21" s="45">
        <f t="shared" si="4"/>
        <v>0.11247318418633159</v>
      </c>
      <c r="AD21" s="45">
        <f t="shared" si="4"/>
        <v>-0.52118644067796616</v>
      </c>
      <c r="AE21" s="45">
        <f t="shared" si="4"/>
        <v>21.365853658536587</v>
      </c>
      <c r="AF21" s="45" t="e">
        <f t="shared" si="4"/>
        <v>#DIV/0!</v>
      </c>
      <c r="AG21" s="45" t="e">
        <f t="shared" si="4"/>
        <v>#DIV/0!</v>
      </c>
      <c r="AH21" s="45" t="e">
        <f t="shared" si="4"/>
        <v>#DIV/0!</v>
      </c>
      <c r="AI21" s="45" t="e">
        <f t="shared" si="4"/>
        <v>#DIV/0!</v>
      </c>
    </row>
    <row r="22" spans="1:35" ht="20.100000000000001" customHeight="1" x14ac:dyDescent="0.3">
      <c r="A22" s="282" t="s">
        <v>26</v>
      </c>
      <c r="B22" s="279" t="s">
        <v>19</v>
      </c>
      <c r="C22" s="21" t="s">
        <v>20</v>
      </c>
      <c r="D22" s="27"/>
      <c r="E22" s="28"/>
      <c r="F22" s="29"/>
      <c r="G22" s="30"/>
      <c r="H22" s="30">
        <v>0</v>
      </c>
      <c r="I22" s="30">
        <v>46</v>
      </c>
      <c r="J22" s="44">
        <v>280</v>
      </c>
      <c r="K22" s="44">
        <v>1485</v>
      </c>
      <c r="L22" s="44">
        <v>3192</v>
      </c>
      <c r="M22" s="44">
        <v>3178</v>
      </c>
      <c r="N22" s="44">
        <v>3642</v>
      </c>
      <c r="O22" s="44"/>
      <c r="P22" s="44">
        <v>0</v>
      </c>
      <c r="Q22" s="44">
        <v>0</v>
      </c>
      <c r="R22" s="44">
        <v>522</v>
      </c>
      <c r="S22" s="44">
        <v>5278</v>
      </c>
      <c r="T22" s="44">
        <v>5486</v>
      </c>
      <c r="U22" s="44">
        <v>5003</v>
      </c>
      <c r="V22" s="44">
        <v>5576</v>
      </c>
      <c r="W22" s="44">
        <v>4873</v>
      </c>
      <c r="X22" s="44">
        <v>5183</v>
      </c>
      <c r="Y22" s="44">
        <v>5285</v>
      </c>
      <c r="Z22" s="44">
        <v>5945</v>
      </c>
      <c r="AA22" s="44">
        <v>5274</v>
      </c>
      <c r="AB22" s="44">
        <v>4756</v>
      </c>
      <c r="AC22" s="44">
        <v>4894</v>
      </c>
      <c r="AD22" s="44">
        <v>2703</v>
      </c>
      <c r="AE22" s="44">
        <v>28</v>
      </c>
      <c r="AF22" s="44"/>
      <c r="AG22" s="44"/>
      <c r="AH22" s="44"/>
      <c r="AI22" s="44"/>
    </row>
    <row r="23" spans="1:35" ht="20.100000000000001" customHeight="1" x14ac:dyDescent="0.3">
      <c r="A23" s="283"/>
      <c r="B23" s="280"/>
      <c r="C23" s="22" t="s">
        <v>1</v>
      </c>
      <c r="D23" s="35"/>
      <c r="E23" s="36"/>
      <c r="F23" s="36"/>
      <c r="G23" s="42">
        <v>0</v>
      </c>
      <c r="H23" s="42">
        <v>0</v>
      </c>
      <c r="I23" s="43">
        <v>60</v>
      </c>
      <c r="J23" s="43">
        <v>300</v>
      </c>
      <c r="K23" s="43">
        <v>780</v>
      </c>
      <c r="L23" s="43">
        <v>3240</v>
      </c>
      <c r="M23" s="43">
        <v>3040</v>
      </c>
      <c r="N23" s="43">
        <v>3620</v>
      </c>
      <c r="O23" s="43">
        <v>0</v>
      </c>
      <c r="P23" s="43">
        <v>0</v>
      </c>
      <c r="Q23" s="43">
        <v>0</v>
      </c>
      <c r="R23" s="43">
        <v>925</v>
      </c>
      <c r="S23" s="43">
        <v>5278</v>
      </c>
      <c r="T23" s="43">
        <v>5679</v>
      </c>
      <c r="U23" s="43">
        <v>5653</v>
      </c>
      <c r="V23" s="43">
        <v>3997</v>
      </c>
      <c r="W23" s="43">
        <v>4653</v>
      </c>
      <c r="X23" s="43">
        <v>5243</v>
      </c>
      <c r="Y23" s="34">
        <v>5145</v>
      </c>
      <c r="Z23" s="34">
        <v>5853</v>
      </c>
      <c r="AA23" s="34">
        <v>4678</v>
      </c>
      <c r="AB23" s="34">
        <v>3816</v>
      </c>
      <c r="AC23" s="34">
        <v>4520</v>
      </c>
      <c r="AD23" s="34">
        <v>1336</v>
      </c>
      <c r="AE23" s="34">
        <v>586</v>
      </c>
      <c r="AF23" s="34"/>
      <c r="AG23" s="34"/>
      <c r="AH23" s="34"/>
      <c r="AI23" s="34"/>
    </row>
    <row r="24" spans="1:35" ht="20.100000000000001" customHeight="1" thickBot="1" x14ac:dyDescent="0.35">
      <c r="A24" s="284"/>
      <c r="B24" s="281"/>
      <c r="C24" s="23" t="s">
        <v>21</v>
      </c>
      <c r="D24" s="24" t="e">
        <f>(D23-D22)/D23</f>
        <v>#DIV/0!</v>
      </c>
      <c r="E24" s="25" t="e">
        <f>(E23-E22)/E23</f>
        <v>#DIV/0!</v>
      </c>
      <c r="F24" s="25" t="e">
        <f>(F23-F22)/F23</f>
        <v>#DIV/0!</v>
      </c>
      <c r="G24" s="26" t="e">
        <f t="shared" ref="G24:AI24" si="5">(G23-G22)/G22</f>
        <v>#DIV/0!</v>
      </c>
      <c r="H24" s="26" t="e">
        <f t="shared" si="5"/>
        <v>#DIV/0!</v>
      </c>
      <c r="I24" s="26">
        <f t="shared" si="5"/>
        <v>0.30434782608695654</v>
      </c>
      <c r="J24" s="26">
        <f t="shared" si="5"/>
        <v>7.1428571428571425E-2</v>
      </c>
      <c r="K24" s="45">
        <f t="shared" si="5"/>
        <v>-0.47474747474747475</v>
      </c>
      <c r="L24" s="26">
        <f t="shared" si="5"/>
        <v>1.5037593984962405E-2</v>
      </c>
      <c r="M24" s="45">
        <f t="shared" si="5"/>
        <v>-4.3423536815607303E-2</v>
      </c>
      <c r="N24" s="45">
        <f t="shared" si="5"/>
        <v>-6.0406370126304225E-3</v>
      </c>
      <c r="O24" s="45" t="e">
        <f t="shared" si="5"/>
        <v>#DIV/0!</v>
      </c>
      <c r="P24" s="45" t="e">
        <f t="shared" si="5"/>
        <v>#DIV/0!</v>
      </c>
      <c r="Q24" s="45" t="e">
        <f t="shared" si="5"/>
        <v>#DIV/0!</v>
      </c>
      <c r="R24" s="45">
        <f t="shared" si="5"/>
        <v>0.77203065134099613</v>
      </c>
      <c r="S24" s="45">
        <f t="shared" si="5"/>
        <v>0</v>
      </c>
      <c r="T24" s="45">
        <f t="shared" si="5"/>
        <v>3.5180459351075465E-2</v>
      </c>
      <c r="U24" s="45">
        <f t="shared" si="5"/>
        <v>0.12992204677193683</v>
      </c>
      <c r="V24" s="45">
        <f t="shared" si="5"/>
        <v>-0.28317790530846487</v>
      </c>
      <c r="W24" s="45">
        <f t="shared" si="5"/>
        <v>-4.5146726862302484E-2</v>
      </c>
      <c r="X24" s="45">
        <f t="shared" si="5"/>
        <v>1.1576307158016592E-2</v>
      </c>
      <c r="Y24" s="45">
        <f t="shared" si="5"/>
        <v>-2.6490066225165563E-2</v>
      </c>
      <c r="Z24" s="45">
        <f t="shared" si="5"/>
        <v>-1.5475189234650967E-2</v>
      </c>
      <c r="AA24" s="45">
        <f t="shared" si="5"/>
        <v>-0.11300720515737581</v>
      </c>
      <c r="AB24" s="45">
        <f t="shared" si="5"/>
        <v>-0.19764507989907484</v>
      </c>
      <c r="AC24" s="45">
        <f t="shared" si="5"/>
        <v>-7.6420106252554146E-2</v>
      </c>
      <c r="AD24" s="45">
        <f t="shared" si="5"/>
        <v>-0.50573436921938586</v>
      </c>
      <c r="AE24" s="45">
        <f t="shared" si="5"/>
        <v>19.928571428571427</v>
      </c>
      <c r="AF24" s="45" t="e">
        <f t="shared" si="5"/>
        <v>#DIV/0!</v>
      </c>
      <c r="AG24" s="45" t="e">
        <f t="shared" si="5"/>
        <v>#DIV/0!</v>
      </c>
      <c r="AH24" s="45" t="e">
        <f t="shared" si="5"/>
        <v>#DIV/0!</v>
      </c>
      <c r="AI24" s="45" t="e">
        <f t="shared" si="5"/>
        <v>#DIV/0!</v>
      </c>
    </row>
    <row r="25" spans="1:35" ht="20.100000000000001" customHeight="1" x14ac:dyDescent="0.3">
      <c r="A25" s="282" t="s">
        <v>27</v>
      </c>
      <c r="B25" s="279" t="s">
        <v>19</v>
      </c>
      <c r="C25" s="21" t="s">
        <v>20</v>
      </c>
      <c r="D25" s="27"/>
      <c r="E25" s="28"/>
      <c r="F25" s="29"/>
      <c r="G25" s="30"/>
      <c r="H25" s="30">
        <v>0</v>
      </c>
      <c r="I25" s="30">
        <v>46</v>
      </c>
      <c r="J25" s="44">
        <v>280</v>
      </c>
      <c r="K25" s="44">
        <v>1485</v>
      </c>
      <c r="L25" s="44">
        <v>3192</v>
      </c>
      <c r="M25" s="44">
        <v>3178</v>
      </c>
      <c r="N25" s="44">
        <v>3642</v>
      </c>
      <c r="O25" s="44"/>
      <c r="P25" s="44">
        <v>0</v>
      </c>
      <c r="Q25" s="44">
        <v>0</v>
      </c>
      <c r="R25" s="44">
        <v>474</v>
      </c>
      <c r="S25" s="44">
        <v>1127</v>
      </c>
      <c r="T25" s="44">
        <v>3372</v>
      </c>
      <c r="U25" s="44">
        <v>2452</v>
      </c>
      <c r="V25" s="44">
        <v>1884</v>
      </c>
      <c r="W25" s="44">
        <v>2064</v>
      </c>
      <c r="X25" s="44">
        <v>2373</v>
      </c>
      <c r="Y25" s="44">
        <v>3161</v>
      </c>
      <c r="Z25" s="44">
        <v>3144</v>
      </c>
      <c r="AA25" s="44">
        <v>2126</v>
      </c>
      <c r="AB25" s="44">
        <v>2451</v>
      </c>
      <c r="AC25" s="44">
        <v>2386</v>
      </c>
      <c r="AD25" s="44">
        <v>224</v>
      </c>
      <c r="AE25" s="44">
        <v>0</v>
      </c>
      <c r="AF25" s="44"/>
      <c r="AG25" s="44"/>
      <c r="AH25" s="44"/>
      <c r="AI25" s="44"/>
    </row>
    <row r="26" spans="1:35" ht="20.100000000000001" customHeight="1" x14ac:dyDescent="0.3">
      <c r="A26" s="283"/>
      <c r="B26" s="280"/>
      <c r="C26" s="22" t="s">
        <v>1</v>
      </c>
      <c r="D26" s="35"/>
      <c r="E26" s="36"/>
      <c r="F26" s="36"/>
      <c r="G26" s="42">
        <v>0</v>
      </c>
      <c r="H26" s="42">
        <v>0</v>
      </c>
      <c r="I26" s="43">
        <v>60</v>
      </c>
      <c r="J26" s="43">
        <v>300</v>
      </c>
      <c r="K26" s="43">
        <v>780</v>
      </c>
      <c r="L26" s="43">
        <v>3240</v>
      </c>
      <c r="M26" s="43">
        <v>3040</v>
      </c>
      <c r="N26" s="43">
        <v>3620</v>
      </c>
      <c r="O26" s="43">
        <v>0</v>
      </c>
      <c r="P26" s="43">
        <v>0</v>
      </c>
      <c r="Q26" s="43">
        <v>0</v>
      </c>
      <c r="R26" s="43">
        <v>492</v>
      </c>
      <c r="S26" s="43">
        <v>1127</v>
      </c>
      <c r="T26" s="43">
        <v>2848</v>
      </c>
      <c r="U26" s="43">
        <v>2544</v>
      </c>
      <c r="V26" s="43">
        <v>2137</v>
      </c>
      <c r="W26" s="43">
        <v>1944</v>
      </c>
      <c r="X26" s="43">
        <v>2143</v>
      </c>
      <c r="Y26" s="34">
        <v>3071</v>
      </c>
      <c r="Z26" s="34">
        <v>3240</v>
      </c>
      <c r="AA26" s="34">
        <v>1963</v>
      </c>
      <c r="AB26" s="34">
        <v>2251</v>
      </c>
      <c r="AC26" s="34">
        <v>2245</v>
      </c>
      <c r="AD26" s="34">
        <v>82</v>
      </c>
      <c r="AE26" s="34">
        <v>0</v>
      </c>
      <c r="AF26" s="34"/>
      <c r="AG26" s="34"/>
      <c r="AH26" s="34"/>
      <c r="AI26" s="34"/>
    </row>
    <row r="27" spans="1:35" ht="20.100000000000001" customHeight="1" thickBot="1" x14ac:dyDescent="0.35">
      <c r="A27" s="284"/>
      <c r="B27" s="281"/>
      <c r="C27" s="23" t="s">
        <v>21</v>
      </c>
      <c r="D27" s="24" t="e">
        <f>(D26-D25)/D26</f>
        <v>#DIV/0!</v>
      </c>
      <c r="E27" s="25" t="e">
        <f>(E26-E25)/E26</f>
        <v>#DIV/0!</v>
      </c>
      <c r="F27" s="25" t="e">
        <f>(F26-F25)/F26</f>
        <v>#DIV/0!</v>
      </c>
      <c r="G27" s="26" t="e">
        <f t="shared" ref="G27:AI27" si="6">(G26-G25)/G25</f>
        <v>#DIV/0!</v>
      </c>
      <c r="H27" s="26" t="e">
        <f t="shared" si="6"/>
        <v>#DIV/0!</v>
      </c>
      <c r="I27" s="26">
        <f t="shared" si="6"/>
        <v>0.30434782608695654</v>
      </c>
      <c r="J27" s="26">
        <f t="shared" si="6"/>
        <v>7.1428571428571425E-2</v>
      </c>
      <c r="K27" s="45">
        <f t="shared" si="6"/>
        <v>-0.47474747474747475</v>
      </c>
      <c r="L27" s="26">
        <f t="shared" si="6"/>
        <v>1.5037593984962405E-2</v>
      </c>
      <c r="M27" s="45">
        <f t="shared" si="6"/>
        <v>-4.3423536815607303E-2</v>
      </c>
      <c r="N27" s="45">
        <f t="shared" si="6"/>
        <v>-6.0406370126304225E-3</v>
      </c>
      <c r="O27" s="45" t="e">
        <f t="shared" si="6"/>
        <v>#DIV/0!</v>
      </c>
      <c r="P27" s="45" t="e">
        <f t="shared" si="6"/>
        <v>#DIV/0!</v>
      </c>
      <c r="Q27" s="45" t="e">
        <f t="shared" si="6"/>
        <v>#DIV/0!</v>
      </c>
      <c r="R27" s="45">
        <f t="shared" si="6"/>
        <v>3.7974683544303799E-2</v>
      </c>
      <c r="S27" s="45">
        <f t="shared" si="6"/>
        <v>0</v>
      </c>
      <c r="T27" s="45">
        <f t="shared" si="6"/>
        <v>-0.15539739027283511</v>
      </c>
      <c r="U27" s="45">
        <f t="shared" si="6"/>
        <v>3.7520391517128875E-2</v>
      </c>
      <c r="V27" s="45">
        <f t="shared" si="6"/>
        <v>0.13428874734607218</v>
      </c>
      <c r="W27" s="45">
        <f t="shared" si="6"/>
        <v>-5.8139534883720929E-2</v>
      </c>
      <c r="X27" s="45">
        <f t="shared" si="6"/>
        <v>-9.6923725242309314E-2</v>
      </c>
      <c r="Y27" s="45">
        <f t="shared" si="6"/>
        <v>-2.847200253084467E-2</v>
      </c>
      <c r="Z27" s="45">
        <f t="shared" si="6"/>
        <v>3.0534351145038167E-2</v>
      </c>
      <c r="AA27" s="45">
        <f t="shared" si="6"/>
        <v>-7.6669802445907806E-2</v>
      </c>
      <c r="AB27" s="45">
        <f t="shared" si="6"/>
        <v>-8.1599347205222356E-2</v>
      </c>
      <c r="AC27" s="45">
        <f t="shared" si="6"/>
        <v>-5.9094719195305949E-2</v>
      </c>
      <c r="AD27" s="45">
        <f t="shared" si="6"/>
        <v>-0.6339285714285714</v>
      </c>
      <c r="AE27" s="45" t="e">
        <f t="shared" si="6"/>
        <v>#DIV/0!</v>
      </c>
      <c r="AF27" s="45" t="e">
        <f t="shared" si="6"/>
        <v>#DIV/0!</v>
      </c>
      <c r="AG27" s="45" t="e">
        <f t="shared" si="6"/>
        <v>#DIV/0!</v>
      </c>
      <c r="AH27" s="45" t="e">
        <f t="shared" si="6"/>
        <v>#DIV/0!</v>
      </c>
      <c r="AI27" s="45" t="e">
        <f t="shared" si="6"/>
        <v>#DIV/0!</v>
      </c>
    </row>
    <row r="28" spans="1:35" ht="20.100000000000001" customHeight="1" x14ac:dyDescent="0.3">
      <c r="A28" s="282" t="s">
        <v>28</v>
      </c>
      <c r="B28" s="279" t="s">
        <v>19</v>
      </c>
      <c r="C28" s="21" t="s">
        <v>20</v>
      </c>
      <c r="D28" s="27"/>
      <c r="E28" s="28"/>
      <c r="F28" s="29"/>
      <c r="G28" s="30"/>
      <c r="H28" s="30">
        <v>0</v>
      </c>
      <c r="I28" s="30">
        <v>46</v>
      </c>
      <c r="J28" s="44">
        <v>280</v>
      </c>
      <c r="K28" s="44">
        <v>1485</v>
      </c>
      <c r="L28" s="44">
        <v>3192</v>
      </c>
      <c r="M28" s="44">
        <v>3178</v>
      </c>
      <c r="N28" s="44">
        <v>3642</v>
      </c>
      <c r="O28" s="44"/>
      <c r="P28" s="44">
        <v>0</v>
      </c>
      <c r="Q28" s="44">
        <v>0</v>
      </c>
      <c r="R28" s="44">
        <v>527</v>
      </c>
      <c r="S28" s="44">
        <v>551</v>
      </c>
      <c r="T28" s="44">
        <v>1101</v>
      </c>
      <c r="U28" s="44">
        <v>1288</v>
      </c>
      <c r="V28" s="44">
        <v>1214</v>
      </c>
      <c r="W28" s="44">
        <v>989</v>
      </c>
      <c r="X28" s="44">
        <v>793</v>
      </c>
      <c r="Y28" s="44">
        <v>1041</v>
      </c>
      <c r="Z28" s="44">
        <v>1137</v>
      </c>
      <c r="AA28" s="44">
        <v>1006</v>
      </c>
      <c r="AB28" s="44">
        <v>1008</v>
      </c>
      <c r="AC28" s="44">
        <v>1008</v>
      </c>
      <c r="AD28" s="44">
        <v>1262</v>
      </c>
      <c r="AE28" s="44">
        <v>2026</v>
      </c>
      <c r="AF28" s="44"/>
      <c r="AG28" s="44"/>
      <c r="AH28" s="44"/>
      <c r="AI28" s="44"/>
    </row>
    <row r="29" spans="1:35" ht="20.100000000000001" customHeight="1" x14ac:dyDescent="0.3">
      <c r="A29" s="283"/>
      <c r="B29" s="280"/>
      <c r="C29" s="22" t="s">
        <v>1</v>
      </c>
      <c r="D29" s="35"/>
      <c r="E29" s="36"/>
      <c r="F29" s="36"/>
      <c r="G29" s="42">
        <v>0</v>
      </c>
      <c r="H29" s="42">
        <v>0</v>
      </c>
      <c r="I29" s="43">
        <v>60</v>
      </c>
      <c r="J29" s="43">
        <v>300</v>
      </c>
      <c r="K29" s="43">
        <v>780</v>
      </c>
      <c r="L29" s="43">
        <v>3240</v>
      </c>
      <c r="M29" s="43">
        <v>3040</v>
      </c>
      <c r="N29" s="43">
        <v>3620</v>
      </c>
      <c r="O29" s="43">
        <v>0</v>
      </c>
      <c r="P29" s="43">
        <v>0</v>
      </c>
      <c r="Q29" s="43">
        <v>0</v>
      </c>
      <c r="R29" s="43">
        <v>546</v>
      </c>
      <c r="S29" s="43">
        <v>551</v>
      </c>
      <c r="T29" s="43">
        <v>852</v>
      </c>
      <c r="U29" s="43">
        <v>1399</v>
      </c>
      <c r="V29" s="43">
        <v>1154</v>
      </c>
      <c r="W29" s="43">
        <v>569</v>
      </c>
      <c r="X29" s="43">
        <v>834</v>
      </c>
      <c r="Y29" s="34">
        <v>999</v>
      </c>
      <c r="Z29" s="34">
        <v>1220</v>
      </c>
      <c r="AA29" s="34">
        <v>882</v>
      </c>
      <c r="AB29" s="34">
        <v>798</v>
      </c>
      <c r="AC29" s="34">
        <v>1134</v>
      </c>
      <c r="AD29" s="34">
        <v>1178</v>
      </c>
      <c r="AE29" s="34">
        <v>2110</v>
      </c>
      <c r="AF29" s="34"/>
      <c r="AG29" s="34"/>
      <c r="AH29" s="34"/>
      <c r="AI29" s="34"/>
    </row>
    <row r="30" spans="1:35" ht="20.100000000000001" customHeight="1" thickBot="1" x14ac:dyDescent="0.35">
      <c r="A30" s="284"/>
      <c r="B30" s="281"/>
      <c r="C30" s="23" t="s">
        <v>21</v>
      </c>
      <c r="D30" s="24" t="e">
        <f>(D29-D28)/D29</f>
        <v>#DIV/0!</v>
      </c>
      <c r="E30" s="25" t="e">
        <f>(E29-E28)/E29</f>
        <v>#DIV/0!</v>
      </c>
      <c r="F30" s="25" t="e">
        <f>(F29-F28)/F29</f>
        <v>#DIV/0!</v>
      </c>
      <c r="G30" s="26" t="e">
        <f t="shared" ref="G30:AI30" si="7">(G29-G28)/G28</f>
        <v>#DIV/0!</v>
      </c>
      <c r="H30" s="26" t="e">
        <f t="shared" si="7"/>
        <v>#DIV/0!</v>
      </c>
      <c r="I30" s="26">
        <f t="shared" si="7"/>
        <v>0.30434782608695654</v>
      </c>
      <c r="J30" s="26">
        <f t="shared" si="7"/>
        <v>7.1428571428571425E-2</v>
      </c>
      <c r="K30" s="45">
        <f t="shared" si="7"/>
        <v>-0.47474747474747475</v>
      </c>
      <c r="L30" s="26">
        <f t="shared" si="7"/>
        <v>1.5037593984962405E-2</v>
      </c>
      <c r="M30" s="45">
        <f t="shared" si="7"/>
        <v>-4.3423536815607303E-2</v>
      </c>
      <c r="N30" s="45">
        <f t="shared" si="7"/>
        <v>-6.0406370126304225E-3</v>
      </c>
      <c r="O30" s="45" t="e">
        <f t="shared" si="7"/>
        <v>#DIV/0!</v>
      </c>
      <c r="P30" s="45" t="e">
        <f t="shared" si="7"/>
        <v>#DIV/0!</v>
      </c>
      <c r="Q30" s="45" t="e">
        <f t="shared" si="7"/>
        <v>#DIV/0!</v>
      </c>
      <c r="R30" s="45">
        <f t="shared" si="7"/>
        <v>3.6053130929791274E-2</v>
      </c>
      <c r="S30" s="45">
        <f t="shared" si="7"/>
        <v>0</v>
      </c>
      <c r="T30" s="45">
        <f t="shared" si="7"/>
        <v>-0.22615803814713897</v>
      </c>
      <c r="U30" s="45">
        <f t="shared" si="7"/>
        <v>8.6180124223602481E-2</v>
      </c>
      <c r="V30" s="45">
        <f t="shared" si="7"/>
        <v>-4.9423393739703461E-2</v>
      </c>
      <c r="W30" s="45">
        <f t="shared" si="7"/>
        <v>-0.42467138523761377</v>
      </c>
      <c r="X30" s="45">
        <f t="shared" si="7"/>
        <v>5.1702395964691047E-2</v>
      </c>
      <c r="Y30" s="45">
        <f t="shared" si="7"/>
        <v>-4.0345821325648415E-2</v>
      </c>
      <c r="Z30" s="45">
        <f t="shared" si="7"/>
        <v>7.2999120492524189E-2</v>
      </c>
      <c r="AA30" s="45">
        <f t="shared" si="7"/>
        <v>-0.12326043737574553</v>
      </c>
      <c r="AB30" s="45">
        <f t="shared" si="7"/>
        <v>-0.20833333333333334</v>
      </c>
      <c r="AC30" s="45">
        <f t="shared" si="7"/>
        <v>0.125</v>
      </c>
      <c r="AD30" s="45">
        <f t="shared" si="7"/>
        <v>-6.6561014263074481E-2</v>
      </c>
      <c r="AE30" s="45">
        <f t="shared" si="7"/>
        <v>4.1461006910167818E-2</v>
      </c>
      <c r="AF30" s="45" t="e">
        <f t="shared" si="7"/>
        <v>#DIV/0!</v>
      </c>
      <c r="AG30" s="45" t="e">
        <f t="shared" si="7"/>
        <v>#DIV/0!</v>
      </c>
      <c r="AH30" s="45" t="e">
        <f t="shared" si="7"/>
        <v>#DIV/0!</v>
      </c>
      <c r="AI30" s="45" t="e">
        <f t="shared" si="7"/>
        <v>#DIV/0!</v>
      </c>
    </row>
    <row r="31" spans="1:35" ht="20.100000000000001" customHeight="1" x14ac:dyDescent="0.3">
      <c r="A31" s="282" t="s">
        <v>29</v>
      </c>
      <c r="B31" s="279" t="s">
        <v>30</v>
      </c>
      <c r="C31" s="21" t="s">
        <v>20</v>
      </c>
      <c r="W31" s="44"/>
      <c r="X31" s="44">
        <v>0</v>
      </c>
      <c r="Y31" s="44">
        <v>500</v>
      </c>
      <c r="Z31" s="44">
        <v>378</v>
      </c>
      <c r="AA31" s="44">
        <v>0</v>
      </c>
      <c r="AB31" s="44">
        <v>0</v>
      </c>
      <c r="AC31" s="44">
        <v>320</v>
      </c>
      <c r="AD31" s="44">
        <v>0</v>
      </c>
      <c r="AE31" s="44">
        <v>240</v>
      </c>
      <c r="AF31" s="44"/>
      <c r="AG31" s="44"/>
      <c r="AH31" s="44"/>
      <c r="AI31" s="44"/>
    </row>
    <row r="32" spans="1:35" ht="20.100000000000001" customHeight="1" x14ac:dyDescent="0.3">
      <c r="A32" s="283"/>
      <c r="B32" s="280"/>
      <c r="C32" s="22" t="s">
        <v>1</v>
      </c>
      <c r="W32" s="43">
        <v>0</v>
      </c>
      <c r="X32" s="43">
        <v>0</v>
      </c>
      <c r="Y32" s="34">
        <v>500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100</v>
      </c>
      <c r="AF32" s="34"/>
      <c r="AG32" s="34"/>
      <c r="AH32" s="34"/>
      <c r="AI32" s="34"/>
    </row>
    <row r="33" spans="1:35" ht="20.100000000000001" customHeight="1" thickBot="1" x14ac:dyDescent="0.35">
      <c r="A33" s="284"/>
      <c r="B33" s="281"/>
      <c r="C33" s="23" t="s">
        <v>21</v>
      </c>
      <c r="W33" s="45" t="e">
        <f t="shared" ref="W33:AI33" si="8">(W32-W31)/W31</f>
        <v>#DIV/0!</v>
      </c>
      <c r="X33" s="45" t="e">
        <f t="shared" si="8"/>
        <v>#DIV/0!</v>
      </c>
      <c r="Y33" s="45">
        <f t="shared" si="8"/>
        <v>0</v>
      </c>
      <c r="Z33" s="45">
        <f t="shared" si="8"/>
        <v>-1</v>
      </c>
      <c r="AA33" s="45" t="e">
        <f t="shared" si="8"/>
        <v>#DIV/0!</v>
      </c>
      <c r="AB33" s="45" t="e">
        <f t="shared" si="8"/>
        <v>#DIV/0!</v>
      </c>
      <c r="AC33" s="45">
        <f t="shared" si="8"/>
        <v>-1</v>
      </c>
      <c r="AD33" s="45" t="e">
        <f t="shared" si="8"/>
        <v>#DIV/0!</v>
      </c>
      <c r="AE33" s="45">
        <f t="shared" si="8"/>
        <v>-0.58333333333333337</v>
      </c>
      <c r="AF33" s="45" t="e">
        <f t="shared" si="8"/>
        <v>#DIV/0!</v>
      </c>
      <c r="AG33" s="45" t="e">
        <f t="shared" si="8"/>
        <v>#DIV/0!</v>
      </c>
      <c r="AH33" s="45" t="e">
        <f t="shared" si="8"/>
        <v>#DIV/0!</v>
      </c>
      <c r="AI33" s="45" t="e">
        <f t="shared" si="8"/>
        <v>#DIV/0!</v>
      </c>
    </row>
    <row r="34" spans="1:35" ht="20.100000000000001" customHeight="1" x14ac:dyDescent="0.3">
      <c r="A34" s="282" t="s">
        <v>31</v>
      </c>
      <c r="B34" s="279" t="s">
        <v>30</v>
      </c>
      <c r="C34" s="21" t="s">
        <v>20</v>
      </c>
      <c r="W34" s="44"/>
      <c r="X34" s="44">
        <v>0</v>
      </c>
      <c r="Y34" s="44">
        <v>1760</v>
      </c>
      <c r="Z34" s="44">
        <v>1700</v>
      </c>
      <c r="AA34" s="44">
        <v>2800</v>
      </c>
      <c r="AB34" s="44">
        <v>2800</v>
      </c>
      <c r="AC34" s="44">
        <v>3200</v>
      </c>
      <c r="AD34" s="44">
        <v>2780</v>
      </c>
      <c r="AE34" s="44">
        <v>900</v>
      </c>
      <c r="AF34" s="44"/>
      <c r="AG34" s="44"/>
      <c r="AH34" s="44"/>
      <c r="AI34" s="44"/>
    </row>
    <row r="35" spans="1:35" ht="20.100000000000001" customHeight="1" x14ac:dyDescent="0.3">
      <c r="A35" s="283"/>
      <c r="B35" s="280"/>
      <c r="C35" s="22" t="s">
        <v>1</v>
      </c>
      <c r="W35" s="43">
        <v>0</v>
      </c>
      <c r="X35" s="43">
        <v>0</v>
      </c>
      <c r="Y35" s="34">
        <v>400</v>
      </c>
      <c r="Z35" s="34">
        <v>1700</v>
      </c>
      <c r="AA35" s="34">
        <v>2800</v>
      </c>
      <c r="AB35" s="34">
        <v>2800</v>
      </c>
      <c r="AC35" s="34">
        <v>3200</v>
      </c>
      <c r="AD35" s="34">
        <v>2780</v>
      </c>
      <c r="AE35" s="34">
        <v>1580</v>
      </c>
      <c r="AF35" s="34"/>
      <c r="AG35" s="34"/>
      <c r="AH35" s="34"/>
      <c r="AI35" s="34"/>
    </row>
    <row r="36" spans="1:35" ht="20.100000000000001" customHeight="1" thickBot="1" x14ac:dyDescent="0.35">
      <c r="A36" s="284"/>
      <c r="B36" s="281"/>
      <c r="C36" s="23" t="s">
        <v>21</v>
      </c>
      <c r="W36" s="45" t="e">
        <f t="shared" ref="W36:AI36" si="9">(W35-W34)/W34</f>
        <v>#DIV/0!</v>
      </c>
      <c r="X36" s="45" t="e">
        <f t="shared" si="9"/>
        <v>#DIV/0!</v>
      </c>
      <c r="Y36" s="45">
        <f t="shared" si="9"/>
        <v>-0.77272727272727271</v>
      </c>
      <c r="Z36" s="45">
        <f t="shared" si="9"/>
        <v>0</v>
      </c>
      <c r="AA36" s="45">
        <f t="shared" si="9"/>
        <v>0</v>
      </c>
      <c r="AB36" s="45">
        <f t="shared" si="9"/>
        <v>0</v>
      </c>
      <c r="AC36" s="45">
        <f t="shared" si="9"/>
        <v>0</v>
      </c>
      <c r="AD36" s="45">
        <f t="shared" si="9"/>
        <v>0</v>
      </c>
      <c r="AE36" s="45">
        <f t="shared" si="9"/>
        <v>0.75555555555555554</v>
      </c>
      <c r="AF36" s="45" t="e">
        <f t="shared" si="9"/>
        <v>#DIV/0!</v>
      </c>
      <c r="AG36" s="45" t="e">
        <f t="shared" si="9"/>
        <v>#DIV/0!</v>
      </c>
      <c r="AH36" s="45" t="e">
        <f t="shared" si="9"/>
        <v>#DIV/0!</v>
      </c>
      <c r="AI36" s="45" t="e">
        <f t="shared" si="9"/>
        <v>#DIV/0!</v>
      </c>
    </row>
    <row r="37" spans="1:35" ht="20.100000000000001" customHeight="1" x14ac:dyDescent="0.3">
      <c r="A37" s="282" t="s">
        <v>32</v>
      </c>
      <c r="B37" s="279" t="s">
        <v>30</v>
      </c>
      <c r="C37" s="21" t="s">
        <v>20</v>
      </c>
      <c r="W37" s="44"/>
      <c r="X37" s="44">
        <v>0</v>
      </c>
      <c r="Y37" s="44">
        <v>3260</v>
      </c>
      <c r="Z37" s="44">
        <v>2580</v>
      </c>
      <c r="AA37" s="44">
        <v>3160</v>
      </c>
      <c r="AB37" s="44">
        <v>4620</v>
      </c>
      <c r="AC37" s="44">
        <v>3760</v>
      </c>
      <c r="AD37" s="44">
        <v>3460</v>
      </c>
      <c r="AE37" s="44">
        <v>3600</v>
      </c>
      <c r="AF37" s="44"/>
      <c r="AG37" s="44"/>
      <c r="AH37" s="44"/>
      <c r="AI37" s="44"/>
    </row>
    <row r="38" spans="1:35" ht="20.100000000000001" customHeight="1" x14ac:dyDescent="0.3">
      <c r="A38" s="283"/>
      <c r="B38" s="280"/>
      <c r="C38" s="22" t="s">
        <v>1</v>
      </c>
      <c r="W38" s="43">
        <v>0</v>
      </c>
      <c r="X38" s="43">
        <v>0</v>
      </c>
      <c r="Y38" s="34">
        <v>1260</v>
      </c>
      <c r="Z38" s="34">
        <v>2640</v>
      </c>
      <c r="AA38" s="34">
        <v>3180</v>
      </c>
      <c r="AB38" s="34">
        <v>4120</v>
      </c>
      <c r="AC38" s="34">
        <v>3740</v>
      </c>
      <c r="AD38" s="34">
        <v>4400</v>
      </c>
      <c r="AE38" s="34">
        <v>0</v>
      </c>
      <c r="AF38" s="34"/>
      <c r="AG38" s="34"/>
      <c r="AH38" s="34"/>
      <c r="AI38" s="34"/>
    </row>
    <row r="39" spans="1:35" ht="20.100000000000001" customHeight="1" thickBot="1" x14ac:dyDescent="0.35">
      <c r="A39" s="284"/>
      <c r="B39" s="281"/>
      <c r="C39" s="23" t="s">
        <v>21</v>
      </c>
      <c r="W39" s="45" t="e">
        <f t="shared" ref="W39:AI39" si="10">(W38-W37)/W37</f>
        <v>#DIV/0!</v>
      </c>
      <c r="X39" s="45" t="e">
        <f t="shared" si="10"/>
        <v>#DIV/0!</v>
      </c>
      <c r="Y39" s="45">
        <f t="shared" si="10"/>
        <v>-0.61349693251533743</v>
      </c>
      <c r="Z39" s="45">
        <f t="shared" si="10"/>
        <v>2.3255813953488372E-2</v>
      </c>
      <c r="AA39" s="45">
        <f t="shared" si="10"/>
        <v>6.3291139240506328E-3</v>
      </c>
      <c r="AB39" s="45">
        <f t="shared" si="10"/>
        <v>-0.10822510822510822</v>
      </c>
      <c r="AC39" s="45">
        <f t="shared" si="10"/>
        <v>-5.3191489361702126E-3</v>
      </c>
      <c r="AD39" s="45">
        <f t="shared" si="10"/>
        <v>0.27167630057803466</v>
      </c>
      <c r="AE39" s="45">
        <f t="shared" si="10"/>
        <v>-1</v>
      </c>
      <c r="AF39" s="45" t="e">
        <f t="shared" si="10"/>
        <v>#DIV/0!</v>
      </c>
      <c r="AG39" s="45" t="e">
        <f t="shared" si="10"/>
        <v>#DIV/0!</v>
      </c>
      <c r="AH39" s="45" t="e">
        <f t="shared" si="10"/>
        <v>#DIV/0!</v>
      </c>
      <c r="AI39" s="45" t="e">
        <f t="shared" si="10"/>
        <v>#DIV/0!</v>
      </c>
    </row>
    <row r="40" spans="1:35" ht="20.100000000000001" customHeight="1" x14ac:dyDescent="0.3">
      <c r="A40" s="282" t="s">
        <v>33</v>
      </c>
      <c r="B40" s="279" t="s">
        <v>34</v>
      </c>
      <c r="C40" s="21" t="s">
        <v>20</v>
      </c>
      <c r="D40" s="27"/>
      <c r="E40" s="28"/>
      <c r="F40" s="29"/>
      <c r="G40" s="30"/>
      <c r="H40" s="30"/>
      <c r="I40" s="30"/>
      <c r="J40" s="44"/>
      <c r="K40" s="44"/>
      <c r="L40" s="44"/>
      <c r="M40" s="44"/>
      <c r="N40" s="44"/>
      <c r="O40" s="44"/>
      <c r="P40" s="44"/>
      <c r="Q40" s="44"/>
      <c r="R40" s="44"/>
      <c r="S40" s="44">
        <v>0</v>
      </c>
      <c r="T40" s="44">
        <v>0</v>
      </c>
      <c r="U40" s="44">
        <v>0</v>
      </c>
      <c r="V40" s="44">
        <v>0</v>
      </c>
      <c r="W40" s="44">
        <v>1908</v>
      </c>
      <c r="X40" s="44">
        <v>1044</v>
      </c>
      <c r="Y40" s="44">
        <v>1476</v>
      </c>
      <c r="Z40" s="44">
        <v>1332</v>
      </c>
      <c r="AA40" s="44">
        <v>1152</v>
      </c>
      <c r="AB40" s="44">
        <v>1620</v>
      </c>
      <c r="AC40" s="44">
        <v>1404</v>
      </c>
      <c r="AD40" s="44">
        <v>3168</v>
      </c>
      <c r="AE40" s="44">
        <v>4320</v>
      </c>
      <c r="AF40" s="44"/>
      <c r="AG40" s="44"/>
      <c r="AH40" s="44"/>
      <c r="AI40" s="44"/>
    </row>
    <row r="41" spans="1:35" ht="20.100000000000001" customHeight="1" x14ac:dyDescent="0.3">
      <c r="A41" s="283"/>
      <c r="B41" s="280"/>
      <c r="C41" s="22" t="s">
        <v>1</v>
      </c>
      <c r="D41" s="35"/>
      <c r="E41" s="36"/>
      <c r="F41" s="36"/>
      <c r="G41" s="42"/>
      <c r="H41" s="42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>
        <v>0</v>
      </c>
      <c r="T41" s="43">
        <v>0</v>
      </c>
      <c r="U41" s="43">
        <v>0</v>
      </c>
      <c r="V41" s="43">
        <v>0</v>
      </c>
      <c r="W41" s="43">
        <v>576</v>
      </c>
      <c r="X41" s="43">
        <v>1080</v>
      </c>
      <c r="Y41" s="34">
        <v>1404</v>
      </c>
      <c r="Z41" s="34">
        <v>1908</v>
      </c>
      <c r="AA41" s="34">
        <v>2088</v>
      </c>
      <c r="AB41" s="34">
        <v>2304</v>
      </c>
      <c r="AC41" s="34">
        <v>1728</v>
      </c>
      <c r="AD41" s="34">
        <v>6444</v>
      </c>
      <c r="AE41" s="34">
        <v>936</v>
      </c>
      <c r="AF41" s="34"/>
      <c r="AG41" s="34"/>
      <c r="AH41" s="34"/>
      <c r="AI41" s="34"/>
    </row>
    <row r="42" spans="1:35" ht="20.100000000000001" customHeight="1" thickBot="1" x14ac:dyDescent="0.35">
      <c r="A42" s="284"/>
      <c r="B42" s="281"/>
      <c r="C42" s="23" t="s">
        <v>21</v>
      </c>
      <c r="D42" s="24" t="e">
        <f>(D41-D40)/D41</f>
        <v>#DIV/0!</v>
      </c>
      <c r="E42" s="25" t="e">
        <f>(E41-E40)/E41</f>
        <v>#DIV/0!</v>
      </c>
      <c r="F42" s="25" t="e">
        <f>(F41-F40)/F41</f>
        <v>#DIV/0!</v>
      </c>
      <c r="G42" s="26" t="e">
        <f t="shared" ref="G42:AI42" si="11">(G41-G40)/G40</f>
        <v>#DIV/0!</v>
      </c>
      <c r="H42" s="26" t="e">
        <f t="shared" si="11"/>
        <v>#DIV/0!</v>
      </c>
      <c r="I42" s="26" t="e">
        <f t="shared" si="11"/>
        <v>#DIV/0!</v>
      </c>
      <c r="J42" s="26" t="e">
        <f t="shared" si="11"/>
        <v>#DIV/0!</v>
      </c>
      <c r="K42" s="45" t="e">
        <f t="shared" si="11"/>
        <v>#DIV/0!</v>
      </c>
      <c r="L42" s="26" t="e">
        <f t="shared" si="11"/>
        <v>#DIV/0!</v>
      </c>
      <c r="M42" s="45" t="e">
        <f t="shared" si="11"/>
        <v>#DIV/0!</v>
      </c>
      <c r="N42" s="45" t="e">
        <f t="shared" si="11"/>
        <v>#DIV/0!</v>
      </c>
      <c r="O42" s="45" t="e">
        <f t="shared" si="11"/>
        <v>#DIV/0!</v>
      </c>
      <c r="P42" s="45" t="e">
        <f t="shared" si="11"/>
        <v>#DIV/0!</v>
      </c>
      <c r="Q42" s="45" t="e">
        <f t="shared" si="11"/>
        <v>#DIV/0!</v>
      </c>
      <c r="R42" s="45" t="e">
        <f t="shared" si="11"/>
        <v>#DIV/0!</v>
      </c>
      <c r="S42" s="45" t="e">
        <f t="shared" si="11"/>
        <v>#DIV/0!</v>
      </c>
      <c r="T42" s="45" t="e">
        <f t="shared" si="11"/>
        <v>#DIV/0!</v>
      </c>
      <c r="U42" s="45" t="e">
        <f t="shared" si="11"/>
        <v>#DIV/0!</v>
      </c>
      <c r="V42" s="45" t="e">
        <f t="shared" si="11"/>
        <v>#DIV/0!</v>
      </c>
      <c r="W42" s="45">
        <f t="shared" si="11"/>
        <v>-0.69811320754716977</v>
      </c>
      <c r="X42" s="45">
        <f t="shared" si="11"/>
        <v>3.4482758620689655E-2</v>
      </c>
      <c r="Y42" s="45">
        <f t="shared" si="11"/>
        <v>-4.878048780487805E-2</v>
      </c>
      <c r="Z42" s="45">
        <f t="shared" si="11"/>
        <v>0.43243243243243246</v>
      </c>
      <c r="AA42" s="45">
        <f t="shared" si="11"/>
        <v>0.8125</v>
      </c>
      <c r="AB42" s="45">
        <f t="shared" si="11"/>
        <v>0.42222222222222222</v>
      </c>
      <c r="AC42" s="45">
        <f t="shared" si="11"/>
        <v>0.23076923076923078</v>
      </c>
      <c r="AD42" s="45">
        <f t="shared" si="11"/>
        <v>1.0340909090909092</v>
      </c>
      <c r="AE42" s="45">
        <f t="shared" si="11"/>
        <v>-0.78333333333333333</v>
      </c>
      <c r="AF42" s="45" t="e">
        <f t="shared" si="11"/>
        <v>#DIV/0!</v>
      </c>
      <c r="AG42" s="45" t="e">
        <f t="shared" si="11"/>
        <v>#DIV/0!</v>
      </c>
      <c r="AH42" s="45" t="e">
        <f t="shared" si="11"/>
        <v>#DIV/0!</v>
      </c>
      <c r="AI42" s="45" t="e">
        <f t="shared" si="11"/>
        <v>#DIV/0!</v>
      </c>
    </row>
    <row r="43" spans="1:35" ht="20.100000000000001" customHeight="1" x14ac:dyDescent="0.3">
      <c r="A43" s="282" t="s">
        <v>35</v>
      </c>
      <c r="B43" s="279" t="s">
        <v>34</v>
      </c>
      <c r="C43" s="21" t="s">
        <v>20</v>
      </c>
      <c r="D43" s="27"/>
      <c r="E43" s="28"/>
      <c r="F43" s="29"/>
      <c r="G43" s="30"/>
      <c r="H43" s="30"/>
      <c r="I43" s="30"/>
      <c r="J43" s="44"/>
      <c r="K43" s="44"/>
      <c r="L43" s="44"/>
      <c r="M43" s="44"/>
      <c r="N43" s="44"/>
      <c r="O43" s="44"/>
      <c r="P43" s="44"/>
      <c r="Q43" s="44"/>
      <c r="R43" s="44"/>
      <c r="S43" s="44">
        <v>0</v>
      </c>
      <c r="T43" s="44">
        <v>0</v>
      </c>
      <c r="U43" s="44">
        <v>0</v>
      </c>
      <c r="V43" s="44">
        <v>0</v>
      </c>
      <c r="W43" s="44">
        <v>5510</v>
      </c>
      <c r="X43" s="44">
        <v>4970</v>
      </c>
      <c r="Y43" s="44">
        <v>5710</v>
      </c>
      <c r="Z43" s="44">
        <v>6160</v>
      </c>
      <c r="AA43" s="44">
        <v>3680</v>
      </c>
      <c r="AB43" s="44">
        <v>4790</v>
      </c>
      <c r="AC43" s="44">
        <v>4940</v>
      </c>
      <c r="AD43" s="44">
        <v>7050</v>
      </c>
      <c r="AE43" s="44">
        <v>8840</v>
      </c>
      <c r="AF43" s="44"/>
      <c r="AG43" s="44"/>
      <c r="AH43" s="44"/>
      <c r="AI43" s="44"/>
    </row>
    <row r="44" spans="1:35" ht="20.100000000000001" customHeight="1" x14ac:dyDescent="0.3">
      <c r="A44" s="283"/>
      <c r="B44" s="280"/>
      <c r="C44" s="22" t="s">
        <v>1</v>
      </c>
      <c r="D44" s="35"/>
      <c r="E44" s="36"/>
      <c r="F44" s="36"/>
      <c r="G44" s="42"/>
      <c r="H44" s="42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>
        <v>0</v>
      </c>
      <c r="T44" s="43">
        <v>0</v>
      </c>
      <c r="U44" s="43">
        <v>0</v>
      </c>
      <c r="V44" s="43">
        <v>0</v>
      </c>
      <c r="W44" s="43">
        <v>4050</v>
      </c>
      <c r="X44" s="43">
        <v>5000</v>
      </c>
      <c r="Y44" s="34">
        <v>5720</v>
      </c>
      <c r="Z44" s="34">
        <v>6110</v>
      </c>
      <c r="AA44" s="34">
        <v>4870</v>
      </c>
      <c r="AB44" s="34">
        <v>4860</v>
      </c>
      <c r="AC44" s="34">
        <v>4850</v>
      </c>
      <c r="AD44" s="34">
        <v>10330</v>
      </c>
      <c r="AE44" s="34">
        <v>5380</v>
      </c>
      <c r="AF44" s="34"/>
      <c r="AG44" s="34"/>
      <c r="AH44" s="34"/>
      <c r="AI44" s="34"/>
    </row>
    <row r="45" spans="1:35" ht="20.100000000000001" customHeight="1" thickBot="1" x14ac:dyDescent="0.35">
      <c r="A45" s="284"/>
      <c r="B45" s="281"/>
      <c r="C45" s="23" t="s">
        <v>21</v>
      </c>
      <c r="D45" s="24" t="e">
        <f>(D44-D43)/D44</f>
        <v>#DIV/0!</v>
      </c>
      <c r="E45" s="25" t="e">
        <f>(E44-E43)/E44</f>
        <v>#DIV/0!</v>
      </c>
      <c r="F45" s="25" t="e">
        <f>(F44-F43)/F44</f>
        <v>#DIV/0!</v>
      </c>
      <c r="G45" s="26" t="e">
        <f t="shared" ref="G45:AI45" si="12">(G44-G43)/G43</f>
        <v>#DIV/0!</v>
      </c>
      <c r="H45" s="26" t="e">
        <f t="shared" si="12"/>
        <v>#DIV/0!</v>
      </c>
      <c r="I45" s="26" t="e">
        <f t="shared" si="12"/>
        <v>#DIV/0!</v>
      </c>
      <c r="J45" s="26" t="e">
        <f t="shared" si="12"/>
        <v>#DIV/0!</v>
      </c>
      <c r="K45" s="45" t="e">
        <f t="shared" si="12"/>
        <v>#DIV/0!</v>
      </c>
      <c r="L45" s="26" t="e">
        <f t="shared" si="12"/>
        <v>#DIV/0!</v>
      </c>
      <c r="M45" s="45" t="e">
        <f t="shared" si="12"/>
        <v>#DIV/0!</v>
      </c>
      <c r="N45" s="45" t="e">
        <f t="shared" si="12"/>
        <v>#DIV/0!</v>
      </c>
      <c r="O45" s="45" t="e">
        <f t="shared" si="12"/>
        <v>#DIV/0!</v>
      </c>
      <c r="P45" s="45" t="e">
        <f t="shared" si="12"/>
        <v>#DIV/0!</v>
      </c>
      <c r="Q45" s="45" t="e">
        <f t="shared" si="12"/>
        <v>#DIV/0!</v>
      </c>
      <c r="R45" s="45" t="e">
        <f t="shared" si="12"/>
        <v>#DIV/0!</v>
      </c>
      <c r="S45" s="45" t="e">
        <f t="shared" si="12"/>
        <v>#DIV/0!</v>
      </c>
      <c r="T45" s="45" t="e">
        <f t="shared" si="12"/>
        <v>#DIV/0!</v>
      </c>
      <c r="U45" s="45" t="e">
        <f t="shared" si="12"/>
        <v>#DIV/0!</v>
      </c>
      <c r="V45" s="45" t="e">
        <f t="shared" si="12"/>
        <v>#DIV/0!</v>
      </c>
      <c r="W45" s="45">
        <f t="shared" si="12"/>
        <v>-0.26497277676950998</v>
      </c>
      <c r="X45" s="45">
        <f t="shared" si="12"/>
        <v>6.0362173038229373E-3</v>
      </c>
      <c r="Y45" s="45">
        <f t="shared" si="12"/>
        <v>1.7513134851138354E-3</v>
      </c>
      <c r="Z45" s="45">
        <f t="shared" si="12"/>
        <v>-8.1168831168831161E-3</v>
      </c>
      <c r="AA45" s="45">
        <f t="shared" si="12"/>
        <v>0.3233695652173913</v>
      </c>
      <c r="AB45" s="45">
        <f t="shared" si="12"/>
        <v>1.4613778705636743E-2</v>
      </c>
      <c r="AC45" s="45">
        <f t="shared" si="12"/>
        <v>-1.8218623481781375E-2</v>
      </c>
      <c r="AD45" s="45">
        <f t="shared" si="12"/>
        <v>0.46524822695035462</v>
      </c>
      <c r="AE45" s="45">
        <f t="shared" si="12"/>
        <v>-0.39140271493212669</v>
      </c>
      <c r="AF45" s="45" t="e">
        <f t="shared" si="12"/>
        <v>#DIV/0!</v>
      </c>
      <c r="AG45" s="45" t="e">
        <f t="shared" si="12"/>
        <v>#DIV/0!</v>
      </c>
      <c r="AH45" s="45" t="e">
        <f t="shared" si="12"/>
        <v>#DIV/0!</v>
      </c>
      <c r="AI45" s="45" t="e">
        <f t="shared" si="12"/>
        <v>#DIV/0!</v>
      </c>
    </row>
    <row r="46" spans="1:35" ht="20.100000000000001" customHeight="1" x14ac:dyDescent="0.3">
      <c r="A46" s="282" t="s">
        <v>36</v>
      </c>
      <c r="B46" s="279" t="s">
        <v>37</v>
      </c>
      <c r="C46" s="21" t="s">
        <v>20</v>
      </c>
      <c r="AB46" s="44"/>
      <c r="AC46" s="44"/>
      <c r="AD46" s="44">
        <v>0</v>
      </c>
      <c r="AE46" s="44">
        <v>5856</v>
      </c>
      <c r="AF46" s="44"/>
      <c r="AG46" s="44"/>
      <c r="AH46" s="44"/>
      <c r="AI46" s="44"/>
    </row>
    <row r="47" spans="1:35" ht="20.100000000000001" customHeight="1" x14ac:dyDescent="0.3">
      <c r="A47" s="283"/>
      <c r="B47" s="280"/>
      <c r="C47" s="22" t="s">
        <v>1</v>
      </c>
      <c r="AB47" s="34">
        <v>0</v>
      </c>
      <c r="AC47" s="34">
        <v>0</v>
      </c>
      <c r="AD47" s="34">
        <v>0</v>
      </c>
      <c r="AE47" s="34">
        <v>5856</v>
      </c>
      <c r="AF47" s="34"/>
      <c r="AG47" s="34"/>
      <c r="AH47" s="34"/>
      <c r="AI47" s="34"/>
    </row>
    <row r="48" spans="1:35" ht="20.100000000000001" customHeight="1" thickBot="1" x14ac:dyDescent="0.35">
      <c r="A48" s="284"/>
      <c r="B48" s="281"/>
      <c r="C48" s="23" t="s">
        <v>21</v>
      </c>
      <c r="AB48" s="45" t="e">
        <f t="shared" ref="AB48:AI48" si="13">(AB47-AB46)/AB46</f>
        <v>#DIV/0!</v>
      </c>
      <c r="AC48" s="45" t="e">
        <f t="shared" si="13"/>
        <v>#DIV/0!</v>
      </c>
      <c r="AD48" s="45" t="e">
        <f t="shared" si="13"/>
        <v>#DIV/0!</v>
      </c>
      <c r="AE48" s="45">
        <f t="shared" si="13"/>
        <v>0</v>
      </c>
      <c r="AF48" s="45" t="e">
        <f t="shared" si="13"/>
        <v>#DIV/0!</v>
      </c>
      <c r="AG48" s="45" t="e">
        <f t="shared" si="13"/>
        <v>#DIV/0!</v>
      </c>
      <c r="AH48" s="45" t="e">
        <f t="shared" si="13"/>
        <v>#DIV/0!</v>
      </c>
      <c r="AI48" s="45" t="e">
        <f t="shared" si="13"/>
        <v>#DIV/0!</v>
      </c>
    </row>
    <row r="49" spans="1:35" ht="20.100000000000001" customHeight="1" x14ac:dyDescent="0.3">
      <c r="A49" s="282" t="s">
        <v>38</v>
      </c>
      <c r="B49" s="279" t="s">
        <v>37</v>
      </c>
      <c r="C49" s="21" t="s">
        <v>20</v>
      </c>
      <c r="AB49" s="44"/>
      <c r="AC49" s="44"/>
      <c r="AD49" s="44">
        <v>0</v>
      </c>
      <c r="AE49" s="44">
        <v>1220</v>
      </c>
      <c r="AF49" s="44"/>
      <c r="AG49" s="44"/>
      <c r="AH49" s="44"/>
      <c r="AI49" s="44"/>
    </row>
    <row r="50" spans="1:35" ht="20.100000000000001" customHeight="1" x14ac:dyDescent="0.3">
      <c r="A50" s="283"/>
      <c r="B50" s="280"/>
      <c r="C50" s="22" t="s">
        <v>1</v>
      </c>
      <c r="AB50" s="34">
        <v>0</v>
      </c>
      <c r="AC50" s="34">
        <v>0</v>
      </c>
      <c r="AD50" s="34">
        <v>0</v>
      </c>
      <c r="AE50" s="34">
        <v>1220</v>
      </c>
      <c r="AF50" s="34"/>
      <c r="AG50" s="34"/>
      <c r="AH50" s="34"/>
      <c r="AI50" s="34"/>
    </row>
    <row r="51" spans="1:35" ht="20.100000000000001" customHeight="1" thickBot="1" x14ac:dyDescent="0.35">
      <c r="A51" s="284"/>
      <c r="B51" s="281"/>
      <c r="C51" s="23" t="s">
        <v>21</v>
      </c>
      <c r="AB51" s="45" t="e">
        <f t="shared" ref="AB51:AI51" si="14">(AB50-AB49)/AB49</f>
        <v>#DIV/0!</v>
      </c>
      <c r="AC51" s="45" t="e">
        <f t="shared" si="14"/>
        <v>#DIV/0!</v>
      </c>
      <c r="AD51" s="45" t="e">
        <f t="shared" si="14"/>
        <v>#DIV/0!</v>
      </c>
      <c r="AE51" s="45">
        <f t="shared" si="14"/>
        <v>0</v>
      </c>
      <c r="AF51" s="45" t="e">
        <f t="shared" si="14"/>
        <v>#DIV/0!</v>
      </c>
      <c r="AG51" s="45" t="e">
        <f t="shared" si="14"/>
        <v>#DIV/0!</v>
      </c>
      <c r="AH51" s="45" t="e">
        <f t="shared" si="14"/>
        <v>#DIV/0!</v>
      </c>
      <c r="AI51" s="45" t="e">
        <f t="shared" si="14"/>
        <v>#DIV/0!</v>
      </c>
    </row>
    <row r="52" spans="1:35" ht="20.100000000000001" customHeight="1" x14ac:dyDescent="0.3">
      <c r="A52" s="282" t="s">
        <v>39</v>
      </c>
      <c r="B52" s="279" t="s">
        <v>40</v>
      </c>
      <c r="C52" s="21" t="s">
        <v>20</v>
      </c>
      <c r="AB52" s="44"/>
      <c r="AC52" s="44"/>
      <c r="AD52" s="44">
        <v>3160</v>
      </c>
      <c r="AE52" s="44">
        <v>5251</v>
      </c>
      <c r="AF52" s="44"/>
      <c r="AG52" s="44"/>
      <c r="AH52" s="44"/>
      <c r="AI52" s="44"/>
    </row>
    <row r="53" spans="1:35" ht="20.100000000000001" customHeight="1" x14ac:dyDescent="0.3">
      <c r="A53" s="283"/>
      <c r="B53" s="280"/>
      <c r="C53" s="22" t="s">
        <v>1</v>
      </c>
      <c r="AB53" s="34">
        <v>0</v>
      </c>
      <c r="AC53" s="34">
        <v>0</v>
      </c>
      <c r="AD53" s="34">
        <v>3252</v>
      </c>
      <c r="AE53" s="34">
        <v>3011</v>
      </c>
      <c r="AF53" s="34"/>
      <c r="AG53" s="34"/>
      <c r="AH53" s="34"/>
      <c r="AI53" s="34"/>
    </row>
    <row r="54" spans="1:35" ht="20.100000000000001" customHeight="1" thickBot="1" x14ac:dyDescent="0.35">
      <c r="A54" s="284"/>
      <c r="B54" s="281"/>
      <c r="C54" s="23" t="s">
        <v>21</v>
      </c>
      <c r="AB54" s="45" t="e">
        <f t="shared" ref="AB54:AI54" si="15">(AB53-AB52)/AB52</f>
        <v>#DIV/0!</v>
      </c>
      <c r="AC54" s="45" t="e">
        <f t="shared" si="15"/>
        <v>#DIV/0!</v>
      </c>
      <c r="AD54" s="45">
        <f t="shared" si="15"/>
        <v>2.911392405063291E-2</v>
      </c>
      <c r="AE54" s="45">
        <f t="shared" si="15"/>
        <v>-0.42658541230241859</v>
      </c>
      <c r="AF54" s="45" t="e">
        <f t="shared" si="15"/>
        <v>#DIV/0!</v>
      </c>
      <c r="AG54" s="45" t="e">
        <f t="shared" si="15"/>
        <v>#DIV/0!</v>
      </c>
      <c r="AH54" s="45" t="e">
        <f t="shared" si="15"/>
        <v>#DIV/0!</v>
      </c>
      <c r="AI54" s="45" t="e">
        <f t="shared" si="15"/>
        <v>#DIV/0!</v>
      </c>
    </row>
    <row r="55" spans="1:35" ht="20.100000000000001" customHeight="1" x14ac:dyDescent="0.3">
      <c r="A55" s="282" t="s">
        <v>41</v>
      </c>
      <c r="B55" s="279" t="s">
        <v>40</v>
      </c>
      <c r="C55" s="21" t="s">
        <v>20</v>
      </c>
      <c r="AB55" s="44"/>
      <c r="AC55" s="44"/>
      <c r="AD55" s="44">
        <v>0</v>
      </c>
      <c r="AE55" s="44">
        <v>6725</v>
      </c>
      <c r="AF55" s="44"/>
      <c r="AG55" s="44"/>
      <c r="AH55" s="44"/>
      <c r="AI55" s="44"/>
    </row>
    <row r="56" spans="1:35" ht="20.100000000000001" customHeight="1" x14ac:dyDescent="0.3">
      <c r="A56" s="283"/>
      <c r="B56" s="280"/>
      <c r="C56" s="22" t="s">
        <v>1</v>
      </c>
      <c r="AB56" s="34">
        <v>0</v>
      </c>
      <c r="AC56" s="34">
        <v>0</v>
      </c>
      <c r="AD56" s="34">
        <v>1200</v>
      </c>
      <c r="AE56" s="34">
        <v>4193</v>
      </c>
      <c r="AF56" s="34"/>
      <c r="AG56" s="34"/>
      <c r="AH56" s="34"/>
      <c r="AI56" s="34"/>
    </row>
    <row r="57" spans="1:35" ht="20.100000000000001" customHeight="1" thickBot="1" x14ac:dyDescent="0.35">
      <c r="A57" s="284"/>
      <c r="B57" s="281"/>
      <c r="C57" s="23" t="s">
        <v>21</v>
      </c>
      <c r="AB57" s="45" t="e">
        <f t="shared" ref="AB57:AI57" si="16">(AB56-AB55)/AB55</f>
        <v>#DIV/0!</v>
      </c>
      <c r="AC57" s="45" t="e">
        <f t="shared" si="16"/>
        <v>#DIV/0!</v>
      </c>
      <c r="AD57" s="45" t="e">
        <f t="shared" si="16"/>
        <v>#DIV/0!</v>
      </c>
      <c r="AE57" s="45">
        <f t="shared" si="16"/>
        <v>-0.37650557620817843</v>
      </c>
      <c r="AF57" s="45" t="e">
        <f t="shared" si="16"/>
        <v>#DIV/0!</v>
      </c>
      <c r="AG57" s="45" t="e">
        <f t="shared" si="16"/>
        <v>#DIV/0!</v>
      </c>
      <c r="AH57" s="45" t="e">
        <f t="shared" si="16"/>
        <v>#DIV/0!</v>
      </c>
      <c r="AI57" s="45" t="e">
        <f t="shared" si="16"/>
        <v>#DIV/0!</v>
      </c>
    </row>
    <row r="58" spans="1:35" ht="20.100000000000001" customHeight="1" x14ac:dyDescent="0.3">
      <c r="A58" s="282" t="s">
        <v>42</v>
      </c>
      <c r="B58" s="279" t="s">
        <v>40</v>
      </c>
      <c r="C58" s="21" t="s">
        <v>20</v>
      </c>
      <c r="AB58" s="44"/>
      <c r="AC58" s="44"/>
      <c r="AD58" s="44">
        <v>1690</v>
      </c>
      <c r="AE58" s="44">
        <v>3657</v>
      </c>
      <c r="AF58" s="44"/>
      <c r="AG58" s="44"/>
      <c r="AH58" s="44"/>
      <c r="AI58" s="44"/>
    </row>
    <row r="59" spans="1:35" ht="20.100000000000001" customHeight="1" x14ac:dyDescent="0.3">
      <c r="A59" s="283"/>
      <c r="B59" s="280"/>
      <c r="C59" s="22" t="s">
        <v>1</v>
      </c>
      <c r="AB59" s="34">
        <v>0</v>
      </c>
      <c r="AC59" s="34">
        <v>0</v>
      </c>
      <c r="AD59" s="34">
        <v>1924</v>
      </c>
      <c r="AE59" s="34">
        <v>3082</v>
      </c>
      <c r="AF59" s="34"/>
      <c r="AG59" s="34"/>
      <c r="AH59" s="34"/>
      <c r="AI59" s="34"/>
    </row>
    <row r="60" spans="1:35" ht="20.100000000000001" customHeight="1" thickBot="1" x14ac:dyDescent="0.35">
      <c r="A60" s="284"/>
      <c r="B60" s="281"/>
      <c r="C60" s="23" t="s">
        <v>21</v>
      </c>
      <c r="AB60" s="45" t="e">
        <f t="shared" ref="AB60:AI60" si="17">(AB59-AB58)/AB58</f>
        <v>#DIV/0!</v>
      </c>
      <c r="AC60" s="45" t="e">
        <f t="shared" si="17"/>
        <v>#DIV/0!</v>
      </c>
      <c r="AD60" s="45">
        <f t="shared" si="17"/>
        <v>0.13846153846153847</v>
      </c>
      <c r="AE60" s="45">
        <f t="shared" si="17"/>
        <v>-0.15723270440251572</v>
      </c>
      <c r="AF60" s="45" t="e">
        <f t="shared" si="17"/>
        <v>#DIV/0!</v>
      </c>
      <c r="AG60" s="45" t="e">
        <f t="shared" si="17"/>
        <v>#DIV/0!</v>
      </c>
      <c r="AH60" s="45" t="e">
        <f t="shared" si="17"/>
        <v>#DIV/0!</v>
      </c>
      <c r="AI60" s="45" t="e">
        <f t="shared" si="17"/>
        <v>#DIV/0!</v>
      </c>
    </row>
    <row r="68" spans="3:3" ht="20.100000000000001" customHeight="1" x14ac:dyDescent="0.3">
      <c r="C68" s="60"/>
    </row>
    <row r="69" spans="3:3" ht="20.100000000000001" customHeight="1" x14ac:dyDescent="0.3">
      <c r="C69" s="60"/>
    </row>
    <row r="70" spans="3:3" ht="20.100000000000001" customHeight="1" x14ac:dyDescent="0.3">
      <c r="C70" s="60"/>
    </row>
    <row r="72" spans="3:3" ht="20.100000000000001" customHeight="1" x14ac:dyDescent="0.3">
      <c r="C72" s="60"/>
    </row>
    <row r="73" spans="3:3" ht="20.100000000000001" customHeight="1" x14ac:dyDescent="0.3">
      <c r="C73" s="60"/>
    </row>
    <row r="74" spans="3:3" ht="20.100000000000001" customHeight="1" x14ac:dyDescent="0.3">
      <c r="C74" s="60"/>
    </row>
  </sheetData>
  <autoFilter ref="A6:L60" xr:uid="{00000000-0009-0000-0000-000000000000}"/>
  <mergeCells count="39">
    <mergeCell ref="B55:B57"/>
    <mergeCell ref="M5:W5"/>
    <mergeCell ref="A13:A15"/>
    <mergeCell ref="A43:A45"/>
    <mergeCell ref="A58:A60"/>
    <mergeCell ref="A34:A36"/>
    <mergeCell ref="A52:A54"/>
    <mergeCell ref="A31:A33"/>
    <mergeCell ref="A49:A51"/>
    <mergeCell ref="A40:A42"/>
    <mergeCell ref="X5:AD5"/>
    <mergeCell ref="B31:B33"/>
    <mergeCell ref="D5:L5"/>
    <mergeCell ref="B43:B45"/>
    <mergeCell ref="B52:B54"/>
    <mergeCell ref="B46:B48"/>
    <mergeCell ref="B7:B9"/>
    <mergeCell ref="B25:B27"/>
    <mergeCell ref="B16:B18"/>
    <mergeCell ref="B22:B24"/>
    <mergeCell ref="B49:B51"/>
    <mergeCell ref="B34:B36"/>
    <mergeCell ref="B40:B42"/>
    <mergeCell ref="B58:B60"/>
    <mergeCell ref="A7:A9"/>
    <mergeCell ref="B10:B12"/>
    <mergeCell ref="A16:A18"/>
    <mergeCell ref="B13:B15"/>
    <mergeCell ref="A25:A27"/>
    <mergeCell ref="A55:A57"/>
    <mergeCell ref="A37:A39"/>
    <mergeCell ref="A46:A48"/>
    <mergeCell ref="B19:B21"/>
    <mergeCell ref="B28:B30"/>
    <mergeCell ref="B37:B39"/>
    <mergeCell ref="A10:A12"/>
    <mergeCell ref="A28:A30"/>
    <mergeCell ref="A19:A21"/>
    <mergeCell ref="A22:A24"/>
  </mergeCells>
  <conditionalFormatting sqref="D17:X18">
    <cfRule type="cellIs" dxfId="65" priority="209" operator="lessThan">
      <formula>1</formula>
    </cfRule>
  </conditionalFormatting>
  <conditionalFormatting sqref="D20:X21">
    <cfRule type="cellIs" dxfId="64" priority="208" operator="lessThan">
      <formula>1</formula>
    </cfRule>
  </conditionalFormatting>
  <conditionalFormatting sqref="D23:X24">
    <cfRule type="cellIs" dxfId="63" priority="207" operator="lessThan">
      <formula>1</formula>
    </cfRule>
  </conditionalFormatting>
  <conditionalFormatting sqref="D26:X27">
    <cfRule type="cellIs" dxfId="62" priority="206" operator="lessThan">
      <formula>1</formula>
    </cfRule>
  </conditionalFormatting>
  <conditionalFormatting sqref="D29:X30">
    <cfRule type="cellIs" dxfId="61" priority="205" operator="lessThan">
      <formula>1</formula>
    </cfRule>
  </conditionalFormatting>
  <conditionalFormatting sqref="D41:X42">
    <cfRule type="cellIs" dxfId="60" priority="202" operator="lessThan">
      <formula>1</formula>
    </cfRule>
  </conditionalFormatting>
  <conditionalFormatting sqref="D44:X45">
    <cfRule type="cellIs" dxfId="59" priority="203" operator="lessThan">
      <formula>1</formula>
    </cfRule>
  </conditionalFormatting>
  <conditionalFormatting sqref="D9:AI9">
    <cfRule type="cellIs" dxfId="58" priority="18" operator="lessThan">
      <formula>1</formula>
    </cfRule>
  </conditionalFormatting>
  <conditionalFormatting sqref="D12:AI12">
    <cfRule type="cellIs" dxfId="57" priority="17" operator="lessThan">
      <formula>1</formula>
    </cfRule>
  </conditionalFormatting>
  <conditionalFormatting sqref="D15:AI15">
    <cfRule type="cellIs" dxfId="56" priority="16" operator="lessThan">
      <formula>1</formula>
    </cfRule>
  </conditionalFormatting>
  <conditionalFormatting sqref="W32:X33">
    <cfRule type="cellIs" dxfId="55" priority="178" operator="lessThan">
      <formula>1</formula>
    </cfRule>
  </conditionalFormatting>
  <conditionalFormatting sqref="W35:X36">
    <cfRule type="cellIs" dxfId="54" priority="172" operator="lessThan">
      <formula>1</formula>
    </cfRule>
  </conditionalFormatting>
  <conditionalFormatting sqref="W38:X39">
    <cfRule type="cellIs" dxfId="53" priority="166" operator="lessThan">
      <formula>1</formula>
    </cfRule>
  </conditionalFormatting>
  <conditionalFormatting sqref="Y18:AI18">
    <cfRule type="cellIs" dxfId="52" priority="15" operator="lessThan">
      <formula>1</formula>
    </cfRule>
  </conditionalFormatting>
  <conditionalFormatting sqref="Y21:AI21">
    <cfRule type="cellIs" dxfId="51" priority="14" operator="lessThan">
      <formula>1</formula>
    </cfRule>
  </conditionalFormatting>
  <conditionalFormatting sqref="Y24:AI24">
    <cfRule type="cellIs" dxfId="50" priority="13" operator="lessThan">
      <formula>1</formula>
    </cfRule>
  </conditionalFormatting>
  <conditionalFormatting sqref="Y27:AI27">
    <cfRule type="cellIs" dxfId="49" priority="12" operator="lessThan">
      <formula>1</formula>
    </cfRule>
  </conditionalFormatting>
  <conditionalFormatting sqref="Y30:AI30">
    <cfRule type="cellIs" dxfId="48" priority="11" operator="lessThan">
      <formula>1</formula>
    </cfRule>
  </conditionalFormatting>
  <conditionalFormatting sqref="Y33:AI33">
    <cfRule type="cellIs" dxfId="47" priority="8" operator="lessThan">
      <formula>1</formula>
    </cfRule>
  </conditionalFormatting>
  <conditionalFormatting sqref="Y36:AI36">
    <cfRule type="cellIs" dxfId="46" priority="7" operator="lessThan">
      <formula>1</formula>
    </cfRule>
  </conditionalFormatting>
  <conditionalFormatting sqref="Y39:AI39">
    <cfRule type="cellIs" dxfId="45" priority="6" operator="lessThan">
      <formula>1</formula>
    </cfRule>
  </conditionalFormatting>
  <conditionalFormatting sqref="Y42:AI42">
    <cfRule type="cellIs" dxfId="44" priority="9" operator="lessThan">
      <formula>1</formula>
    </cfRule>
  </conditionalFormatting>
  <conditionalFormatting sqref="Y45:AI45">
    <cfRule type="cellIs" dxfId="43" priority="10" operator="lessThan">
      <formula>1</formula>
    </cfRule>
  </conditionalFormatting>
  <conditionalFormatting sqref="AB48:AI48">
    <cfRule type="cellIs" dxfId="42" priority="5" operator="lessThan">
      <formula>1</formula>
    </cfRule>
  </conditionalFormatting>
  <conditionalFormatting sqref="AB51:AI51">
    <cfRule type="cellIs" dxfId="41" priority="4" operator="lessThan">
      <formula>1</formula>
    </cfRule>
  </conditionalFormatting>
  <conditionalFormatting sqref="AB54:AI54">
    <cfRule type="cellIs" dxfId="40" priority="3" operator="lessThan">
      <formula>1</formula>
    </cfRule>
  </conditionalFormatting>
  <conditionalFormatting sqref="AB57:AI57">
    <cfRule type="cellIs" dxfId="39" priority="2" operator="lessThan">
      <formula>1</formula>
    </cfRule>
  </conditionalFormatting>
  <conditionalFormatting sqref="AB60:AI60">
    <cfRule type="cellIs" dxfId="38" priority="1" operator="lessThan">
      <formula>1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65"/>
  <sheetViews>
    <sheetView zoomScale="90" zoomScaleNormal="90" workbookViewId="0">
      <pane ySplit="6" topLeftCell="A52" activePane="bottomLeft" state="frozen"/>
      <selection activeCell="C1" sqref="C1"/>
      <selection pane="bottomLeft" activeCell="K53" sqref="K53"/>
    </sheetView>
  </sheetViews>
  <sheetFormatPr defaultColWidth="9.33203125" defaultRowHeight="13.8" outlineLevelCol="1" x14ac:dyDescent="0.3"/>
  <cols>
    <col min="1" max="1" width="20.33203125" style="4" customWidth="1"/>
    <col min="2" max="2" width="15.77734375" style="4" customWidth="1" outlineLevel="1"/>
    <col min="3" max="3" width="11.33203125" style="4" customWidth="1"/>
    <col min="4" max="4" width="8.44140625" style="4" customWidth="1"/>
    <col min="5" max="5" width="11.77734375" style="4" customWidth="1" outlineLevel="1"/>
    <col min="6" max="6" width="12.6640625" style="4" customWidth="1"/>
    <col min="7" max="7" width="6.109375" style="4" customWidth="1"/>
    <col min="8" max="8" width="13.109375" style="4" customWidth="1"/>
    <col min="9" max="9" width="12.6640625" style="4" customWidth="1"/>
    <col min="10" max="10" width="12.5546875" style="4" customWidth="1"/>
    <col min="11" max="11" width="15.88671875" style="4" customWidth="1"/>
    <col min="12" max="12" width="9.33203125" style="4" customWidth="1"/>
    <col min="13" max="15" width="11.33203125" style="4" bestFit="1" customWidth="1"/>
    <col min="16" max="16" width="9.33203125" style="4" customWidth="1"/>
    <col min="17" max="17" width="3" style="4" customWidth="1"/>
    <col min="18" max="21" width="9.33203125" style="4" customWidth="1"/>
    <col min="22" max="22" width="3.44140625" style="4" customWidth="1"/>
    <col min="23" max="26" width="9.33203125" style="4" customWidth="1"/>
    <col min="27" max="27" width="5.44140625" style="4" customWidth="1"/>
    <col min="28" max="28" width="41.6640625" style="4" bestFit="1" customWidth="1"/>
    <col min="29" max="29" width="9.33203125" style="4" customWidth="1"/>
    <col min="30" max="16384" width="9.33203125" style="4"/>
  </cols>
  <sheetData>
    <row r="1" spans="1:28" ht="10.95" customHeight="1" x14ac:dyDescent="0.35">
      <c r="A1" s="41" t="s">
        <v>43</v>
      </c>
      <c r="B1" s="41"/>
      <c r="C1" s="41"/>
    </row>
    <row r="2" spans="1:28" x14ac:dyDescent="0.3">
      <c r="A2" s="2" t="s">
        <v>44</v>
      </c>
      <c r="B2" s="2"/>
      <c r="C2" s="183">
        <v>46045</v>
      </c>
      <c r="D2" s="183"/>
      <c r="E2" s="20"/>
      <c r="F2" s="20"/>
      <c r="G2" s="20"/>
    </row>
    <row r="3" spans="1:28" ht="14.4" customHeight="1" x14ac:dyDescent="0.3">
      <c r="A3" s="37" t="s">
        <v>2</v>
      </c>
      <c r="B3" s="37"/>
      <c r="C3" s="184" t="s">
        <v>470</v>
      </c>
      <c r="D3" s="183" t="s">
        <v>45</v>
      </c>
      <c r="E3" s="20"/>
      <c r="F3" s="20"/>
      <c r="G3" s="19"/>
      <c r="H3" s="226" t="s">
        <v>46</v>
      </c>
    </row>
    <row r="4" spans="1:28" ht="16.95" customHeight="1" x14ac:dyDescent="0.3">
      <c r="H4" s="224">
        <f>ROUND(SUBTOTAL(9,H8:H57),2)</f>
        <v>67252</v>
      </c>
      <c r="I4" s="225">
        <f>ROUND(SUBTOTAL(9,I8:I57),2)</f>
        <v>79486</v>
      </c>
      <c r="J4" s="225">
        <f>ROUND(SUBTOTAL(9,J8:J57),2)</f>
        <v>66744</v>
      </c>
      <c r="K4" s="225">
        <f>ROUND(SUBTOTAL(9,K8:K57),2)</f>
        <v>60180</v>
      </c>
      <c r="M4" s="225">
        <f>ROUND(SUBTOTAL(9,M8:M57),2)</f>
        <v>67859</v>
      </c>
      <c r="N4" s="225">
        <f>ROUND(SUBTOTAL(9,N8:N57),2)</f>
        <v>72308</v>
      </c>
      <c r="O4" s="225">
        <f>ROUND(SUBTOTAL(9,O8:O57),2)</f>
        <v>68840</v>
      </c>
    </row>
    <row r="5" spans="1:28" x14ac:dyDescent="0.3">
      <c r="H5" s="222" t="s">
        <v>44</v>
      </c>
      <c r="I5" s="13" t="s">
        <v>44</v>
      </c>
      <c r="J5" s="13" t="s">
        <v>44</v>
      </c>
      <c r="K5" s="13" t="s">
        <v>44</v>
      </c>
      <c r="M5" s="8" t="s">
        <v>20</v>
      </c>
      <c r="N5" s="8" t="s">
        <v>20</v>
      </c>
      <c r="O5" s="8" t="s">
        <v>20</v>
      </c>
      <c r="R5" s="4" t="s">
        <v>21</v>
      </c>
      <c r="S5" s="4" t="s">
        <v>21</v>
      </c>
      <c r="T5" s="4" t="s">
        <v>21</v>
      </c>
      <c r="W5" s="4" t="s">
        <v>21</v>
      </c>
      <c r="X5" s="4" t="s">
        <v>21</v>
      </c>
      <c r="Y5" s="4" t="s">
        <v>21</v>
      </c>
    </row>
    <row r="6" spans="1:28" x14ac:dyDescent="0.3">
      <c r="A6" s="86" t="s">
        <v>4</v>
      </c>
      <c r="B6" s="87" t="s">
        <v>47</v>
      </c>
      <c r="C6" s="86" t="s">
        <v>48</v>
      </c>
      <c r="D6" s="86" t="s">
        <v>49</v>
      </c>
      <c r="E6" s="87" t="str">
        <f>B6&amp;D6</f>
        <v>P/nPlant</v>
      </c>
      <c r="F6" s="86" t="s">
        <v>50</v>
      </c>
      <c r="G6" s="86" t="s">
        <v>51</v>
      </c>
      <c r="H6" s="223" t="s">
        <v>16</v>
      </c>
      <c r="I6" s="89" t="s">
        <v>6</v>
      </c>
      <c r="J6" s="89" t="s">
        <v>7</v>
      </c>
      <c r="K6" s="89" t="s">
        <v>8</v>
      </c>
      <c r="M6" s="88" t="str">
        <f>H6</f>
        <v>Feb</v>
      </c>
      <c r="N6" s="88" t="str">
        <f>I6</f>
        <v>Mar</v>
      </c>
      <c r="O6" s="88" t="str">
        <f>J6</f>
        <v>Apr</v>
      </c>
      <c r="P6" s="88" t="str">
        <f>K6</f>
        <v>May</v>
      </c>
      <c r="R6" s="88" t="str">
        <f>M6</f>
        <v>Feb</v>
      </c>
      <c r="S6" s="88" t="str">
        <f>N6</f>
        <v>Mar</v>
      </c>
      <c r="T6" s="88" t="str">
        <f>O6</f>
        <v>Apr</v>
      </c>
      <c r="U6" s="88" t="str">
        <f>P6</f>
        <v>May</v>
      </c>
      <c r="W6" s="88" t="str">
        <f>R6</f>
        <v>Feb</v>
      </c>
      <c r="X6" s="88" t="str">
        <f>S6</f>
        <v>Mar</v>
      </c>
      <c r="Y6" s="88" t="str">
        <f>T6</f>
        <v>Apr</v>
      </c>
      <c r="Z6" s="88" t="str">
        <f>U6</f>
        <v>May</v>
      </c>
      <c r="AB6" s="91" t="s">
        <v>52</v>
      </c>
    </row>
    <row r="7" spans="1:28" x14ac:dyDescent="0.3">
      <c r="A7" s="138" t="s">
        <v>53</v>
      </c>
      <c r="B7" s="138" t="s">
        <v>53</v>
      </c>
      <c r="C7" s="64" t="s">
        <v>54</v>
      </c>
      <c r="D7" s="64" t="s">
        <v>55</v>
      </c>
      <c r="E7" s="64" t="str">
        <f>B7&amp;D7</f>
        <v>86790-0K050SR</v>
      </c>
      <c r="F7" s="64" t="s">
        <v>56</v>
      </c>
      <c r="G7" s="64">
        <v>25</v>
      </c>
      <c r="H7" s="174">
        <f>IFERROR(VLOOKUP($E7,Analyze!$B$62:$F$104,2,0),0)</f>
        <v>0</v>
      </c>
      <c r="I7" s="65">
        <f>IFERROR(VLOOKUP($E7,Analyze!$B$62:$F$104,3,0),0)</f>
        <v>0</v>
      </c>
      <c r="J7" s="65">
        <f>IFERROR(VLOOKUP($E7,Analyze!$B$62:$F$104,4,0),0)</f>
        <v>0</v>
      </c>
      <c r="K7" s="65">
        <f>IFERROR(VLOOKUP($E7,Analyze!$B$62:$F$104,5,0),0)</f>
        <v>0</v>
      </c>
      <c r="L7" s="140"/>
      <c r="M7" s="65">
        <v>0</v>
      </c>
      <c r="N7" s="65">
        <v>0</v>
      </c>
      <c r="O7" s="65">
        <v>0</v>
      </c>
      <c r="P7" s="65"/>
      <c r="Q7" s="64"/>
      <c r="R7" s="65">
        <f t="shared" ref="R7:T9" si="0">H7-M7</f>
        <v>0</v>
      </c>
      <c r="S7" s="65">
        <f t="shared" si="0"/>
        <v>0</v>
      </c>
      <c r="T7" s="65">
        <f t="shared" si="0"/>
        <v>0</v>
      </c>
      <c r="U7" s="65"/>
      <c r="V7" s="64"/>
      <c r="W7" s="216" t="e">
        <f t="shared" ref="W7:Y9" si="1">(R7/M7)</f>
        <v>#DIV/0!</v>
      </c>
      <c r="X7" s="216" t="e">
        <f t="shared" si="1"/>
        <v>#DIV/0!</v>
      </c>
      <c r="Y7" s="216" t="e">
        <f t="shared" si="1"/>
        <v>#DIV/0!</v>
      </c>
      <c r="Z7" s="79"/>
    </row>
    <row r="8" spans="1:28" x14ac:dyDescent="0.3">
      <c r="A8" s="154" t="s">
        <v>57</v>
      </c>
      <c r="B8" s="69" t="s">
        <v>58</v>
      </c>
      <c r="C8" s="4" t="s">
        <v>54</v>
      </c>
      <c r="D8" s="4" t="s">
        <v>55</v>
      </c>
      <c r="E8" s="4" t="str">
        <f>B8&amp;D8</f>
        <v>86790-0K080SR</v>
      </c>
      <c r="F8" s="4" t="s">
        <v>56</v>
      </c>
      <c r="G8" s="4">
        <v>42</v>
      </c>
      <c r="H8" s="174">
        <f>IFERROR(VLOOKUP($E8,Analyze!$B$63:$F$105,2,0),0)</f>
        <v>676</v>
      </c>
      <c r="I8" s="6">
        <f>IFERROR(VLOOKUP($E8,Analyze!$B$63:$F$105,3,0),0)</f>
        <v>1170</v>
      </c>
      <c r="J8" s="6">
        <f>IFERROR(VLOOKUP($E8,Analyze!$B$63:$F$105,4,0),0)</f>
        <v>1084</v>
      </c>
      <c r="K8" s="6">
        <f>IFERROR(VLOOKUP($E8,Analyze!$B$63:$F$105,5,0),0)</f>
        <v>451</v>
      </c>
      <c r="L8" s="62"/>
      <c r="M8" s="9">
        <v>676</v>
      </c>
      <c r="N8" s="9">
        <v>1209</v>
      </c>
      <c r="O8" s="9">
        <v>1093</v>
      </c>
      <c r="P8" s="74"/>
      <c r="R8" s="6">
        <f t="shared" si="0"/>
        <v>0</v>
      </c>
      <c r="S8" s="6">
        <f t="shared" si="0"/>
        <v>-39</v>
      </c>
      <c r="T8" s="6">
        <f t="shared" si="0"/>
        <v>-9</v>
      </c>
      <c r="U8" s="64"/>
      <c r="W8" s="40">
        <f t="shared" si="1"/>
        <v>0</v>
      </c>
      <c r="X8" s="40">
        <f t="shared" si="1"/>
        <v>-3.2258064516129031E-2</v>
      </c>
      <c r="Y8" s="40">
        <f t="shared" si="1"/>
        <v>-8.2342177493138144E-3</v>
      </c>
      <c r="Z8" s="79"/>
    </row>
    <row r="9" spans="1:28" x14ac:dyDescent="0.3">
      <c r="A9" s="211" t="s">
        <v>59</v>
      </c>
      <c r="B9" s="69" t="s">
        <v>39</v>
      </c>
      <c r="C9" s="4" t="s">
        <v>60</v>
      </c>
      <c r="D9" s="4" t="s">
        <v>61</v>
      </c>
      <c r="E9" s="4" t="str">
        <f>B9&amp;D9&amp;F9</f>
        <v>86790-0K141BPKTP1</v>
      </c>
      <c r="F9" s="46" t="s">
        <v>62</v>
      </c>
      <c r="H9" s="174">
        <f>IFERROR(VLOOKUP($E9,Analyze!$B$63:$F$105,2,0),0)</f>
        <v>0</v>
      </c>
      <c r="I9" s="6">
        <f>IFERROR(VLOOKUP($E9,Analyze!$B$63:$F$105,3,0),0)</f>
        <v>0</v>
      </c>
      <c r="J9" s="6">
        <f>IFERROR(VLOOKUP($E9,Analyze!$B$63:$F$105,4,0),0)</f>
        <v>0</v>
      </c>
      <c r="K9" s="6">
        <f>IFERROR(VLOOKUP($E9,Analyze!$B$63:$F$105,5,0),0)</f>
        <v>0</v>
      </c>
      <c r="M9" s="8">
        <v>0</v>
      </c>
      <c r="N9" s="8">
        <v>0</v>
      </c>
      <c r="O9" s="8">
        <v>0</v>
      </c>
      <c r="P9" s="74"/>
      <c r="R9" s="4">
        <f t="shared" si="0"/>
        <v>0</v>
      </c>
      <c r="S9" s="4">
        <f t="shared" si="0"/>
        <v>0</v>
      </c>
      <c r="T9" s="4">
        <f t="shared" si="0"/>
        <v>0</v>
      </c>
      <c r="U9" s="64"/>
      <c r="W9" s="40" t="e">
        <f t="shared" si="1"/>
        <v>#DIV/0!</v>
      </c>
      <c r="X9" s="40" t="e">
        <f t="shared" si="1"/>
        <v>#DIV/0!</v>
      </c>
      <c r="Y9" s="40" t="e">
        <f t="shared" si="1"/>
        <v>#DIV/0!</v>
      </c>
      <c r="Z9" s="79"/>
    </row>
    <row r="10" spans="1:28" x14ac:dyDescent="0.3">
      <c r="A10" s="70" t="s">
        <v>63</v>
      </c>
      <c r="D10" s="4" t="s">
        <v>61</v>
      </c>
      <c r="F10" s="4" t="s">
        <v>62</v>
      </c>
      <c r="G10" s="4">
        <v>8</v>
      </c>
      <c r="H10" s="174">
        <f>IFERROR(VLOOKUP($E10,Analyze!$B$63:$F$105,2,0),0)</f>
        <v>0</v>
      </c>
      <c r="I10" s="6">
        <f>IFERROR(VLOOKUP($E10,Analyze!$B$63:$F$105,3,0),0)</f>
        <v>0</v>
      </c>
      <c r="J10" s="6">
        <f>IFERROR(VLOOKUP($E10,Analyze!$B$63:$F$105,4,0),0)</f>
        <v>0</v>
      </c>
      <c r="K10" s="6">
        <f>IFERROR(VLOOKUP($E10,Analyze!$B$63:$F$105,5,0),0)</f>
        <v>0</v>
      </c>
      <c r="M10" s="4">
        <v>0</v>
      </c>
      <c r="N10" s="4">
        <v>0</v>
      </c>
      <c r="O10" s="4">
        <v>0</v>
      </c>
    </row>
    <row r="11" spans="1:28" x14ac:dyDescent="0.3">
      <c r="A11" s="138" t="s">
        <v>53</v>
      </c>
      <c r="B11" s="138" t="s">
        <v>53</v>
      </c>
      <c r="C11" s="64" t="s">
        <v>54</v>
      </c>
      <c r="D11" s="64" t="s">
        <v>64</v>
      </c>
      <c r="E11" s="64" t="str">
        <f t="shared" ref="E11:E16" si="2">B11&amp;D11</f>
        <v>86790-0K050BP</v>
      </c>
      <c r="F11" s="64" t="s">
        <v>56</v>
      </c>
      <c r="G11" s="64">
        <v>25</v>
      </c>
      <c r="H11" s="272">
        <f>IFERROR(VLOOKUP($E11,Analyze!$B$63:$F$105,2,0),0)</f>
        <v>0</v>
      </c>
      <c r="I11" s="272">
        <f>IFERROR(VLOOKUP($E11,Analyze!$B$63:$F$105,3,0),0)</f>
        <v>0</v>
      </c>
      <c r="J11" s="272">
        <f>IFERROR(VLOOKUP($E11,Analyze!$B$63:$F$105,4,0),0)</f>
        <v>0</v>
      </c>
      <c r="K11" s="272">
        <f>IFERROR(VLOOKUP($E11,Analyze!$B$63:$F$105,5,0),0)</f>
        <v>0</v>
      </c>
      <c r="L11" s="140"/>
      <c r="M11" s="65">
        <v>0</v>
      </c>
      <c r="N11" s="65">
        <v>0</v>
      </c>
      <c r="O11" s="65">
        <v>0</v>
      </c>
      <c r="P11" s="65"/>
      <c r="Q11" s="64"/>
      <c r="R11" s="6">
        <f t="shared" ref="R11:T16" si="3">H11-M11</f>
        <v>0</v>
      </c>
      <c r="S11" s="4">
        <f t="shared" si="3"/>
        <v>0</v>
      </c>
      <c r="T11" s="4">
        <f t="shared" si="3"/>
        <v>0</v>
      </c>
      <c r="U11" s="64"/>
      <c r="V11" s="64"/>
      <c r="W11" s="216" t="e">
        <f t="shared" ref="W11:Y16" si="4">(R11/M11)</f>
        <v>#DIV/0!</v>
      </c>
      <c r="X11" s="216" t="e">
        <f t="shared" si="4"/>
        <v>#DIV/0!</v>
      </c>
      <c r="Y11" s="216" t="e">
        <f t="shared" si="4"/>
        <v>#DIV/0!</v>
      </c>
      <c r="Z11" s="79"/>
    </row>
    <row r="12" spans="1:28" x14ac:dyDescent="0.3">
      <c r="A12" s="154" t="s">
        <v>57</v>
      </c>
      <c r="B12" s="69" t="s">
        <v>58</v>
      </c>
      <c r="C12" s="4" t="s">
        <v>54</v>
      </c>
      <c r="D12" s="4" t="s">
        <v>64</v>
      </c>
      <c r="E12" s="4" t="str">
        <f t="shared" si="2"/>
        <v>86790-0K080BP</v>
      </c>
      <c r="F12" s="4" t="s">
        <v>56</v>
      </c>
      <c r="G12" s="4">
        <v>42</v>
      </c>
      <c r="H12" s="174">
        <f>IFERROR(VLOOKUP($E12,Analyze!$B$63:$F$105,2,0),0)</f>
        <v>299</v>
      </c>
      <c r="I12" s="6">
        <f>IFERROR(VLOOKUP($E12,Analyze!$B$63:$F$105,3,0),0)</f>
        <v>67</v>
      </c>
      <c r="J12" s="6">
        <f>IFERROR(VLOOKUP($E12,Analyze!$B$63:$F$105,4,0),0)</f>
        <v>0</v>
      </c>
      <c r="K12" s="6">
        <f>IFERROR(VLOOKUP($E12,Analyze!$B$63:$F$105,5,0),0)</f>
        <v>0</v>
      </c>
      <c r="L12" s="62"/>
      <c r="M12" s="9">
        <v>299</v>
      </c>
      <c r="N12" s="9">
        <v>35</v>
      </c>
      <c r="O12" s="9">
        <v>0</v>
      </c>
      <c r="P12" s="74"/>
      <c r="R12" s="4">
        <f t="shared" si="3"/>
        <v>0</v>
      </c>
      <c r="S12" s="4">
        <f t="shared" si="3"/>
        <v>32</v>
      </c>
      <c r="T12" s="4">
        <f t="shared" si="3"/>
        <v>0</v>
      </c>
      <c r="U12" s="64"/>
      <c r="W12" s="40">
        <f t="shared" si="4"/>
        <v>0</v>
      </c>
      <c r="X12" s="40">
        <f t="shared" si="4"/>
        <v>0.91428571428571426</v>
      </c>
      <c r="Y12" s="40" t="e">
        <f t="shared" si="4"/>
        <v>#DIV/0!</v>
      </c>
      <c r="Z12" s="79"/>
    </row>
    <row r="13" spans="1:28" x14ac:dyDescent="0.3">
      <c r="A13" s="210" t="s">
        <v>65</v>
      </c>
      <c r="B13" s="146" t="s">
        <v>66</v>
      </c>
      <c r="C13" s="4" t="s">
        <v>54</v>
      </c>
      <c r="D13" s="4" t="s">
        <v>64</v>
      </c>
      <c r="E13" s="4" t="str">
        <f t="shared" si="2"/>
        <v>86790-0K110BP</v>
      </c>
      <c r="F13" s="4" t="s">
        <v>56</v>
      </c>
      <c r="G13" s="4">
        <v>18</v>
      </c>
      <c r="H13" s="174">
        <f>IFERROR(VLOOKUP($E13,Analyze!$B$63:$F$105,2,0),0)</f>
        <v>1201</v>
      </c>
      <c r="I13" s="6">
        <f>IFERROR(VLOOKUP($E13,Analyze!$B$63:$F$105,3,0),0)</f>
        <v>958</v>
      </c>
      <c r="J13" s="6">
        <f>IFERROR(VLOOKUP($E13,Analyze!$B$63:$F$105,4,0),0)</f>
        <v>547</v>
      </c>
      <c r="K13" s="6">
        <f>IFERROR(VLOOKUP($E13,Analyze!$B$63:$F$105,5,0),0)</f>
        <v>1185</v>
      </c>
      <c r="L13" s="62"/>
      <c r="M13" s="9">
        <v>1201</v>
      </c>
      <c r="N13" s="9">
        <v>1058</v>
      </c>
      <c r="O13" s="9">
        <v>677</v>
      </c>
      <c r="P13" s="74"/>
      <c r="R13" s="4">
        <f t="shared" si="3"/>
        <v>0</v>
      </c>
      <c r="S13" s="4">
        <f t="shared" si="3"/>
        <v>-100</v>
      </c>
      <c r="T13" s="6">
        <f t="shared" si="3"/>
        <v>-130</v>
      </c>
      <c r="U13" s="64"/>
      <c r="W13" s="40">
        <f t="shared" si="4"/>
        <v>0</v>
      </c>
      <c r="X13" s="40">
        <f t="shared" si="4"/>
        <v>-9.4517958412098299E-2</v>
      </c>
      <c r="Y13" s="40">
        <f t="shared" si="4"/>
        <v>-0.19202363367799113</v>
      </c>
      <c r="Z13" s="79"/>
    </row>
    <row r="14" spans="1:28" x14ac:dyDescent="0.3">
      <c r="A14" s="210" t="s">
        <v>67</v>
      </c>
      <c r="B14" s="69" t="s">
        <v>39</v>
      </c>
      <c r="C14" s="4" t="s">
        <v>60</v>
      </c>
      <c r="D14" s="4" t="s">
        <v>55</v>
      </c>
      <c r="E14" s="4" t="str">
        <f t="shared" si="2"/>
        <v>86790-0K141SR</v>
      </c>
      <c r="F14" s="4" t="s">
        <v>56</v>
      </c>
      <c r="G14" s="4">
        <v>8</v>
      </c>
      <c r="H14" s="174">
        <f>IFERROR(VLOOKUP($E14,Analyze!$B$63:$F$105,2,0),0)</f>
        <v>2</v>
      </c>
      <c r="I14" s="6">
        <f>IFERROR(VLOOKUP($E14,Analyze!$B$63:$F$105,3,0),0)</f>
        <v>4</v>
      </c>
      <c r="J14" s="6">
        <f>IFERROR(VLOOKUP($E14,Analyze!$B$63:$F$105,4,0),0)</f>
        <v>0</v>
      </c>
      <c r="K14" s="6">
        <f>IFERROR(VLOOKUP($E14,Analyze!$B$63:$F$105,5,0),0)</f>
        <v>0</v>
      </c>
      <c r="L14" s="62"/>
      <c r="M14" s="9">
        <v>2</v>
      </c>
      <c r="N14" s="9">
        <v>4</v>
      </c>
      <c r="O14" s="9">
        <v>63</v>
      </c>
      <c r="P14" s="74"/>
      <c r="R14" s="4">
        <f t="shared" si="3"/>
        <v>0</v>
      </c>
      <c r="S14" s="4">
        <f t="shared" si="3"/>
        <v>0</v>
      </c>
      <c r="T14" s="4">
        <f t="shared" si="3"/>
        <v>-63</v>
      </c>
      <c r="U14" s="64"/>
      <c r="W14" s="40">
        <f t="shared" si="4"/>
        <v>0</v>
      </c>
      <c r="X14" s="40">
        <f t="shared" si="4"/>
        <v>0</v>
      </c>
      <c r="Y14" s="40">
        <f t="shared" si="4"/>
        <v>-1</v>
      </c>
      <c r="Z14" s="79"/>
    </row>
    <row r="15" spans="1:28" x14ac:dyDescent="0.3">
      <c r="A15" s="210" t="s">
        <v>67</v>
      </c>
      <c r="B15" s="69" t="s">
        <v>39</v>
      </c>
      <c r="C15" s="4" t="s">
        <v>60</v>
      </c>
      <c r="D15" s="4" t="s">
        <v>64</v>
      </c>
      <c r="E15" s="4" t="str">
        <f t="shared" si="2"/>
        <v>86790-0K141BP</v>
      </c>
      <c r="F15" s="4" t="s">
        <v>56</v>
      </c>
      <c r="G15" s="4">
        <v>8</v>
      </c>
      <c r="H15" s="174">
        <f>IFERROR(VLOOKUP($E15,Analyze!$B$63:$F$105,2,0),0)</f>
        <v>232</v>
      </c>
      <c r="I15" s="6">
        <f>IFERROR(VLOOKUP($E15,Analyze!$B$63:$F$105,3,0),0)</f>
        <v>336</v>
      </c>
      <c r="J15" s="6">
        <f>IFERROR(VLOOKUP($E15,Analyze!$B$63:$F$105,4,0),0)</f>
        <v>59</v>
      </c>
      <c r="K15" s="6">
        <f>IFERROR(VLOOKUP($E15,Analyze!$B$63:$F$105,5,0),0)</f>
        <v>0</v>
      </c>
      <c r="L15" s="62"/>
      <c r="M15" s="8">
        <v>232</v>
      </c>
      <c r="N15" s="8">
        <v>194</v>
      </c>
      <c r="O15" s="8">
        <v>4</v>
      </c>
      <c r="P15" s="74"/>
      <c r="R15" s="4">
        <f t="shared" si="3"/>
        <v>0</v>
      </c>
      <c r="S15" s="6">
        <f t="shared" si="3"/>
        <v>142</v>
      </c>
      <c r="T15" s="6">
        <f t="shared" si="3"/>
        <v>55</v>
      </c>
      <c r="U15" s="64"/>
      <c r="W15" s="40">
        <f t="shared" si="4"/>
        <v>0</v>
      </c>
      <c r="X15" s="40">
        <f t="shared" si="4"/>
        <v>0.73195876288659789</v>
      </c>
      <c r="Y15" s="40">
        <f t="shared" si="4"/>
        <v>13.75</v>
      </c>
      <c r="Z15" s="79"/>
    </row>
    <row r="16" spans="1:28" ht="14.4" customHeight="1" x14ac:dyDescent="0.3">
      <c r="A16" s="211" t="s">
        <v>68</v>
      </c>
      <c r="B16" s="69" t="s">
        <v>39</v>
      </c>
      <c r="C16" s="4" t="s">
        <v>60</v>
      </c>
      <c r="D16" s="4" t="s">
        <v>61</v>
      </c>
      <c r="E16" s="4" t="str">
        <f t="shared" si="2"/>
        <v>86790-0K141BPK</v>
      </c>
      <c r="F16" s="4" t="s">
        <v>69</v>
      </c>
      <c r="H16" s="174">
        <f>IFERROR(VLOOKUP($E16,Analyze!$B$63:$F$105,2,0),0)</f>
        <v>1712</v>
      </c>
      <c r="I16" s="6">
        <f>IFERROR(VLOOKUP($E16,Analyze!$B$63:$F$105,3,0),0)</f>
        <v>2064</v>
      </c>
      <c r="J16" s="6">
        <f>IFERROR(VLOOKUP($E16,Analyze!$B$63:$F$105,4,0),0)</f>
        <v>1392</v>
      </c>
      <c r="K16" s="6">
        <f>IFERROR(VLOOKUP($E16,Analyze!$B$63:$F$105,5,0),0)</f>
        <v>912</v>
      </c>
      <c r="L16" s="62"/>
      <c r="M16" s="9">
        <v>1760</v>
      </c>
      <c r="N16" s="9">
        <v>2000</v>
      </c>
      <c r="O16" s="9">
        <v>1712</v>
      </c>
      <c r="P16" s="74"/>
      <c r="R16" s="239">
        <f t="shared" si="3"/>
        <v>-48</v>
      </c>
      <c r="S16" s="239">
        <f t="shared" si="3"/>
        <v>64</v>
      </c>
      <c r="T16" s="239">
        <f t="shared" si="3"/>
        <v>-320</v>
      </c>
      <c r="U16" s="64"/>
      <c r="W16" s="40">
        <f t="shared" si="4"/>
        <v>-2.7272727272727271E-2</v>
      </c>
      <c r="X16" s="40">
        <f t="shared" si="4"/>
        <v>3.2000000000000001E-2</v>
      </c>
      <c r="Y16" s="40">
        <f t="shared" si="4"/>
        <v>-0.18691588785046728</v>
      </c>
      <c r="Z16" s="79"/>
    </row>
    <row r="17" spans="1:26" x14ac:dyDescent="0.3">
      <c r="A17" s="70" t="s">
        <v>70</v>
      </c>
      <c r="D17" s="4" t="s">
        <v>61</v>
      </c>
      <c r="F17" s="4" t="s">
        <v>62</v>
      </c>
      <c r="G17" s="4">
        <v>8</v>
      </c>
      <c r="H17" s="174">
        <f>IFERROR(VLOOKUP($E17,Analyze!$B$63:$F$105,2,0),0)</f>
        <v>0</v>
      </c>
      <c r="I17" s="6">
        <f>IFERROR(VLOOKUP($E17,Analyze!$B$63:$F$105,3,0),0)</f>
        <v>0</v>
      </c>
      <c r="J17" s="6">
        <f>IFERROR(VLOOKUP($E17,Analyze!$B$63:$F$105,4,0),0)</f>
        <v>0</v>
      </c>
      <c r="K17" s="6">
        <f>IFERROR(VLOOKUP($E17,Analyze!$B$63:$F$105,5,0),0)</f>
        <v>0</v>
      </c>
      <c r="M17" s="4">
        <v>0</v>
      </c>
      <c r="N17" s="4">
        <v>0</v>
      </c>
      <c r="O17" s="4">
        <v>0</v>
      </c>
    </row>
    <row r="18" spans="1:26" x14ac:dyDescent="0.3">
      <c r="A18" s="210" t="s">
        <v>71</v>
      </c>
      <c r="B18" s="69" t="s">
        <v>72</v>
      </c>
      <c r="C18" s="4" t="s">
        <v>60</v>
      </c>
      <c r="D18" s="4" t="s">
        <v>64</v>
      </c>
      <c r="E18" s="4" t="str">
        <f>B18&amp;D18</f>
        <v>86790-0K230BP</v>
      </c>
      <c r="F18" s="4" t="s">
        <v>56</v>
      </c>
      <c r="G18" s="4">
        <v>10</v>
      </c>
      <c r="H18" s="174">
        <f>IFERROR(VLOOKUP($E18,Analyze!$B$63:$F$105,2,0),0)</f>
        <v>618</v>
      </c>
      <c r="I18" s="6">
        <f>IFERROR(VLOOKUP($E18,Analyze!$B$63:$F$105,3,0),0)</f>
        <v>733</v>
      </c>
      <c r="J18" s="6">
        <f>IFERROR(VLOOKUP($E18,Analyze!$B$63:$F$105,4,0),0)</f>
        <v>406</v>
      </c>
      <c r="K18" s="6">
        <f>IFERROR(VLOOKUP($E18,Analyze!$B$63:$F$105,5,0),0)</f>
        <v>0</v>
      </c>
      <c r="L18" s="62"/>
      <c r="M18" s="9">
        <v>618</v>
      </c>
      <c r="N18" s="9">
        <v>541</v>
      </c>
      <c r="O18" s="9">
        <v>408</v>
      </c>
      <c r="P18" s="74"/>
      <c r="R18" s="6">
        <f t="shared" ref="R18:R55" si="5">H18-M18</f>
        <v>0</v>
      </c>
      <c r="S18" s="4">
        <f t="shared" ref="S18:S55" si="6">I18-N18</f>
        <v>192</v>
      </c>
      <c r="T18" s="4">
        <f t="shared" ref="T18:T55" si="7">J18-O18</f>
        <v>-2</v>
      </c>
      <c r="U18" s="64"/>
      <c r="W18" s="40">
        <f t="shared" ref="W18:W55" si="8">(R18/M18)</f>
        <v>0</v>
      </c>
      <c r="X18" s="40">
        <f t="shared" ref="X18:X55" si="9">(S18/N18)</f>
        <v>0.35489833641404805</v>
      </c>
      <c r="Y18" s="40">
        <f t="shared" ref="Y18:Y55" si="10">(T18/O18)</f>
        <v>-4.9019607843137254E-3</v>
      </c>
      <c r="Z18" s="79"/>
    </row>
    <row r="19" spans="1:26" x14ac:dyDescent="0.3">
      <c r="A19" s="138" t="s">
        <v>73</v>
      </c>
      <c r="B19" s="138" t="s">
        <v>53</v>
      </c>
      <c r="C19" s="64" t="s">
        <v>54</v>
      </c>
      <c r="D19" s="64" t="s">
        <v>61</v>
      </c>
      <c r="E19" s="64" t="str">
        <f>B19&amp;D19</f>
        <v>86790-0K050BPK</v>
      </c>
      <c r="F19" s="64" t="s">
        <v>69</v>
      </c>
      <c r="G19" s="64">
        <v>20</v>
      </c>
      <c r="H19" s="272">
        <f>IFERROR(VLOOKUP($E19,Analyze!$B$63:$F$105,2,0),0)</f>
        <v>0</v>
      </c>
      <c r="I19" s="272">
        <f>IFERROR(VLOOKUP($E19,Analyze!$B$63:$F$105,3,0),0)</f>
        <v>0</v>
      </c>
      <c r="J19" s="272">
        <f>IFERROR(VLOOKUP($E19,Analyze!$B$63:$F$105,4,0),0)</f>
        <v>0</v>
      </c>
      <c r="K19" s="272">
        <f>IFERROR(VLOOKUP($E19,Analyze!$B$63:$F$105,5,0),0)</f>
        <v>0</v>
      </c>
      <c r="L19" s="140"/>
      <c r="M19" s="65">
        <v>0</v>
      </c>
      <c r="N19" s="65">
        <v>0</v>
      </c>
      <c r="O19" s="65">
        <v>0</v>
      </c>
      <c r="P19" s="65"/>
      <c r="Q19" s="64"/>
      <c r="R19" s="4">
        <f t="shared" si="5"/>
        <v>0</v>
      </c>
      <c r="S19" s="4">
        <f t="shared" si="6"/>
        <v>0</v>
      </c>
      <c r="T19" s="4">
        <f t="shared" si="7"/>
        <v>0</v>
      </c>
      <c r="U19" s="64"/>
      <c r="W19" s="216" t="e">
        <f t="shared" si="8"/>
        <v>#DIV/0!</v>
      </c>
      <c r="X19" s="216" t="e">
        <f t="shared" si="9"/>
        <v>#DIV/0!</v>
      </c>
      <c r="Y19" s="216" t="e">
        <f t="shared" si="10"/>
        <v>#DIV/0!</v>
      </c>
      <c r="Z19" s="79"/>
    </row>
    <row r="20" spans="1:26" x14ac:dyDescent="0.3">
      <c r="A20" s="138" t="s">
        <v>74</v>
      </c>
      <c r="B20" s="138" t="s">
        <v>53</v>
      </c>
      <c r="C20" s="64" t="s">
        <v>54</v>
      </c>
      <c r="D20" s="64" t="s">
        <v>61</v>
      </c>
      <c r="E20" s="64" t="str">
        <f>B20&amp;D20&amp;F20</f>
        <v>86790-0K050BPKTP1</v>
      </c>
      <c r="F20" s="64" t="s">
        <v>62</v>
      </c>
      <c r="G20" s="64">
        <v>25</v>
      </c>
      <c r="H20" s="272">
        <f>IFERROR(VLOOKUP($E20,Analyze!$B$63:$F$105,2,0),0)</f>
        <v>0</v>
      </c>
      <c r="I20" s="272">
        <f>IFERROR(VLOOKUP($E20,Analyze!$B$63:$F$105,3,0),0)</f>
        <v>0</v>
      </c>
      <c r="J20" s="272">
        <f>IFERROR(VLOOKUP($E20,Analyze!$B$63:$F$105,4,0),0)</f>
        <v>0</v>
      </c>
      <c r="K20" s="272">
        <f>IFERROR(VLOOKUP($E20,Analyze!$B$63:$F$105,5,0),0)</f>
        <v>0</v>
      </c>
      <c r="L20" s="140"/>
      <c r="M20" s="65">
        <v>0</v>
      </c>
      <c r="N20" s="65">
        <v>0</v>
      </c>
      <c r="O20" s="65">
        <v>0</v>
      </c>
      <c r="P20" s="65"/>
      <c r="Q20" s="64"/>
      <c r="R20" s="4">
        <f t="shared" si="5"/>
        <v>0</v>
      </c>
      <c r="S20" s="4">
        <f t="shared" si="6"/>
        <v>0</v>
      </c>
      <c r="T20" s="4">
        <f t="shared" si="7"/>
        <v>0</v>
      </c>
      <c r="U20" s="64"/>
      <c r="W20" s="216" t="e">
        <f t="shared" si="8"/>
        <v>#DIV/0!</v>
      </c>
      <c r="X20" s="216" t="e">
        <f t="shared" si="9"/>
        <v>#DIV/0!</v>
      </c>
      <c r="Y20" s="216" t="e">
        <f t="shared" si="10"/>
        <v>#DIV/0!</v>
      </c>
      <c r="Z20" s="79"/>
    </row>
    <row r="21" spans="1:26" x14ac:dyDescent="0.3">
      <c r="A21" s="154" t="s">
        <v>75</v>
      </c>
      <c r="B21" s="69" t="s">
        <v>66</v>
      </c>
      <c r="C21" s="4" t="s">
        <v>54</v>
      </c>
      <c r="D21" s="4" t="s">
        <v>61</v>
      </c>
      <c r="E21" s="4" t="str">
        <f>B21&amp;D21</f>
        <v>86790-0K110BPK</v>
      </c>
      <c r="F21" s="4" t="s">
        <v>69</v>
      </c>
      <c r="G21" s="4">
        <v>20</v>
      </c>
      <c r="H21" s="174">
        <f>IFERROR(VLOOKUP($E21,Analyze!$B$63:$F$105,2,0),0)</f>
        <v>6680</v>
      </c>
      <c r="I21" s="6">
        <f>IFERROR(VLOOKUP($E21,Analyze!$B$63:$F$105,3,0),0)</f>
        <v>6740</v>
      </c>
      <c r="J21" s="6">
        <f>IFERROR(VLOOKUP($E21,Analyze!$B$63:$F$105,4,0),0)</f>
        <v>5120</v>
      </c>
      <c r="K21" s="6">
        <f>IFERROR(VLOOKUP($E21,Analyze!$B$63:$F$105,5,0),0)</f>
        <v>4220</v>
      </c>
      <c r="L21" s="62"/>
      <c r="M21" s="9">
        <v>6660</v>
      </c>
      <c r="N21" s="9">
        <v>5700</v>
      </c>
      <c r="O21" s="9">
        <v>5940</v>
      </c>
      <c r="P21" s="74"/>
      <c r="R21" s="4">
        <f t="shared" si="5"/>
        <v>20</v>
      </c>
      <c r="S21" s="4">
        <f t="shared" si="6"/>
        <v>1040</v>
      </c>
      <c r="T21" s="4">
        <f t="shared" si="7"/>
        <v>-820</v>
      </c>
      <c r="U21" s="64"/>
      <c r="W21" s="40">
        <f t="shared" si="8"/>
        <v>3.003003003003003E-3</v>
      </c>
      <c r="X21" s="40">
        <f t="shared" si="9"/>
        <v>0.18245614035087721</v>
      </c>
      <c r="Y21" s="40">
        <f t="shared" si="10"/>
        <v>-0.13804713804713806</v>
      </c>
      <c r="Z21" s="79"/>
    </row>
    <row r="22" spans="1:26" x14ac:dyDescent="0.3">
      <c r="A22" s="154" t="s">
        <v>76</v>
      </c>
      <c r="B22" s="69" t="s">
        <v>66</v>
      </c>
      <c r="C22" s="4" t="s">
        <v>54</v>
      </c>
      <c r="D22" s="4" t="s">
        <v>61</v>
      </c>
      <c r="E22" s="4" t="str">
        <f>B22&amp;D22&amp;F22</f>
        <v>86790-0K110BPKTP1</v>
      </c>
      <c r="F22" s="4" t="s">
        <v>62</v>
      </c>
      <c r="G22" s="4">
        <v>18</v>
      </c>
      <c r="H22" s="174">
        <f>IFERROR(VLOOKUP($E22,Analyze!$B$63:$F$105,2,0),0)</f>
        <v>170</v>
      </c>
      <c r="I22" s="6">
        <f>IFERROR(VLOOKUP($E22,Analyze!$B$63:$F$105,3,0),0)</f>
        <v>380</v>
      </c>
      <c r="J22" s="6">
        <f>IFERROR(VLOOKUP($E22,Analyze!$B$63:$F$105,4,0),0)</f>
        <v>130</v>
      </c>
      <c r="K22" s="6">
        <f>IFERROR(VLOOKUP($E22,Analyze!$B$63:$F$105,5,0),0)</f>
        <v>210</v>
      </c>
      <c r="L22" s="62"/>
      <c r="M22" s="9">
        <v>230</v>
      </c>
      <c r="N22" s="9">
        <v>170</v>
      </c>
      <c r="O22" s="9">
        <v>160</v>
      </c>
      <c r="P22" s="74"/>
      <c r="R22" s="4">
        <f t="shared" si="5"/>
        <v>-60</v>
      </c>
      <c r="S22" s="4">
        <f t="shared" si="6"/>
        <v>210</v>
      </c>
      <c r="T22" s="4">
        <f t="shared" si="7"/>
        <v>-30</v>
      </c>
      <c r="U22" s="64"/>
      <c r="W22" s="40">
        <f t="shared" si="8"/>
        <v>-0.2608695652173913</v>
      </c>
      <c r="X22" s="40">
        <f t="shared" si="9"/>
        <v>1.2352941176470589</v>
      </c>
      <c r="Y22" s="40">
        <f t="shared" si="10"/>
        <v>-0.1875</v>
      </c>
      <c r="Z22" s="79"/>
    </row>
    <row r="23" spans="1:26" ht="14.4" customHeight="1" x14ac:dyDescent="0.3">
      <c r="A23" s="138" t="s">
        <v>77</v>
      </c>
      <c r="B23" s="139" t="s">
        <v>77</v>
      </c>
      <c r="C23" s="64" t="s">
        <v>54</v>
      </c>
      <c r="D23" s="64" t="s">
        <v>61</v>
      </c>
      <c r="E23" s="64" t="str">
        <f>B23&amp;D23</f>
        <v>86790-0K130BPK</v>
      </c>
      <c r="F23" s="64" t="s">
        <v>69</v>
      </c>
      <c r="G23" s="64">
        <v>20</v>
      </c>
      <c r="H23" s="272">
        <f>IFERROR(VLOOKUP($E23,Analyze!$B$63:$F$105,2,0),0)</f>
        <v>0</v>
      </c>
      <c r="I23" s="272">
        <f>IFERROR(VLOOKUP($E23,Analyze!$B$63:$F$105,3,0),0)</f>
        <v>0</v>
      </c>
      <c r="J23" s="272">
        <f>IFERROR(VLOOKUP($E23,Analyze!$B$63:$F$105,4,0),0)</f>
        <v>0</v>
      </c>
      <c r="K23" s="272">
        <f>IFERROR(VLOOKUP($E23,Analyze!$B$63:$F$105,5,0),0)</f>
        <v>0</v>
      </c>
      <c r="L23" s="140"/>
      <c r="M23" s="65">
        <v>0</v>
      </c>
      <c r="N23" s="65">
        <v>0</v>
      </c>
      <c r="O23" s="65">
        <v>0</v>
      </c>
      <c r="P23" s="65"/>
      <c r="Q23" s="64"/>
      <c r="R23" s="4">
        <f t="shared" si="5"/>
        <v>0</v>
      </c>
      <c r="S23" s="4">
        <f t="shared" si="6"/>
        <v>0</v>
      </c>
      <c r="T23" s="4">
        <f t="shared" si="7"/>
        <v>0</v>
      </c>
      <c r="U23" s="64"/>
      <c r="V23" s="64"/>
      <c r="W23" s="216" t="e">
        <f t="shared" si="8"/>
        <v>#DIV/0!</v>
      </c>
      <c r="X23" s="216" t="e">
        <f t="shared" si="9"/>
        <v>#DIV/0!</v>
      </c>
      <c r="Y23" s="216" t="e">
        <f t="shared" si="10"/>
        <v>#DIV/0!</v>
      </c>
      <c r="Z23" s="79"/>
    </row>
    <row r="24" spans="1:26" x14ac:dyDescent="0.3">
      <c r="A24" s="210" t="s">
        <v>78</v>
      </c>
      <c r="B24" s="69" t="s">
        <v>41</v>
      </c>
      <c r="C24" s="4" t="s">
        <v>60</v>
      </c>
      <c r="D24" s="4" t="s">
        <v>55</v>
      </c>
      <c r="E24" s="4" t="str">
        <f>B24&amp;D24</f>
        <v>86790-0K171SR</v>
      </c>
      <c r="F24" s="4" t="s">
        <v>56</v>
      </c>
      <c r="G24" s="4">
        <v>8</v>
      </c>
      <c r="H24" s="174">
        <f>IFERROR(VLOOKUP($E24,Analyze!$B$63:$F$105,2,0),0)</f>
        <v>251</v>
      </c>
      <c r="I24" s="6">
        <f>IFERROR(VLOOKUP($E24,Analyze!$B$63:$F$105,3,0),0)</f>
        <v>285</v>
      </c>
      <c r="J24" s="6">
        <f>IFERROR(VLOOKUP($E24,Analyze!$B$63:$F$105,4,0),0)</f>
        <v>360</v>
      </c>
      <c r="K24" s="6">
        <f>IFERROR(VLOOKUP($E24,Analyze!$B$63:$F$105,5,0),0)</f>
        <v>0</v>
      </c>
      <c r="L24" s="62"/>
      <c r="M24" s="9">
        <v>251</v>
      </c>
      <c r="N24" s="9">
        <v>215</v>
      </c>
      <c r="O24" s="9">
        <v>364</v>
      </c>
      <c r="P24" s="74"/>
      <c r="R24" s="4">
        <f t="shared" si="5"/>
        <v>0</v>
      </c>
      <c r="S24" s="4">
        <f t="shared" si="6"/>
        <v>70</v>
      </c>
      <c r="T24" s="4">
        <f t="shared" si="7"/>
        <v>-4</v>
      </c>
      <c r="U24" s="64"/>
      <c r="W24" s="40">
        <f t="shared" si="8"/>
        <v>0</v>
      </c>
      <c r="X24" s="40">
        <f t="shared" si="9"/>
        <v>0.32558139534883723</v>
      </c>
      <c r="Y24" s="40">
        <f t="shared" si="10"/>
        <v>-1.098901098901099E-2</v>
      </c>
      <c r="Z24" s="79"/>
    </row>
    <row r="25" spans="1:26" ht="14.4" customHeight="1" x14ac:dyDescent="0.3">
      <c r="A25" s="210" t="s">
        <v>78</v>
      </c>
      <c r="B25" s="69" t="s">
        <v>41</v>
      </c>
      <c r="C25" s="4" t="s">
        <v>60</v>
      </c>
      <c r="D25" s="4" t="s">
        <v>64</v>
      </c>
      <c r="E25" s="4" t="str">
        <f>B25&amp;D25</f>
        <v>86790-0K171BP</v>
      </c>
      <c r="F25" s="4" t="s">
        <v>56</v>
      </c>
      <c r="G25" s="4">
        <v>8</v>
      </c>
      <c r="H25" s="174">
        <f>IFERROR(VLOOKUP($E25,Analyze!$B$63:$F$105,2,0),0)</f>
        <v>485</v>
      </c>
      <c r="I25" s="6">
        <f>IFERROR(VLOOKUP($E25,Analyze!$B$63:$F$105,3,0),0)</f>
        <v>402</v>
      </c>
      <c r="J25" s="6">
        <f>IFERROR(VLOOKUP($E25,Analyze!$B$63:$F$105,4,0),0)</f>
        <v>299</v>
      </c>
      <c r="K25" s="6">
        <f>IFERROR(VLOOKUP($E25,Analyze!$B$63:$F$105,5,0),0)</f>
        <v>0</v>
      </c>
      <c r="L25" s="62"/>
      <c r="M25" s="9">
        <v>485</v>
      </c>
      <c r="N25" s="9">
        <v>276</v>
      </c>
      <c r="O25" s="9">
        <v>295</v>
      </c>
      <c r="P25" s="74"/>
      <c r="R25" s="239">
        <f t="shared" si="5"/>
        <v>0</v>
      </c>
      <c r="S25" s="239">
        <f t="shared" si="6"/>
        <v>126</v>
      </c>
      <c r="T25" s="239">
        <f t="shared" si="7"/>
        <v>4</v>
      </c>
      <c r="U25" s="64"/>
      <c r="W25" s="40">
        <f t="shared" si="8"/>
        <v>0</v>
      </c>
      <c r="X25" s="40">
        <f t="shared" si="9"/>
        <v>0.45652173913043476</v>
      </c>
      <c r="Y25" s="40">
        <f t="shared" si="10"/>
        <v>1.3559322033898305E-2</v>
      </c>
      <c r="Z25" s="79"/>
    </row>
    <row r="26" spans="1:26" x14ac:dyDescent="0.3">
      <c r="A26" s="211" t="s">
        <v>79</v>
      </c>
      <c r="B26" s="69" t="s">
        <v>41</v>
      </c>
      <c r="C26" s="4" t="s">
        <v>60</v>
      </c>
      <c r="D26" s="4" t="s">
        <v>61</v>
      </c>
      <c r="E26" s="4" t="str">
        <f>B26&amp;D26</f>
        <v>86790-0K171BPK</v>
      </c>
      <c r="F26" s="4" t="s">
        <v>69</v>
      </c>
      <c r="H26" s="174">
        <f>IFERROR(VLOOKUP($E26,Analyze!$B$63:$F$105,2,0),0)</f>
        <v>0</v>
      </c>
      <c r="I26" s="6">
        <f>IFERROR(VLOOKUP($E26,Analyze!$B$63:$F$105,3,0),0)</f>
        <v>0</v>
      </c>
      <c r="J26" s="6">
        <f>IFERROR(VLOOKUP($E26,Analyze!$B$63:$F$105,4,0),0)</f>
        <v>0</v>
      </c>
      <c r="K26" s="6">
        <f>IFERROR(VLOOKUP($E26,Analyze!$B$63:$F$105,5,0),0)</f>
        <v>0</v>
      </c>
      <c r="L26" s="6"/>
      <c r="M26" s="9">
        <v>0</v>
      </c>
      <c r="N26" s="9">
        <v>0</v>
      </c>
      <c r="O26" s="9">
        <v>0</v>
      </c>
      <c r="P26" s="74"/>
      <c r="R26" s="4">
        <f t="shared" si="5"/>
        <v>0</v>
      </c>
      <c r="S26" s="4">
        <f t="shared" si="6"/>
        <v>0</v>
      </c>
      <c r="T26" s="4">
        <f t="shared" si="7"/>
        <v>0</v>
      </c>
      <c r="U26" s="64"/>
      <c r="W26" s="40" t="e">
        <f t="shared" si="8"/>
        <v>#DIV/0!</v>
      </c>
      <c r="X26" s="40" t="e">
        <f t="shared" si="9"/>
        <v>#DIV/0!</v>
      </c>
      <c r="Y26" s="40" t="e">
        <f t="shared" si="10"/>
        <v>#DIV/0!</v>
      </c>
      <c r="Z26" s="79"/>
    </row>
    <row r="27" spans="1:26" x14ac:dyDescent="0.3">
      <c r="A27" s="211" t="s">
        <v>80</v>
      </c>
      <c r="B27" s="69" t="s">
        <v>41</v>
      </c>
      <c r="C27" s="4" t="s">
        <v>60</v>
      </c>
      <c r="D27" s="4" t="s">
        <v>61</v>
      </c>
      <c r="E27" s="4" t="str">
        <f>B27&amp;D27&amp;F27</f>
        <v>86790-0K171BPKTP1</v>
      </c>
      <c r="F27" s="46" t="s">
        <v>62</v>
      </c>
      <c r="H27" s="174">
        <f>IFERROR(VLOOKUP($E27,Analyze!$B$63:$F$105,2,0),0)</f>
        <v>290</v>
      </c>
      <c r="I27" s="6">
        <f>IFERROR(VLOOKUP($E27,Analyze!$B$63:$F$105,3,0),0)</f>
        <v>390</v>
      </c>
      <c r="J27" s="6">
        <f>IFERROR(VLOOKUP($E27,Analyze!$B$63:$F$105,4,0),0)</f>
        <v>360</v>
      </c>
      <c r="K27" s="6">
        <f>IFERROR(VLOOKUP($E27,Analyze!$B$63:$F$105,5,0),0)</f>
        <v>230</v>
      </c>
      <c r="M27" s="8">
        <v>440</v>
      </c>
      <c r="N27" s="8">
        <v>430</v>
      </c>
      <c r="O27" s="8">
        <v>350</v>
      </c>
      <c r="P27" s="74"/>
      <c r="R27" s="4">
        <f t="shared" si="5"/>
        <v>-150</v>
      </c>
      <c r="S27" s="4">
        <f t="shared" si="6"/>
        <v>-40</v>
      </c>
      <c r="T27" s="4">
        <f t="shared" si="7"/>
        <v>10</v>
      </c>
      <c r="U27" s="64"/>
      <c r="W27" s="40">
        <f t="shared" si="8"/>
        <v>-0.34090909090909088</v>
      </c>
      <c r="X27" s="40">
        <f t="shared" si="9"/>
        <v>-9.3023255813953487E-2</v>
      </c>
      <c r="Y27" s="40">
        <f t="shared" si="10"/>
        <v>2.8571428571428571E-2</v>
      </c>
      <c r="Z27" s="79"/>
    </row>
    <row r="28" spans="1:26" x14ac:dyDescent="0.3">
      <c r="A28" s="154" t="s">
        <v>81</v>
      </c>
      <c r="B28" s="69" t="s">
        <v>29</v>
      </c>
      <c r="C28" s="4" t="s">
        <v>54</v>
      </c>
      <c r="D28" s="4" t="s">
        <v>61</v>
      </c>
      <c r="E28" s="4" t="str">
        <f t="shared" ref="E28:E35" si="11">B28&amp;D28</f>
        <v>86790-0K120BPK</v>
      </c>
      <c r="F28" s="4" t="s">
        <v>69</v>
      </c>
      <c r="H28" s="174">
        <f>IFERROR(VLOOKUP($E28,Analyze!$B$63:$F$105,2,0),0)</f>
        <v>240</v>
      </c>
      <c r="I28" s="6">
        <f>IFERROR(VLOOKUP($E28,Analyze!$B$63:$F$105,3,0),0)</f>
        <v>360</v>
      </c>
      <c r="J28" s="6">
        <f>IFERROR(VLOOKUP($E28,Analyze!$B$63:$F$105,4,0),0)</f>
        <v>200</v>
      </c>
      <c r="K28" s="6">
        <f>IFERROR(VLOOKUP($E28,Analyze!$B$63:$F$105,5,0),0)</f>
        <v>20</v>
      </c>
      <c r="L28" s="56" t="s">
        <v>82</v>
      </c>
      <c r="M28" s="8">
        <v>240</v>
      </c>
      <c r="N28" s="8">
        <v>360</v>
      </c>
      <c r="O28" s="8">
        <v>360</v>
      </c>
      <c r="P28" s="75"/>
      <c r="R28" s="4">
        <f t="shared" si="5"/>
        <v>0</v>
      </c>
      <c r="S28" s="4">
        <f t="shared" si="6"/>
        <v>0</v>
      </c>
      <c r="T28" s="4">
        <f t="shared" si="7"/>
        <v>-160</v>
      </c>
      <c r="U28" s="64"/>
      <c r="W28" s="40">
        <f t="shared" si="8"/>
        <v>0</v>
      </c>
      <c r="X28" s="40">
        <f t="shared" si="9"/>
        <v>0</v>
      </c>
      <c r="Y28" s="40">
        <f t="shared" si="10"/>
        <v>-0.44444444444444442</v>
      </c>
      <c r="Z28" s="79"/>
    </row>
    <row r="29" spans="1:26" x14ac:dyDescent="0.3">
      <c r="A29" s="157" t="s">
        <v>83</v>
      </c>
      <c r="B29" s="69" t="s">
        <v>31</v>
      </c>
      <c r="C29" s="4" t="s">
        <v>54</v>
      </c>
      <c r="D29" s="4" t="s">
        <v>61</v>
      </c>
      <c r="E29" s="4" t="str">
        <f t="shared" si="11"/>
        <v>86790-0K200BPK</v>
      </c>
      <c r="F29" s="4" t="s">
        <v>69</v>
      </c>
      <c r="G29" s="20"/>
      <c r="H29" s="174">
        <f>IFERROR(VLOOKUP($E29,Analyze!$B$63:$F$105,2,0),0)</f>
        <v>3020</v>
      </c>
      <c r="I29" s="6">
        <f>IFERROR(VLOOKUP($E29,Analyze!$B$63:$F$105,3,0),0)</f>
        <v>2820</v>
      </c>
      <c r="J29" s="6">
        <f>IFERROR(VLOOKUP($E29,Analyze!$B$63:$F$105,4,0),0)</f>
        <v>2880</v>
      </c>
      <c r="K29" s="6">
        <f>IFERROR(VLOOKUP($E29,Analyze!$B$63:$F$105,5,0),0)</f>
        <v>2620</v>
      </c>
      <c r="L29" s="56" t="s">
        <v>82</v>
      </c>
      <c r="M29" s="8">
        <v>3020</v>
      </c>
      <c r="N29" s="8">
        <v>2720</v>
      </c>
      <c r="O29" s="8">
        <v>2400</v>
      </c>
      <c r="P29" s="75"/>
      <c r="R29" s="4">
        <f t="shared" si="5"/>
        <v>0</v>
      </c>
      <c r="S29" s="4">
        <f t="shared" si="6"/>
        <v>100</v>
      </c>
      <c r="T29" s="4">
        <f t="shared" si="7"/>
        <v>480</v>
      </c>
      <c r="U29" s="64"/>
      <c r="W29" s="40">
        <f t="shared" si="8"/>
        <v>0</v>
      </c>
      <c r="X29" s="40">
        <f t="shared" si="9"/>
        <v>3.6764705882352942E-2</v>
      </c>
      <c r="Y29" s="40">
        <f t="shared" si="10"/>
        <v>0.2</v>
      </c>
      <c r="Z29" s="79"/>
    </row>
    <row r="30" spans="1:26" ht="14.4" customHeight="1" x14ac:dyDescent="0.3">
      <c r="A30" s="157" t="s">
        <v>84</v>
      </c>
      <c r="B30" s="72" t="s">
        <v>32</v>
      </c>
      <c r="C30" s="4" t="s">
        <v>54</v>
      </c>
      <c r="D30" s="4" t="s">
        <v>61</v>
      </c>
      <c r="E30" s="4" t="str">
        <f t="shared" si="11"/>
        <v>86790-0K220BPK</v>
      </c>
      <c r="F30" s="4" t="s">
        <v>69</v>
      </c>
      <c r="H30" s="174">
        <f>IFERROR(VLOOKUP($E30,Analyze!$B$63:$F$105,2,0),0)</f>
        <v>1160</v>
      </c>
      <c r="I30" s="6">
        <f>IFERROR(VLOOKUP($E30,Analyze!$B$63:$F$105,3,0),0)</f>
        <v>2100</v>
      </c>
      <c r="J30" s="6">
        <f>IFERROR(VLOOKUP($E30,Analyze!$B$63:$F$105,4,0),0)</f>
        <v>2040</v>
      </c>
      <c r="K30" s="6">
        <f>IFERROR(VLOOKUP($E30,Analyze!$B$63:$F$105,5,0),0)</f>
        <v>1040</v>
      </c>
      <c r="L30" s="56" t="s">
        <v>82</v>
      </c>
      <c r="M30" s="8">
        <v>1300</v>
      </c>
      <c r="N30" s="8">
        <v>2160</v>
      </c>
      <c r="O30" s="8">
        <v>2220</v>
      </c>
      <c r="P30" s="75"/>
      <c r="R30" s="4">
        <f t="shared" si="5"/>
        <v>-140</v>
      </c>
      <c r="S30" s="4">
        <f t="shared" si="6"/>
        <v>-60</v>
      </c>
      <c r="T30" s="4">
        <f t="shared" si="7"/>
        <v>-180</v>
      </c>
      <c r="U30" s="64"/>
      <c r="W30" s="40">
        <f t="shared" si="8"/>
        <v>-0.1076923076923077</v>
      </c>
      <c r="X30" s="40">
        <f t="shared" si="9"/>
        <v>-2.7777777777777776E-2</v>
      </c>
      <c r="Y30" s="40">
        <f t="shared" si="10"/>
        <v>-8.1081081081081086E-2</v>
      </c>
      <c r="Z30" s="79"/>
    </row>
    <row r="31" spans="1:26" x14ac:dyDescent="0.3">
      <c r="A31" s="211" t="s">
        <v>85</v>
      </c>
      <c r="B31" s="69" t="s">
        <v>72</v>
      </c>
      <c r="C31" s="4" t="s">
        <v>60</v>
      </c>
      <c r="D31" s="4" t="s">
        <v>61</v>
      </c>
      <c r="E31" s="4" t="str">
        <f t="shared" si="11"/>
        <v>86790-0K230BPK</v>
      </c>
      <c r="F31" s="4" t="s">
        <v>69</v>
      </c>
      <c r="H31" s="174">
        <f>IFERROR(VLOOKUP($E31,Analyze!$B$63:$F$105,2,0),0)</f>
        <v>464</v>
      </c>
      <c r="I31" s="6">
        <f>IFERROR(VLOOKUP($E31,Analyze!$B$63:$F$105,3,0),0)</f>
        <v>576</v>
      </c>
      <c r="J31" s="6">
        <f>IFERROR(VLOOKUP($E31,Analyze!$B$63:$F$105,4,0),0)</f>
        <v>416</v>
      </c>
      <c r="K31" s="6">
        <f>IFERROR(VLOOKUP($E31,Analyze!$B$63:$F$105,5,0),0)</f>
        <v>288</v>
      </c>
      <c r="L31" s="6"/>
      <c r="M31" s="9">
        <v>432</v>
      </c>
      <c r="N31" s="9">
        <v>528</v>
      </c>
      <c r="O31" s="9">
        <v>464</v>
      </c>
      <c r="P31" s="74"/>
      <c r="R31" s="4">
        <f t="shared" si="5"/>
        <v>32</v>
      </c>
      <c r="S31" s="4">
        <f t="shared" si="6"/>
        <v>48</v>
      </c>
      <c r="T31" s="4">
        <f t="shared" si="7"/>
        <v>-48</v>
      </c>
      <c r="U31" s="64"/>
      <c r="W31" s="40">
        <f t="shared" si="8"/>
        <v>7.407407407407407E-2</v>
      </c>
      <c r="X31" s="40">
        <f t="shared" si="9"/>
        <v>9.0909090909090912E-2</v>
      </c>
      <c r="Y31" s="40">
        <f t="shared" si="10"/>
        <v>-0.10344827586206896</v>
      </c>
      <c r="Z31" s="79"/>
    </row>
    <row r="32" spans="1:26" ht="14.4" customHeight="1" x14ac:dyDescent="0.3">
      <c r="A32" s="175" t="s">
        <v>86</v>
      </c>
      <c r="B32" s="139" t="s">
        <v>87</v>
      </c>
      <c r="C32" s="64"/>
      <c r="D32" s="64" t="s">
        <v>88</v>
      </c>
      <c r="E32" s="64" t="str">
        <f t="shared" si="11"/>
        <v>86790-BZ270GW</v>
      </c>
      <c r="F32" s="176" t="s">
        <v>89</v>
      </c>
      <c r="G32" s="176"/>
      <c r="H32" s="272">
        <f>IFERROR(VLOOKUP($E32,Analyze!$B$63:$F$105,2,0),0)</f>
        <v>0</v>
      </c>
      <c r="I32" s="272">
        <f>IFERROR(VLOOKUP($E32,Analyze!$B$63:$F$105,3,0),0)</f>
        <v>0</v>
      </c>
      <c r="J32" s="272">
        <f>IFERROR(VLOOKUP($E32,Analyze!$B$63:$F$105,4,0),0)</f>
        <v>0</v>
      </c>
      <c r="K32" s="272">
        <f>IFERROR(VLOOKUP($E32,Analyze!$B$63:$F$105,5,0),0)</f>
        <v>0</v>
      </c>
      <c r="L32" s="65"/>
      <c r="M32" s="64">
        <v>0</v>
      </c>
      <c r="N32" s="64">
        <v>0</v>
      </c>
      <c r="O32" s="64">
        <v>0</v>
      </c>
      <c r="P32" s="64"/>
      <c r="Q32" s="64"/>
      <c r="R32" s="4">
        <f t="shared" si="5"/>
        <v>0</v>
      </c>
      <c r="S32" s="4">
        <f t="shared" si="6"/>
        <v>0</v>
      </c>
      <c r="T32" s="4">
        <f t="shared" si="7"/>
        <v>0</v>
      </c>
      <c r="U32" s="64"/>
      <c r="W32" s="216" t="e">
        <f t="shared" si="8"/>
        <v>#DIV/0!</v>
      </c>
      <c r="X32" s="216" t="e">
        <f t="shared" si="9"/>
        <v>#DIV/0!</v>
      </c>
      <c r="Y32" s="216" t="e">
        <f t="shared" si="10"/>
        <v>#DIV/0!</v>
      </c>
      <c r="Z32" s="79"/>
    </row>
    <row r="33" spans="1:26" ht="14.4" customHeight="1" x14ac:dyDescent="0.3">
      <c r="A33" s="212" t="s">
        <v>90</v>
      </c>
      <c r="B33" s="72" t="s">
        <v>91</v>
      </c>
      <c r="D33" s="4" t="s">
        <v>88</v>
      </c>
      <c r="E33" s="4" t="str">
        <f t="shared" si="11"/>
        <v>86790-BZ280GW</v>
      </c>
      <c r="F33" s="4" t="s">
        <v>69</v>
      </c>
      <c r="G33" s="4">
        <v>10</v>
      </c>
      <c r="H33" s="174">
        <f>IFERROR(VLOOKUP($E33,Analyze!$B$63:$F$105,2,0),0)</f>
        <v>8210</v>
      </c>
      <c r="I33" s="6">
        <f>IFERROR(VLOOKUP($E33,Analyze!$B$63:$F$105,3,0),0)</f>
        <v>5430</v>
      </c>
      <c r="J33" s="6">
        <f>IFERROR(VLOOKUP($E33,Analyze!$B$63:$F$105,4,0),0)</f>
        <v>5520</v>
      </c>
      <c r="K33" s="6">
        <f>IFERROR(VLOOKUP($E33,Analyze!$B$63:$F$105,5,0),0)</f>
        <v>5170</v>
      </c>
      <c r="L33" s="6"/>
      <c r="M33" s="4">
        <v>8040</v>
      </c>
      <c r="N33" s="4">
        <v>5500</v>
      </c>
      <c r="O33" s="4">
        <v>5570</v>
      </c>
      <c r="P33" s="75"/>
      <c r="R33" s="4">
        <f t="shared" si="5"/>
        <v>170</v>
      </c>
      <c r="S33" s="4">
        <f t="shared" si="6"/>
        <v>-70</v>
      </c>
      <c r="T33" s="4">
        <f t="shared" si="7"/>
        <v>-50</v>
      </c>
      <c r="U33" s="64"/>
      <c r="W33" s="40">
        <f t="shared" si="8"/>
        <v>2.1144278606965175E-2</v>
      </c>
      <c r="X33" s="40">
        <f t="shared" si="9"/>
        <v>-1.2727272727272728E-2</v>
      </c>
      <c r="Y33" s="40">
        <f t="shared" si="10"/>
        <v>-8.9766606822262122E-3</v>
      </c>
      <c r="Z33" s="79"/>
    </row>
    <row r="34" spans="1:26" x14ac:dyDescent="0.3">
      <c r="A34" s="212" t="s">
        <v>92</v>
      </c>
      <c r="B34" s="69" t="s">
        <v>93</v>
      </c>
      <c r="D34" s="4" t="s">
        <v>88</v>
      </c>
      <c r="E34" s="4" t="str">
        <f t="shared" si="11"/>
        <v>86790-BZ210GW</v>
      </c>
      <c r="F34" s="4" t="s">
        <v>56</v>
      </c>
      <c r="G34" s="20"/>
      <c r="H34" s="174">
        <f>IFERROR(VLOOKUP($E34,Analyze!$B$63:$F$105,2,0),0)</f>
        <v>5651</v>
      </c>
      <c r="I34" s="6">
        <f>IFERROR(VLOOKUP($E34,Analyze!$B$63:$F$105,3,0),0)</f>
        <v>7044</v>
      </c>
      <c r="J34" s="6">
        <f>IFERROR(VLOOKUP($E34,Analyze!$B$63:$F$105,4,0),0)</f>
        <v>5224</v>
      </c>
      <c r="K34" s="6">
        <f>IFERROR(VLOOKUP($E34,Analyze!$B$63:$F$105,5,0),0)</f>
        <v>7912</v>
      </c>
      <c r="L34" s="6"/>
      <c r="M34" s="4">
        <v>5661</v>
      </c>
      <c r="N34" s="4">
        <v>6900</v>
      </c>
      <c r="O34" s="4">
        <v>5595</v>
      </c>
      <c r="P34" s="75"/>
      <c r="R34" s="4">
        <f t="shared" si="5"/>
        <v>-10</v>
      </c>
      <c r="S34" s="4">
        <f t="shared" si="6"/>
        <v>144</v>
      </c>
      <c r="T34" s="4">
        <f t="shared" si="7"/>
        <v>-371</v>
      </c>
      <c r="U34" s="64"/>
      <c r="W34" s="40">
        <f t="shared" si="8"/>
        <v>-1.7664723547076487E-3</v>
      </c>
      <c r="X34" s="40">
        <f t="shared" si="9"/>
        <v>2.0869565217391306E-2</v>
      </c>
      <c r="Y34" s="40">
        <f t="shared" si="10"/>
        <v>-6.6309204647006251E-2</v>
      </c>
      <c r="Z34" s="79"/>
    </row>
    <row r="35" spans="1:26" x14ac:dyDescent="0.3">
      <c r="A35" s="212" t="s">
        <v>94</v>
      </c>
      <c r="B35" s="69" t="s">
        <v>95</v>
      </c>
      <c r="D35" s="4" t="s">
        <v>88</v>
      </c>
      <c r="E35" s="4" t="str">
        <f t="shared" si="11"/>
        <v>86790-BZ220GW</v>
      </c>
      <c r="F35" s="4" t="s">
        <v>56</v>
      </c>
      <c r="H35" s="174">
        <f>IFERROR(VLOOKUP($E35,Analyze!$B$63:$F$105,2,0),0)</f>
        <v>772</v>
      </c>
      <c r="I35" s="6">
        <f>IFERROR(VLOOKUP($E35,Analyze!$B$63:$F$105,3,0),0)</f>
        <v>1388</v>
      </c>
      <c r="J35" s="6">
        <f>IFERROR(VLOOKUP($E35,Analyze!$B$63:$F$105,4,0),0)</f>
        <v>733</v>
      </c>
      <c r="K35" s="6">
        <f>IFERROR(VLOOKUP($E35,Analyze!$B$63:$F$105,5,0),0)</f>
        <v>1353</v>
      </c>
      <c r="L35" s="6"/>
      <c r="M35" s="4">
        <v>772</v>
      </c>
      <c r="N35" s="4">
        <v>1133</v>
      </c>
      <c r="O35" s="4">
        <v>749</v>
      </c>
      <c r="P35" s="75"/>
      <c r="R35" s="4">
        <f t="shared" si="5"/>
        <v>0</v>
      </c>
      <c r="S35" s="4">
        <f t="shared" si="6"/>
        <v>255</v>
      </c>
      <c r="T35" s="4">
        <f t="shared" si="7"/>
        <v>-16</v>
      </c>
      <c r="U35" s="64"/>
      <c r="W35" s="40">
        <f t="shared" si="8"/>
        <v>0</v>
      </c>
      <c r="X35" s="40">
        <f t="shared" si="9"/>
        <v>0.22506619593998234</v>
      </c>
      <c r="Y35" s="40">
        <f t="shared" si="10"/>
        <v>-2.1361815754339118E-2</v>
      </c>
      <c r="Z35" s="79"/>
    </row>
    <row r="36" spans="1:26" x14ac:dyDescent="0.3">
      <c r="A36" s="212" t="s">
        <v>96</v>
      </c>
      <c r="B36" s="69" t="s">
        <v>97</v>
      </c>
      <c r="D36" s="4" t="s">
        <v>88</v>
      </c>
      <c r="E36" s="4" t="str">
        <f>B36&amp;D36&amp;F36</f>
        <v>86790-BZ310GWSN1</v>
      </c>
      <c r="F36" s="4" t="s">
        <v>69</v>
      </c>
      <c r="H36" s="174">
        <f>IFERROR(VLOOKUP($E36,Analyze!$B$63:$F$105,2,0),0)</f>
        <v>2670</v>
      </c>
      <c r="I36" s="6">
        <f>IFERROR(VLOOKUP($E36,Analyze!$B$63:$F$105,3,0),0)</f>
        <v>2745</v>
      </c>
      <c r="J36" s="6">
        <f>IFERROR(VLOOKUP($E36,Analyze!$B$63:$F$105,4,0),0)</f>
        <v>3840</v>
      </c>
      <c r="K36" s="6">
        <f>IFERROR(VLOOKUP($E36,Analyze!$B$63:$F$105,5,0),0)</f>
        <v>2520</v>
      </c>
      <c r="M36" s="4">
        <v>2490</v>
      </c>
      <c r="N36" s="4">
        <v>2715</v>
      </c>
      <c r="O36" s="4">
        <v>3585</v>
      </c>
      <c r="P36" s="74"/>
      <c r="R36" s="4">
        <f t="shared" si="5"/>
        <v>180</v>
      </c>
      <c r="S36" s="4">
        <f t="shared" si="6"/>
        <v>30</v>
      </c>
      <c r="T36" s="4">
        <f t="shared" si="7"/>
        <v>255</v>
      </c>
      <c r="U36" s="64"/>
      <c r="W36" s="40">
        <f t="shared" si="8"/>
        <v>7.2289156626506021E-2</v>
      </c>
      <c r="X36" s="40">
        <f t="shared" si="9"/>
        <v>1.1049723756906077E-2</v>
      </c>
      <c r="Y36" s="40">
        <f t="shared" si="10"/>
        <v>7.1129707112970716E-2</v>
      </c>
      <c r="Z36" s="79"/>
    </row>
    <row r="37" spans="1:26" x14ac:dyDescent="0.3">
      <c r="A37" s="212" t="s">
        <v>98</v>
      </c>
      <c r="B37" s="69" t="s">
        <v>97</v>
      </c>
      <c r="D37" s="4" t="s">
        <v>88</v>
      </c>
      <c r="E37" s="4" t="str">
        <f>B37&amp;D37</f>
        <v>86790-BZ310GW</v>
      </c>
      <c r="F37" s="4" t="s">
        <v>56</v>
      </c>
      <c r="H37" s="174">
        <f>IFERROR(VLOOKUP($E37,Analyze!$B$63:$F$105,2,0),0)</f>
        <v>3303</v>
      </c>
      <c r="I37" s="6">
        <f>IFERROR(VLOOKUP($E37,Analyze!$B$63:$F$105,3,0),0)</f>
        <v>3505</v>
      </c>
      <c r="J37" s="6">
        <f>IFERROR(VLOOKUP($E37,Analyze!$B$63:$F$105,4,0),0)</f>
        <v>2626</v>
      </c>
      <c r="K37" s="6">
        <f>IFERROR(VLOOKUP($E37,Analyze!$B$63:$F$105,5,0),0)</f>
        <v>2831</v>
      </c>
      <c r="M37" s="4">
        <v>3303</v>
      </c>
      <c r="N37" s="4">
        <v>2705</v>
      </c>
      <c r="O37" s="4">
        <v>2697</v>
      </c>
      <c r="P37" s="74"/>
      <c r="R37" s="4">
        <f t="shared" si="5"/>
        <v>0</v>
      </c>
      <c r="S37" s="4">
        <f t="shared" si="6"/>
        <v>800</v>
      </c>
      <c r="T37" s="4">
        <f t="shared" si="7"/>
        <v>-71</v>
      </c>
      <c r="U37" s="64"/>
      <c r="W37" s="40">
        <f t="shared" si="8"/>
        <v>0</v>
      </c>
      <c r="X37" s="40">
        <f t="shared" si="9"/>
        <v>0.29574861367837341</v>
      </c>
      <c r="Y37" s="40">
        <f t="shared" si="10"/>
        <v>-2.6325546903967371E-2</v>
      </c>
      <c r="Z37" s="79"/>
    </row>
    <row r="38" spans="1:26" x14ac:dyDescent="0.3">
      <c r="A38" s="155" t="s">
        <v>99</v>
      </c>
      <c r="B38" s="69" t="s">
        <v>100</v>
      </c>
      <c r="C38" s="4" t="s">
        <v>54</v>
      </c>
      <c r="D38" s="4" t="s">
        <v>64</v>
      </c>
      <c r="E38" s="4" t="str">
        <f>B38&amp;D38</f>
        <v>86790-0K051BP</v>
      </c>
      <c r="F38" s="4" t="s">
        <v>56</v>
      </c>
      <c r="H38" s="174">
        <f>IFERROR(VLOOKUP($E38,Analyze!$B$63:$F$105,2,0),0)</f>
        <v>1891</v>
      </c>
      <c r="I38" s="6">
        <f>IFERROR(VLOOKUP($E38,Analyze!$B$63:$F$105,3,0),0)</f>
        <v>1677</v>
      </c>
      <c r="J38" s="6">
        <f>IFERROR(VLOOKUP($E38,Analyze!$B$63:$F$105,4,0),0)</f>
        <v>919</v>
      </c>
      <c r="K38" s="6">
        <f>IFERROR(VLOOKUP($E38,Analyze!$B$63:$F$105,5,0),0)</f>
        <v>0</v>
      </c>
      <c r="M38" s="4">
        <v>1891</v>
      </c>
      <c r="N38" s="4">
        <v>1159</v>
      </c>
      <c r="O38" s="4">
        <v>814</v>
      </c>
      <c r="P38" s="74"/>
      <c r="R38" s="4">
        <f t="shared" si="5"/>
        <v>0</v>
      </c>
      <c r="S38" s="4">
        <f t="shared" si="6"/>
        <v>518</v>
      </c>
      <c r="T38" s="4">
        <f t="shared" si="7"/>
        <v>105</v>
      </c>
      <c r="U38" s="64"/>
      <c r="W38" s="40">
        <f t="shared" si="8"/>
        <v>0</v>
      </c>
      <c r="X38" s="40">
        <f t="shared" si="9"/>
        <v>0.4469370146678171</v>
      </c>
      <c r="Y38" s="40">
        <f t="shared" si="10"/>
        <v>0.128992628992629</v>
      </c>
      <c r="Z38" s="79"/>
    </row>
    <row r="39" spans="1:26" ht="14.4" customHeight="1" x14ac:dyDescent="0.3">
      <c r="A39" s="155" t="s">
        <v>99</v>
      </c>
      <c r="B39" s="69" t="s">
        <v>100</v>
      </c>
      <c r="C39" s="4" t="s">
        <v>54</v>
      </c>
      <c r="D39" s="4" t="s">
        <v>55</v>
      </c>
      <c r="E39" s="4" t="str">
        <f>B39&amp;D39</f>
        <v>86790-0K051SR</v>
      </c>
      <c r="F39" s="4" t="s">
        <v>56</v>
      </c>
      <c r="G39" s="4">
        <v>25</v>
      </c>
      <c r="H39" s="174">
        <f>IFERROR(VLOOKUP($E39,Analyze!$B$63:$F$105,2,0),0)</f>
        <v>1352</v>
      </c>
      <c r="I39" s="6">
        <f>IFERROR(VLOOKUP($E39,Analyze!$B$63:$F$105,3,0),0)</f>
        <v>1787</v>
      </c>
      <c r="J39" s="6">
        <f>IFERROR(VLOOKUP($E39,Analyze!$B$63:$F$105,4,0),0)</f>
        <v>2037</v>
      </c>
      <c r="K39" s="6">
        <f>IFERROR(VLOOKUP($E39,Analyze!$B$63:$F$105,5,0),0)</f>
        <v>0</v>
      </c>
      <c r="M39" s="4">
        <v>1352</v>
      </c>
      <c r="N39" s="4">
        <v>1710</v>
      </c>
      <c r="O39" s="4">
        <v>2152</v>
      </c>
      <c r="P39" s="74"/>
      <c r="R39" s="4">
        <f t="shared" si="5"/>
        <v>0</v>
      </c>
      <c r="S39" s="4">
        <f t="shared" si="6"/>
        <v>77</v>
      </c>
      <c r="T39" s="239">
        <f t="shared" si="7"/>
        <v>-115</v>
      </c>
      <c r="U39" s="64"/>
      <c r="W39" s="40">
        <f t="shared" si="8"/>
        <v>0</v>
      </c>
      <c r="X39" s="40">
        <f t="shared" si="9"/>
        <v>4.502923976608187E-2</v>
      </c>
      <c r="Y39" s="40">
        <f t="shared" si="10"/>
        <v>-5.3438661710037173E-2</v>
      </c>
      <c r="Z39" s="79"/>
    </row>
    <row r="40" spans="1:26" ht="14.4" customHeight="1" x14ac:dyDescent="0.3">
      <c r="A40" s="155" t="s">
        <v>101</v>
      </c>
      <c r="B40" s="69" t="s">
        <v>100</v>
      </c>
      <c r="C40" s="4" t="s">
        <v>54</v>
      </c>
      <c r="D40" s="4" t="s">
        <v>61</v>
      </c>
      <c r="E40" s="4" t="str">
        <f>B40&amp;D40&amp;F40</f>
        <v>86790-0K051BPKSN1</v>
      </c>
      <c r="F40" s="4" t="s">
        <v>69</v>
      </c>
      <c r="H40" s="174">
        <f>IFERROR(VLOOKUP($E40,Analyze!$B$63:$F$105,2,0),0)</f>
        <v>5790</v>
      </c>
      <c r="I40" s="6">
        <f>IFERROR(VLOOKUP($E40,Analyze!$B$63:$F$105,3,0),0)</f>
        <v>7980</v>
      </c>
      <c r="J40" s="6">
        <f>IFERROR(VLOOKUP($E40,Analyze!$B$63:$F$105,4,0),0)</f>
        <v>5490</v>
      </c>
      <c r="K40" s="6">
        <f>IFERROR(VLOOKUP($E40,Analyze!$B$63:$F$105,5,0),0)</f>
        <v>3720</v>
      </c>
      <c r="M40" s="4">
        <v>6090</v>
      </c>
      <c r="N40" s="4">
        <v>6090</v>
      </c>
      <c r="O40" s="4">
        <v>5130</v>
      </c>
      <c r="P40" s="74"/>
      <c r="R40" s="239">
        <f t="shared" si="5"/>
        <v>-300</v>
      </c>
      <c r="S40" s="239">
        <f t="shared" si="6"/>
        <v>1890</v>
      </c>
      <c r="T40" s="239">
        <f t="shared" si="7"/>
        <v>360</v>
      </c>
      <c r="U40" s="64"/>
      <c r="W40" s="40">
        <f t="shared" si="8"/>
        <v>-4.9261083743842367E-2</v>
      </c>
      <c r="X40" s="40">
        <f t="shared" si="9"/>
        <v>0.31034482758620691</v>
      </c>
      <c r="Y40" s="40">
        <f t="shared" si="10"/>
        <v>7.0175438596491224E-2</v>
      </c>
      <c r="Z40" s="79"/>
    </row>
    <row r="41" spans="1:26" x14ac:dyDescent="0.3">
      <c r="A41" s="155" t="s">
        <v>102</v>
      </c>
      <c r="B41" s="69" t="s">
        <v>100</v>
      </c>
      <c r="C41" s="4" t="s">
        <v>54</v>
      </c>
      <c r="D41" s="4" t="s">
        <v>61</v>
      </c>
      <c r="E41" s="4" t="str">
        <f>B41&amp;D41&amp;F41</f>
        <v>86790-0K051BPKTP1</v>
      </c>
      <c r="F41" s="46" t="s">
        <v>62</v>
      </c>
      <c r="H41" s="174">
        <f>IFERROR(VLOOKUP($E41,Analyze!$B$63:$F$105,2,0),0)</f>
        <v>640</v>
      </c>
      <c r="I41" s="6">
        <f>IFERROR(VLOOKUP($E41,Analyze!$B$63:$F$105,3,0),0)</f>
        <v>650</v>
      </c>
      <c r="J41" s="6">
        <f>IFERROR(VLOOKUP($E41,Analyze!$B$63:$F$105,4,0),0)</f>
        <v>460</v>
      </c>
      <c r="K41" s="6">
        <f>IFERROR(VLOOKUP($E41,Analyze!$B$63:$F$105,5,0),0)</f>
        <v>230</v>
      </c>
      <c r="M41" s="8">
        <v>790</v>
      </c>
      <c r="N41" s="8">
        <v>680</v>
      </c>
      <c r="O41" s="8">
        <v>460</v>
      </c>
      <c r="P41" s="74"/>
      <c r="R41" s="4">
        <f t="shared" si="5"/>
        <v>-150</v>
      </c>
      <c r="S41" s="4">
        <f t="shared" si="6"/>
        <v>-30</v>
      </c>
      <c r="T41" s="4">
        <f t="shared" si="7"/>
        <v>0</v>
      </c>
      <c r="U41" s="64"/>
      <c r="W41" s="40">
        <f t="shared" si="8"/>
        <v>-0.189873417721519</v>
      </c>
      <c r="X41" s="40">
        <f t="shared" si="9"/>
        <v>-4.4117647058823532E-2</v>
      </c>
      <c r="Y41" s="40">
        <f t="shared" si="10"/>
        <v>0</v>
      </c>
      <c r="Z41" s="79"/>
    </row>
    <row r="42" spans="1:26" x14ac:dyDescent="0.3">
      <c r="A42" s="175" t="s">
        <v>103</v>
      </c>
      <c r="B42" s="138" t="s">
        <v>104</v>
      </c>
      <c r="C42" s="64"/>
      <c r="D42" s="64" t="s">
        <v>88</v>
      </c>
      <c r="E42" s="64" t="str">
        <f>B42&amp;D42</f>
        <v>86790-BZ320GW</v>
      </c>
      <c r="F42" s="64" t="s">
        <v>56</v>
      </c>
      <c r="G42" s="64"/>
      <c r="H42" s="272">
        <f>IFERROR(VLOOKUP($E42,Analyze!$B$63:$F$105,2,0),0)</f>
        <v>0</v>
      </c>
      <c r="I42" s="272">
        <f>IFERROR(VLOOKUP($E42,Analyze!$B$63:$F$105,3,0),0)</f>
        <v>0</v>
      </c>
      <c r="J42" s="272">
        <f>IFERROR(VLOOKUP($E42,Analyze!$B$63:$F$105,4,0),0)</f>
        <v>0</v>
      </c>
      <c r="K42" s="272">
        <f>IFERROR(VLOOKUP($E42,Analyze!$B$63:$F$105,5,0),0)</f>
        <v>0</v>
      </c>
      <c r="L42" s="64"/>
      <c r="M42" s="64">
        <v>0</v>
      </c>
      <c r="N42" s="64">
        <v>0</v>
      </c>
      <c r="O42" s="64">
        <v>0</v>
      </c>
      <c r="P42" s="65"/>
      <c r="Q42" s="64"/>
      <c r="R42" s="4">
        <f t="shared" si="5"/>
        <v>0</v>
      </c>
      <c r="S42" s="4">
        <f t="shared" si="6"/>
        <v>0</v>
      </c>
      <c r="T42" s="4">
        <f t="shared" si="7"/>
        <v>0</v>
      </c>
      <c r="U42" s="64"/>
      <c r="W42" s="216" t="e">
        <f t="shared" si="8"/>
        <v>#DIV/0!</v>
      </c>
      <c r="X42" s="216" t="e">
        <f t="shared" si="9"/>
        <v>#DIV/0!</v>
      </c>
      <c r="Y42" s="216" t="e">
        <f t="shared" si="10"/>
        <v>#DIV/0!</v>
      </c>
      <c r="Z42" s="79"/>
    </row>
    <row r="43" spans="1:26" x14ac:dyDescent="0.3">
      <c r="A43" s="212" t="s">
        <v>105</v>
      </c>
      <c r="B43" s="69" t="s">
        <v>106</v>
      </c>
      <c r="D43" s="4" t="s">
        <v>88</v>
      </c>
      <c r="E43" s="4" t="str">
        <f>B43&amp;D43</f>
        <v>86790-BZ321GW</v>
      </c>
      <c r="F43" s="4" t="s">
        <v>56</v>
      </c>
      <c r="H43" s="174">
        <f>IFERROR(VLOOKUP($E43,Analyze!$B$63:$F$105,2,0),0)</f>
        <v>1335</v>
      </c>
      <c r="I43" s="6">
        <f>IFERROR(VLOOKUP($E43,Analyze!$B$63:$F$105,3,0),0)</f>
        <v>1767</v>
      </c>
      <c r="J43" s="6">
        <f>IFERROR(VLOOKUP($E43,Analyze!$B$63:$F$105,4,0),0)</f>
        <v>1200</v>
      </c>
      <c r="K43" s="6">
        <f>IFERROR(VLOOKUP($E43,Analyze!$B$63:$F$105,5,0),0)</f>
        <v>1425</v>
      </c>
      <c r="M43" s="8">
        <v>1335</v>
      </c>
      <c r="N43" s="8">
        <v>1277</v>
      </c>
      <c r="O43" s="8">
        <v>1277</v>
      </c>
      <c r="P43" s="74"/>
      <c r="R43" s="4">
        <f t="shared" si="5"/>
        <v>0</v>
      </c>
      <c r="S43" s="4">
        <f t="shared" si="6"/>
        <v>490</v>
      </c>
      <c r="T43" s="4">
        <f t="shared" si="7"/>
        <v>-77</v>
      </c>
      <c r="U43" s="64"/>
      <c r="W43" s="40">
        <f t="shared" si="8"/>
        <v>0</v>
      </c>
      <c r="X43" s="40">
        <f t="shared" si="9"/>
        <v>0.3837118245888802</v>
      </c>
      <c r="Y43" s="40">
        <f t="shared" si="10"/>
        <v>-6.0297572435395456E-2</v>
      </c>
      <c r="Z43" s="79"/>
    </row>
    <row r="44" spans="1:26" x14ac:dyDescent="0.3">
      <c r="A44" s="210" t="s">
        <v>107</v>
      </c>
      <c r="B44" s="69" t="s">
        <v>42</v>
      </c>
      <c r="C44" s="4" t="s">
        <v>60</v>
      </c>
      <c r="D44" s="4" t="s">
        <v>64</v>
      </c>
      <c r="E44" s="4" t="str">
        <f>B44&amp;D44</f>
        <v>86790-0K181BP</v>
      </c>
      <c r="F44" s="4" t="s">
        <v>56</v>
      </c>
      <c r="G44" s="4">
        <v>8</v>
      </c>
      <c r="H44" s="174">
        <f>IFERROR(VLOOKUP($E44,Analyze!$B$63:$F$105,2,0),0)</f>
        <v>70</v>
      </c>
      <c r="I44" s="6">
        <f>IFERROR(VLOOKUP($E44,Analyze!$B$63:$F$105,3,0),0)</f>
        <v>4</v>
      </c>
      <c r="J44" s="6">
        <f>IFERROR(VLOOKUP($E44,Analyze!$B$63:$F$105,4,0),0)</f>
        <v>2</v>
      </c>
      <c r="K44" s="6">
        <f>IFERROR(VLOOKUP($E44,Analyze!$B$63:$F$105,5,0),0)</f>
        <v>15</v>
      </c>
      <c r="L44" s="62"/>
      <c r="M44" s="8">
        <v>70</v>
      </c>
      <c r="N44" s="8">
        <v>4</v>
      </c>
      <c r="O44" s="8">
        <v>4</v>
      </c>
      <c r="P44" s="75"/>
      <c r="R44" s="4">
        <f t="shared" si="5"/>
        <v>0</v>
      </c>
      <c r="S44" s="4">
        <f t="shared" si="6"/>
        <v>0</v>
      </c>
      <c r="T44" s="4">
        <f t="shared" si="7"/>
        <v>-2</v>
      </c>
      <c r="U44" s="64"/>
      <c r="W44" s="40">
        <f t="shared" si="8"/>
        <v>0</v>
      </c>
      <c r="X44" s="40">
        <f t="shared" si="9"/>
        <v>0</v>
      </c>
      <c r="Y44" s="40">
        <f t="shared" si="10"/>
        <v>-0.5</v>
      </c>
      <c r="Z44" s="79"/>
    </row>
    <row r="45" spans="1:26" x14ac:dyDescent="0.3">
      <c r="A45" s="211" t="s">
        <v>108</v>
      </c>
      <c r="B45" s="69" t="s">
        <v>42</v>
      </c>
      <c r="C45" s="4" t="s">
        <v>60</v>
      </c>
      <c r="D45" s="4" t="s">
        <v>61</v>
      </c>
      <c r="E45" s="4" t="str">
        <f>B45&amp;D45</f>
        <v>86790-0K181BPK</v>
      </c>
      <c r="F45" s="4" t="s">
        <v>69</v>
      </c>
      <c r="H45" s="174">
        <f>IFERROR(VLOOKUP($E45,Analyze!$B$63:$F$105,2,0),0)</f>
        <v>512</v>
      </c>
      <c r="I45" s="6">
        <f>IFERROR(VLOOKUP($E45,Analyze!$B$63:$F$105,3,0),0)</f>
        <v>384</v>
      </c>
      <c r="J45" s="6">
        <f>IFERROR(VLOOKUP($E45,Analyze!$B$63:$F$105,4,0),0)</f>
        <v>384</v>
      </c>
      <c r="K45" s="6">
        <f>IFERROR(VLOOKUP($E45,Analyze!$B$63:$F$105,5,0),0)</f>
        <v>352</v>
      </c>
      <c r="L45" s="6"/>
      <c r="M45" s="9">
        <v>480</v>
      </c>
      <c r="N45" s="9">
        <v>288</v>
      </c>
      <c r="O45" s="9">
        <v>336</v>
      </c>
      <c r="P45" s="74"/>
      <c r="R45" s="132">
        <f t="shared" si="5"/>
        <v>32</v>
      </c>
      <c r="S45" s="132">
        <f t="shared" si="6"/>
        <v>96</v>
      </c>
      <c r="T45" s="132">
        <f t="shared" si="7"/>
        <v>48</v>
      </c>
      <c r="U45" s="64"/>
      <c r="W45" s="40">
        <f t="shared" si="8"/>
        <v>6.6666666666666666E-2</v>
      </c>
      <c r="X45" s="40">
        <f t="shared" si="9"/>
        <v>0.33333333333333331</v>
      </c>
      <c r="Y45" s="40">
        <f t="shared" si="10"/>
        <v>0.14285714285714285</v>
      </c>
      <c r="Z45" s="79"/>
    </row>
    <row r="46" spans="1:26" x14ac:dyDescent="0.3">
      <c r="A46" s="212" t="s">
        <v>109</v>
      </c>
      <c r="B46" s="69" t="s">
        <v>110</v>
      </c>
      <c r="D46" s="4" t="s">
        <v>88</v>
      </c>
      <c r="E46" s="4" t="s">
        <v>111</v>
      </c>
      <c r="F46" s="20" t="s">
        <v>89</v>
      </c>
      <c r="H46" s="174">
        <f>IFERROR(VLOOKUP($E46,Analyze!$B$63:$F$105,2,0),0)</f>
        <v>2088</v>
      </c>
      <c r="I46" s="6">
        <f>IFERROR(VLOOKUP($E46,Analyze!$B$63:$F$105,3,0),0)</f>
        <v>1980</v>
      </c>
      <c r="J46" s="6">
        <f>IFERROR(VLOOKUP($E46,Analyze!$B$63:$F$105,4,0),0)</f>
        <v>1800</v>
      </c>
      <c r="K46" s="6">
        <f>IFERROR(VLOOKUP($E46,Analyze!$B$63:$F$105,5,0),0)</f>
        <v>1836</v>
      </c>
      <c r="M46" s="8">
        <v>1944</v>
      </c>
      <c r="N46" s="8">
        <v>1620</v>
      </c>
      <c r="O46" s="8">
        <v>1620</v>
      </c>
      <c r="P46" s="74"/>
      <c r="R46" s="4">
        <f t="shared" si="5"/>
        <v>144</v>
      </c>
      <c r="S46" s="4">
        <f t="shared" si="6"/>
        <v>360</v>
      </c>
      <c r="T46" s="4">
        <f t="shared" si="7"/>
        <v>180</v>
      </c>
      <c r="U46" s="64"/>
      <c r="W46" s="40">
        <f t="shared" si="8"/>
        <v>7.407407407407407E-2</v>
      </c>
      <c r="X46" s="40">
        <f t="shared" si="9"/>
        <v>0.22222222222222221</v>
      </c>
      <c r="Y46" s="40">
        <f t="shared" si="10"/>
        <v>0.1111111111111111</v>
      </c>
      <c r="Z46" s="79"/>
    </row>
    <row r="47" spans="1:26" x14ac:dyDescent="0.3">
      <c r="A47" s="212" t="s">
        <v>96</v>
      </c>
      <c r="B47" s="69" t="s">
        <v>97</v>
      </c>
      <c r="D47" s="4" t="s">
        <v>61</v>
      </c>
      <c r="E47" s="4" t="str">
        <f>B47&amp;D47&amp;F47</f>
        <v>86790-BZ310BPK</v>
      </c>
      <c r="H47" s="174">
        <f>IFERROR(VLOOKUP($E47,Analyze!$B$63:$F$105,2,0),0)</f>
        <v>6030</v>
      </c>
      <c r="I47" s="6">
        <f>IFERROR(VLOOKUP($E47,Analyze!$B$63:$F$105,3,0),0)</f>
        <v>5565</v>
      </c>
      <c r="J47" s="6">
        <f>IFERROR(VLOOKUP($E47,Analyze!$B$63:$F$105,4,0),0)</f>
        <v>5610</v>
      </c>
      <c r="K47" s="6">
        <f>IFERROR(VLOOKUP($E47,Analyze!$B$63:$F$105,5,0),0)</f>
        <v>4920</v>
      </c>
      <c r="M47" s="8">
        <v>6225</v>
      </c>
      <c r="N47" s="8">
        <v>6210</v>
      </c>
      <c r="O47" s="8">
        <v>6735</v>
      </c>
      <c r="P47" s="74"/>
      <c r="R47" s="4">
        <f t="shared" si="5"/>
        <v>-195</v>
      </c>
      <c r="S47" s="4">
        <f t="shared" si="6"/>
        <v>-645</v>
      </c>
      <c r="T47" s="4">
        <f t="shared" si="7"/>
        <v>-1125</v>
      </c>
      <c r="U47" s="64"/>
      <c r="W47" s="40">
        <f t="shared" si="8"/>
        <v>-3.1325301204819279E-2</v>
      </c>
      <c r="X47" s="40">
        <f t="shared" si="9"/>
        <v>-0.10386473429951691</v>
      </c>
      <c r="Y47" s="40">
        <f t="shared" si="10"/>
        <v>-0.16703786191536749</v>
      </c>
      <c r="Z47" s="79"/>
    </row>
    <row r="48" spans="1:26" x14ac:dyDescent="0.3">
      <c r="A48" s="210" t="s">
        <v>112</v>
      </c>
      <c r="B48" s="69" t="s">
        <v>113</v>
      </c>
      <c r="C48" s="4" t="s">
        <v>60</v>
      </c>
      <c r="D48" s="4" t="s">
        <v>64</v>
      </c>
      <c r="E48" s="4" t="str">
        <f>B48&amp;D48</f>
        <v>86790-0K190BP</v>
      </c>
      <c r="F48" s="4" t="s">
        <v>56</v>
      </c>
      <c r="G48" s="4">
        <v>6</v>
      </c>
      <c r="H48" s="174">
        <f>IFERROR(VLOOKUP($E48,Analyze!$B$63:$F$105,2,0),0)</f>
        <v>603</v>
      </c>
      <c r="I48" s="6">
        <f>IFERROR(VLOOKUP($E48,Analyze!$B$63:$F$105,3,0),0)</f>
        <v>699</v>
      </c>
      <c r="J48" s="6">
        <f>IFERROR(VLOOKUP($E48,Analyze!$B$63:$F$105,4,0),0)</f>
        <v>332</v>
      </c>
      <c r="K48" s="6">
        <f>IFERROR(VLOOKUP($E48,Analyze!$B$63:$F$105,5,0),0)</f>
        <v>728</v>
      </c>
      <c r="L48" s="62"/>
      <c r="M48" s="8">
        <v>603</v>
      </c>
      <c r="N48" s="8">
        <v>604</v>
      </c>
      <c r="O48" s="8">
        <v>379</v>
      </c>
      <c r="P48" s="75"/>
      <c r="R48" s="4">
        <f t="shared" si="5"/>
        <v>0</v>
      </c>
      <c r="S48" s="4">
        <f t="shared" si="6"/>
        <v>95</v>
      </c>
      <c r="T48" s="4">
        <f t="shared" si="7"/>
        <v>-47</v>
      </c>
      <c r="U48" s="64"/>
      <c r="W48" s="40">
        <f t="shared" si="8"/>
        <v>0</v>
      </c>
      <c r="X48" s="40">
        <f t="shared" si="9"/>
        <v>0.15728476821192053</v>
      </c>
      <c r="Y48" s="40">
        <f t="shared" si="10"/>
        <v>-0.12401055408970976</v>
      </c>
      <c r="Z48" s="79"/>
    </row>
    <row r="49" spans="1:26" x14ac:dyDescent="0.3">
      <c r="A49" s="210" t="s">
        <v>114</v>
      </c>
      <c r="B49" s="69" t="s">
        <v>113</v>
      </c>
      <c r="C49" s="4" t="s">
        <v>60</v>
      </c>
      <c r="D49" s="4" t="s">
        <v>61</v>
      </c>
      <c r="E49" s="4" t="str">
        <f>B49&amp;D49</f>
        <v>86790-0K190BPK</v>
      </c>
      <c r="F49" s="4" t="s">
        <v>89</v>
      </c>
      <c r="H49" s="174">
        <f>IFERROR(VLOOKUP($E49,Analyze!$B$63:$F$105,2,0),0)</f>
        <v>4032</v>
      </c>
      <c r="I49" s="6">
        <f>IFERROR(VLOOKUP($E49,Analyze!$B$63:$F$105,3,0),0)</f>
        <v>4284</v>
      </c>
      <c r="J49" s="6">
        <f>IFERROR(VLOOKUP($E49,Analyze!$B$63:$F$105,4,0),0)</f>
        <v>3066</v>
      </c>
      <c r="K49" s="6">
        <f>IFERROR(VLOOKUP($E49,Analyze!$B$63:$F$105,5,0),0)</f>
        <v>2436</v>
      </c>
      <c r="L49" s="6"/>
      <c r="M49" s="8">
        <v>4032</v>
      </c>
      <c r="N49" s="8">
        <v>3780</v>
      </c>
      <c r="O49" s="8">
        <v>3570</v>
      </c>
      <c r="P49" s="75"/>
      <c r="R49" s="4">
        <f t="shared" si="5"/>
        <v>0</v>
      </c>
      <c r="S49" s="4">
        <f t="shared" si="6"/>
        <v>504</v>
      </c>
      <c r="T49" s="4">
        <f t="shared" si="7"/>
        <v>-504</v>
      </c>
      <c r="U49" s="64"/>
      <c r="W49" s="40">
        <f t="shared" si="8"/>
        <v>0</v>
      </c>
      <c r="X49" s="40">
        <f t="shared" si="9"/>
        <v>0.13333333333333333</v>
      </c>
      <c r="Y49" s="40">
        <f t="shared" si="10"/>
        <v>-0.14117647058823529</v>
      </c>
      <c r="Z49" s="79"/>
    </row>
    <row r="50" spans="1:26" x14ac:dyDescent="0.3">
      <c r="A50" s="238" t="s">
        <v>112</v>
      </c>
      <c r="B50" s="69" t="s">
        <v>113</v>
      </c>
      <c r="C50" s="4" t="s">
        <v>60</v>
      </c>
      <c r="D50" s="4" t="s">
        <v>61</v>
      </c>
      <c r="E50" s="4" t="str">
        <f>B50&amp;D50&amp;F50</f>
        <v>86790-0K190BPKTP1</v>
      </c>
      <c r="F50" s="4" t="s">
        <v>62</v>
      </c>
      <c r="H50" s="174">
        <f>IFERROR(VLOOKUP($E50,Analyze!$B$63:$F$105,2,0),0)</f>
        <v>110</v>
      </c>
      <c r="I50" s="6">
        <f>IFERROR(VLOOKUP($E50,Analyze!$B$63:$F$105,3,0),0)</f>
        <v>260</v>
      </c>
      <c r="J50" s="6">
        <f>IFERROR(VLOOKUP($E50,Analyze!$B$63:$F$105,4,0),0)</f>
        <v>70</v>
      </c>
      <c r="K50" s="6">
        <f>IFERROR(VLOOKUP($E50,Analyze!$B$63:$F$105,5,0),0)</f>
        <v>120</v>
      </c>
      <c r="L50" s="6"/>
      <c r="M50" s="8">
        <v>170</v>
      </c>
      <c r="N50" s="8">
        <v>80</v>
      </c>
      <c r="O50" s="8">
        <v>70</v>
      </c>
      <c r="P50" s="75"/>
      <c r="R50" s="4">
        <f t="shared" si="5"/>
        <v>-60</v>
      </c>
      <c r="S50" s="4">
        <f t="shared" si="6"/>
        <v>180</v>
      </c>
      <c r="T50" s="4">
        <f t="shared" si="7"/>
        <v>0</v>
      </c>
      <c r="U50" s="64"/>
      <c r="W50" s="40">
        <f t="shared" si="8"/>
        <v>-0.35294117647058826</v>
      </c>
      <c r="X50" s="40">
        <f t="shared" si="9"/>
        <v>2.25</v>
      </c>
      <c r="Y50" s="40">
        <f t="shared" si="10"/>
        <v>0</v>
      </c>
      <c r="Z50" s="79"/>
    </row>
    <row r="51" spans="1:26" x14ac:dyDescent="0.3">
      <c r="A51" s="210" t="s">
        <v>115</v>
      </c>
      <c r="B51" s="69" t="s">
        <v>116</v>
      </c>
      <c r="D51" s="4" t="s">
        <v>88</v>
      </c>
      <c r="E51" s="4" t="str">
        <f t="shared" ref="E51:E57" si="12">B51&amp;D51</f>
        <v>86790-BZ350GW</v>
      </c>
      <c r="H51" s="174">
        <f>IFERROR(VLOOKUP($E51,Analyze!$B$63:$F$105,2,0),0)</f>
        <v>873</v>
      </c>
      <c r="I51" s="6">
        <f>IFERROR(VLOOKUP($E51,Analyze!$B$63:$F$105,3,0),0)</f>
        <v>1134</v>
      </c>
      <c r="J51" s="6">
        <f>IFERROR(VLOOKUP($E51,Analyze!$B$63:$F$105,4,0),0)</f>
        <v>1356</v>
      </c>
      <c r="K51" s="6">
        <f>IFERROR(VLOOKUP($E51,Analyze!$B$63:$F$105,5,0),0)</f>
        <v>1468</v>
      </c>
      <c r="L51" s="6"/>
      <c r="M51" s="8">
        <v>883</v>
      </c>
      <c r="N51" s="8">
        <v>1727</v>
      </c>
      <c r="O51" s="8">
        <v>1877</v>
      </c>
      <c r="P51" s="75"/>
      <c r="R51" s="4">
        <f t="shared" si="5"/>
        <v>-10</v>
      </c>
      <c r="S51" s="4">
        <f t="shared" si="6"/>
        <v>-593</v>
      </c>
      <c r="T51" s="4">
        <f t="shared" si="7"/>
        <v>-521</v>
      </c>
      <c r="U51" s="64"/>
      <c r="W51" s="216">
        <f t="shared" si="8"/>
        <v>-1.1325028312570781E-2</v>
      </c>
      <c r="X51" s="216">
        <f t="shared" si="9"/>
        <v>-0.34337000579038796</v>
      </c>
      <c r="Y51" s="216">
        <f t="shared" si="10"/>
        <v>-0.2775705913692062</v>
      </c>
      <c r="Z51" s="79"/>
    </row>
    <row r="52" spans="1:26" x14ac:dyDescent="0.3">
      <c r="A52" s="210" t="s">
        <v>117</v>
      </c>
      <c r="B52" s="69" t="s">
        <v>117</v>
      </c>
      <c r="D52" s="4" t="s">
        <v>64</v>
      </c>
      <c r="E52" s="4" t="str">
        <f t="shared" si="12"/>
        <v>86790-0K310BP</v>
      </c>
      <c r="H52" s="174">
        <f>IFERROR(VLOOKUP($E52,Analyze!$B$63:$F$105,2,0),0)</f>
        <v>1840</v>
      </c>
      <c r="I52" s="6">
        <f>IFERROR(VLOOKUP($E52,Analyze!$B$63:$F$105,3,0),0)</f>
        <v>3460</v>
      </c>
      <c r="J52" s="6">
        <f>IFERROR(VLOOKUP($E52,Analyze!$B$63:$F$105,4,0),0)</f>
        <v>2262</v>
      </c>
      <c r="K52" s="6">
        <f>IFERROR(VLOOKUP($E52,Analyze!$B$63:$F$105,5,0),0)</f>
        <v>3508</v>
      </c>
      <c r="L52" s="6"/>
      <c r="M52" s="8">
        <v>1871</v>
      </c>
      <c r="N52" s="8">
        <v>3117</v>
      </c>
      <c r="O52" s="8">
        <v>2361</v>
      </c>
      <c r="P52" s="75"/>
      <c r="R52" s="4">
        <f t="shared" si="5"/>
        <v>-31</v>
      </c>
      <c r="S52" s="4">
        <f t="shared" si="6"/>
        <v>343</v>
      </c>
      <c r="T52" s="4">
        <f t="shared" si="7"/>
        <v>-99</v>
      </c>
      <c r="U52" s="64"/>
      <c r="W52" s="40">
        <f t="shared" si="8"/>
        <v>-1.6568679850347406E-2</v>
      </c>
      <c r="X52" s="40">
        <f t="shared" si="9"/>
        <v>0.11004170676932948</v>
      </c>
      <c r="Y52" s="40">
        <f t="shared" si="10"/>
        <v>-4.1931385006353239E-2</v>
      </c>
      <c r="Z52" s="79"/>
    </row>
    <row r="53" spans="1:26" x14ac:dyDescent="0.3">
      <c r="A53" s="210" t="s">
        <v>118</v>
      </c>
      <c r="B53" s="69" t="s">
        <v>118</v>
      </c>
      <c r="D53" s="4" t="s">
        <v>64</v>
      </c>
      <c r="E53" s="4" t="str">
        <f t="shared" si="12"/>
        <v>86790-0K400BP</v>
      </c>
      <c r="H53" s="174">
        <f>IFERROR(VLOOKUP($E53,Analyze!$B$63:$F$105,2,0),0)</f>
        <v>1840</v>
      </c>
      <c r="I53" s="6">
        <f>IFERROR(VLOOKUP($E53,Analyze!$B$63:$F$105,3,0),0)</f>
        <v>3460</v>
      </c>
      <c r="J53" s="6">
        <f>IFERROR(VLOOKUP($E53,Analyze!$B$63:$F$105,4,0),0)</f>
        <v>2262</v>
      </c>
      <c r="K53" s="6">
        <f>IFERROR(VLOOKUP($E53,Analyze!$B$63:$F$105,5,0),0)</f>
        <v>3508</v>
      </c>
      <c r="L53" s="6"/>
      <c r="M53" s="8">
        <v>1871</v>
      </c>
      <c r="N53" s="8">
        <v>3117</v>
      </c>
      <c r="O53" s="8">
        <v>2361</v>
      </c>
      <c r="P53" s="75"/>
      <c r="R53" s="4">
        <f t="shared" si="5"/>
        <v>-31</v>
      </c>
      <c r="S53" s="4">
        <f t="shared" si="6"/>
        <v>343</v>
      </c>
      <c r="T53" s="4">
        <f t="shared" si="7"/>
        <v>-99</v>
      </c>
      <c r="U53" s="64"/>
      <c r="W53" s="40">
        <f t="shared" si="8"/>
        <v>-1.6568679850347406E-2</v>
      </c>
      <c r="X53" s="40">
        <f t="shared" si="9"/>
        <v>0.11004170676932948</v>
      </c>
      <c r="Y53" s="40">
        <f t="shared" si="10"/>
        <v>-4.1931385006353239E-2</v>
      </c>
      <c r="Z53" s="79"/>
    </row>
    <row r="54" spans="1:26" x14ac:dyDescent="0.3">
      <c r="A54" s="210" t="s">
        <v>117</v>
      </c>
      <c r="B54" s="69" t="s">
        <v>117</v>
      </c>
      <c r="D54" s="4" t="s">
        <v>55</v>
      </c>
      <c r="E54" s="4" t="str">
        <f t="shared" si="12"/>
        <v>86790-0K310SR</v>
      </c>
      <c r="H54" s="174">
        <f>IFERROR(VLOOKUP($E54,Analyze!$B$63:$F$105,2,0),0)</f>
        <v>70</v>
      </c>
      <c r="I54" s="6">
        <f>IFERROR(VLOOKUP($E54,Analyze!$B$63:$F$105,3,0),0)</f>
        <v>103</v>
      </c>
      <c r="J54" s="6">
        <f>IFERROR(VLOOKUP($E54,Analyze!$B$63:$F$105,4,0),0)</f>
        <v>363</v>
      </c>
      <c r="K54" s="6">
        <f>IFERROR(VLOOKUP($E54,Analyze!$B$63:$F$105,5,0),0)</f>
        <v>58</v>
      </c>
      <c r="L54" s="6"/>
      <c r="M54" s="8">
        <v>70</v>
      </c>
      <c r="N54" s="8">
        <v>76</v>
      </c>
      <c r="O54" s="8">
        <v>364</v>
      </c>
      <c r="P54" s="75"/>
      <c r="R54" s="4">
        <f t="shared" si="5"/>
        <v>0</v>
      </c>
      <c r="S54" s="4">
        <f t="shared" si="6"/>
        <v>27</v>
      </c>
      <c r="T54" s="4">
        <f t="shared" si="7"/>
        <v>-1</v>
      </c>
      <c r="U54" s="64"/>
      <c r="W54" s="40">
        <f t="shared" si="8"/>
        <v>0</v>
      </c>
      <c r="X54" s="40">
        <f t="shared" si="9"/>
        <v>0.35526315789473684</v>
      </c>
      <c r="Y54" s="40">
        <f t="shared" si="10"/>
        <v>-2.7472527472527475E-3</v>
      </c>
      <c r="Z54" s="79"/>
    </row>
    <row r="55" spans="1:26" x14ac:dyDescent="0.3">
      <c r="A55" s="210" t="s">
        <v>118</v>
      </c>
      <c r="B55" s="69" t="s">
        <v>118</v>
      </c>
      <c r="D55" s="4" t="s">
        <v>55</v>
      </c>
      <c r="E55" s="4" t="str">
        <f t="shared" si="12"/>
        <v>86790-0K400SR</v>
      </c>
      <c r="H55" s="174">
        <f>IFERROR(VLOOKUP($E55,Analyze!$B$63:$F$105,2,0),0)</f>
        <v>70</v>
      </c>
      <c r="I55" s="6">
        <f>IFERROR(VLOOKUP($E55,Analyze!$B$63:$F$105,3,0),0)</f>
        <v>103</v>
      </c>
      <c r="J55" s="6">
        <f>IFERROR(VLOOKUP($E55,Analyze!$B$63:$F$105,4,0),0)</f>
        <v>363</v>
      </c>
      <c r="K55" s="6">
        <f>IFERROR(VLOOKUP($E55,Analyze!$B$63:$F$105,5,0),0)</f>
        <v>58</v>
      </c>
      <c r="L55" s="6"/>
      <c r="M55" s="8">
        <v>70</v>
      </c>
      <c r="N55" s="8">
        <v>76</v>
      </c>
      <c r="O55" s="8">
        <v>364</v>
      </c>
      <c r="P55" s="75"/>
      <c r="R55" s="4">
        <f t="shared" si="5"/>
        <v>0</v>
      </c>
      <c r="S55" s="4">
        <f t="shared" si="6"/>
        <v>27</v>
      </c>
      <c r="T55" s="4">
        <f t="shared" si="7"/>
        <v>-1</v>
      </c>
      <c r="U55" s="64"/>
      <c r="W55" s="40">
        <f t="shared" si="8"/>
        <v>0</v>
      </c>
      <c r="X55" s="40">
        <f t="shared" si="9"/>
        <v>0.35526315789473684</v>
      </c>
      <c r="Y55" s="40">
        <f t="shared" si="10"/>
        <v>-2.7472527472527475E-3</v>
      </c>
      <c r="Z55" s="79"/>
    </row>
    <row r="56" spans="1:26" x14ac:dyDescent="0.3">
      <c r="A56" s="210" t="s">
        <v>117</v>
      </c>
      <c r="B56" s="69" t="s">
        <v>117</v>
      </c>
      <c r="D56" s="4" t="s">
        <v>61</v>
      </c>
      <c r="E56" s="4" t="str">
        <f t="shared" si="12"/>
        <v>86790-0K310BPK</v>
      </c>
      <c r="H56" s="174">
        <f>IFERROR(VLOOKUP($E56,Analyze!$B$63:$F$105,2,0),0)</f>
        <v>0</v>
      </c>
      <c r="I56" s="6">
        <f>IFERROR(VLOOKUP($E56,Analyze!$B$63:$F$105,3,0),0)</f>
        <v>2340</v>
      </c>
      <c r="J56" s="6">
        <f>IFERROR(VLOOKUP($E56,Analyze!$B$63:$F$105,4,0),0)</f>
        <v>2760</v>
      </c>
      <c r="K56" s="6">
        <f>IFERROR(VLOOKUP($E56,Analyze!$B$63:$F$105,5,0),0)</f>
        <v>2400</v>
      </c>
      <c r="L56" s="6"/>
      <c r="M56" s="8">
        <v>0</v>
      </c>
      <c r="N56" s="8">
        <v>2040</v>
      </c>
      <c r="O56" s="8">
        <v>2160</v>
      </c>
      <c r="P56" s="75"/>
      <c r="U56" s="64"/>
      <c r="W56" s="40"/>
      <c r="X56" s="40"/>
      <c r="Y56" s="40"/>
      <c r="Z56" s="79"/>
    </row>
    <row r="57" spans="1:26" ht="14.4" thickBot="1" x14ac:dyDescent="0.35">
      <c r="A57" s="210" t="s">
        <v>118</v>
      </c>
      <c r="B57" s="69" t="s">
        <v>118</v>
      </c>
      <c r="D57" s="4" t="s">
        <v>61</v>
      </c>
      <c r="E57" s="4" t="str">
        <f t="shared" si="12"/>
        <v>86790-0K400BPK</v>
      </c>
      <c r="H57" s="174">
        <f>IFERROR(VLOOKUP($E57,Analyze!$B$63:$F$105,2,0),0)</f>
        <v>0</v>
      </c>
      <c r="I57" s="6">
        <f>IFERROR(VLOOKUP($E57,Analyze!$B$63:$F$105,3,0),0)</f>
        <v>2352</v>
      </c>
      <c r="J57" s="6">
        <f>IFERROR(VLOOKUP($E57,Analyze!$B$63:$F$105,4,0),0)</f>
        <v>2772</v>
      </c>
      <c r="K57" s="6">
        <f>IFERROR(VLOOKUP($E57,Analyze!$B$63:$F$105,5,0),0)</f>
        <v>2436</v>
      </c>
      <c r="L57" s="6"/>
      <c r="M57" s="8">
        <v>0</v>
      </c>
      <c r="N57" s="8">
        <v>2100</v>
      </c>
      <c r="O57" s="8">
        <v>2100</v>
      </c>
      <c r="P57" s="75"/>
      <c r="U57" s="64"/>
      <c r="W57" s="40"/>
      <c r="X57" s="40"/>
      <c r="Y57" s="40"/>
      <c r="Z57" s="79"/>
    </row>
    <row r="58" spans="1:26" ht="14.4" customHeight="1" thickBot="1" x14ac:dyDescent="0.35">
      <c r="A58" s="37"/>
      <c r="B58" s="37"/>
      <c r="C58" s="37"/>
      <c r="D58" s="19"/>
      <c r="E58" s="19"/>
      <c r="F58" s="19"/>
      <c r="G58" s="77" t="s">
        <v>119</v>
      </c>
      <c r="H58" s="78">
        <f>SUM(H7:H57)</f>
        <v>67252</v>
      </c>
      <c r="I58" s="78">
        <f>SUM(I7:I57)</f>
        <v>79486</v>
      </c>
      <c r="J58" s="78">
        <f>SUM(J7:J57)</f>
        <v>66744</v>
      </c>
      <c r="K58" s="78">
        <f>SUM(K7:K57)</f>
        <v>60180</v>
      </c>
      <c r="L58" s="234">
        <f>SUM(H58:K58)</f>
        <v>273662</v>
      </c>
      <c r="M58" s="78">
        <f>SUM(M7:M55)</f>
        <v>67859</v>
      </c>
      <c r="N58" s="78">
        <f>SUM(N7:N55)</f>
        <v>68168</v>
      </c>
      <c r="O58" s="78">
        <f>SUM(O7:O55)</f>
        <v>64580</v>
      </c>
      <c r="P58" s="6"/>
    </row>
    <row r="59" spans="1:26" x14ac:dyDescent="0.3">
      <c r="A59" s="1" t="s">
        <v>120</v>
      </c>
      <c r="B59" s="1"/>
      <c r="C59" s="1"/>
    </row>
    <row r="60" spans="1:26" x14ac:dyDescent="0.3">
      <c r="A60" s="4" t="s">
        <v>121</v>
      </c>
    </row>
    <row r="61" spans="1:26" x14ac:dyDescent="0.3">
      <c r="A61" s="46" t="s">
        <v>74</v>
      </c>
      <c r="B61" s="46"/>
      <c r="C61" s="46"/>
      <c r="D61" s="46" t="s">
        <v>61</v>
      </c>
      <c r="E61" s="46"/>
      <c r="F61" s="46" t="s">
        <v>62</v>
      </c>
      <c r="G61" s="46">
        <v>25</v>
      </c>
    </row>
    <row r="62" spans="1:26" x14ac:dyDescent="0.3">
      <c r="A62" s="156" t="s">
        <v>76</v>
      </c>
      <c r="B62" s="46"/>
      <c r="C62" s="46"/>
      <c r="D62" s="46" t="s">
        <v>61</v>
      </c>
      <c r="E62" s="46"/>
      <c r="F62" s="46" t="s">
        <v>62</v>
      </c>
      <c r="G62" s="46">
        <v>18</v>
      </c>
    </row>
    <row r="63" spans="1:26" x14ac:dyDescent="0.3">
      <c r="A63" s="156" t="s">
        <v>122</v>
      </c>
      <c r="D63" s="4" t="s">
        <v>61</v>
      </c>
      <c r="F63" s="4" t="s">
        <v>62</v>
      </c>
    </row>
    <row r="64" spans="1:26" s="214" customFormat="1" x14ac:dyDescent="0.3">
      <c r="A64" s="213" t="s">
        <v>123</v>
      </c>
      <c r="B64" s="213" t="s">
        <v>113</v>
      </c>
      <c r="C64" s="214" t="s">
        <v>60</v>
      </c>
      <c r="D64" s="214" t="s">
        <v>64</v>
      </c>
      <c r="E64" s="214" t="str">
        <f>B64&amp;D64</f>
        <v>86790-0K190BP</v>
      </c>
      <c r="F64" s="214" t="s">
        <v>56</v>
      </c>
      <c r="G64" s="214">
        <v>6</v>
      </c>
      <c r="H64" s="4"/>
      <c r="I64" s="214">
        <f>IFERROR(VLOOKUP($E64,Analyze!$B$62:$F$97,3,0),0)</f>
        <v>699</v>
      </c>
      <c r="J64" s="214">
        <f>IFERROR(VLOOKUP($E64,Analyze!$B$62:$F$97,4,0),0)</f>
        <v>332</v>
      </c>
      <c r="K64" s="214">
        <f>IFERROR(VLOOKUP($E64,Analyze!$B$62:$F$97,5,0),0)</f>
        <v>728</v>
      </c>
      <c r="L64" s="215"/>
      <c r="M64" s="214">
        <v>87</v>
      </c>
      <c r="N64" s="214">
        <v>120</v>
      </c>
      <c r="O64" s="214">
        <v>90</v>
      </c>
      <c r="R64" s="214">
        <f t="shared" ref="R64:T65" si="13">H64-M64</f>
        <v>-87</v>
      </c>
      <c r="S64" s="214">
        <f t="shared" si="13"/>
        <v>579</v>
      </c>
      <c r="T64" s="214">
        <f t="shared" si="13"/>
        <v>242</v>
      </c>
      <c r="W64" s="216">
        <f t="shared" ref="W64:Y65" si="14">(R64/M64)</f>
        <v>-1</v>
      </c>
      <c r="X64" s="216">
        <f t="shared" si="14"/>
        <v>4.8250000000000002</v>
      </c>
      <c r="Y64" s="216">
        <f t="shared" si="14"/>
        <v>2.6888888888888891</v>
      </c>
      <c r="Z64" s="216"/>
    </row>
    <row r="65" spans="1:26" s="214" customFormat="1" x14ac:dyDescent="0.3">
      <c r="A65" s="213" t="s">
        <v>114</v>
      </c>
      <c r="B65" s="213" t="s">
        <v>113</v>
      </c>
      <c r="C65" s="214" t="s">
        <v>60</v>
      </c>
      <c r="D65" s="214" t="s">
        <v>61</v>
      </c>
      <c r="E65" s="214" t="str">
        <f>B65&amp;D65</f>
        <v>86790-0K190BPK</v>
      </c>
      <c r="F65" s="214" t="s">
        <v>89</v>
      </c>
      <c r="H65" s="4"/>
      <c r="I65" s="214">
        <f>IFERROR(VLOOKUP($E65,Analyze!$B$62:$F$97,3,0),0)</f>
        <v>4284</v>
      </c>
      <c r="J65" s="214">
        <f>IFERROR(VLOOKUP($E65,Analyze!$B$62:$F$97,4,0),0)</f>
        <v>3066</v>
      </c>
      <c r="K65" s="214">
        <f>IFERROR(VLOOKUP($E65,Analyze!$B$62:$F$97,5,0),0)</f>
        <v>2436</v>
      </c>
      <c r="L65" s="217"/>
      <c r="M65" s="214">
        <v>3318</v>
      </c>
      <c r="N65" s="214">
        <v>3402</v>
      </c>
      <c r="O65" s="214">
        <v>2142</v>
      </c>
      <c r="R65" s="214">
        <f t="shared" si="13"/>
        <v>-3318</v>
      </c>
      <c r="S65" s="214">
        <f t="shared" si="13"/>
        <v>882</v>
      </c>
      <c r="T65" s="214">
        <f t="shared" si="13"/>
        <v>924</v>
      </c>
      <c r="W65" s="216">
        <f t="shared" si="14"/>
        <v>-1</v>
      </c>
      <c r="X65" s="216">
        <f t="shared" si="14"/>
        <v>0.25925925925925924</v>
      </c>
      <c r="Y65" s="216">
        <f t="shared" si="14"/>
        <v>0.43137254901960786</v>
      </c>
      <c r="Z65" s="216"/>
    </row>
  </sheetData>
  <autoFilter ref="A6:AB65" xr:uid="{00000000-0009-0000-0000-000001000000}"/>
  <phoneticPr fontId="24" type="noConversion"/>
  <conditionalFormatting sqref="W7:Y57">
    <cfRule type="cellIs" dxfId="37" priority="1" stopIfTrue="1" operator="lessThan">
      <formula>-0.1</formula>
    </cfRule>
    <cfRule type="cellIs" dxfId="36" priority="2" stopIfTrue="1" operator="greaterThan">
      <formula>0.1</formula>
    </cfRule>
    <cfRule type="cellIs" dxfId="35" priority="3" stopIfTrue="1" operator="lessThan">
      <formula>-0.2</formula>
    </cfRule>
    <cfRule type="cellIs" dxfId="34" priority="4" stopIfTrue="1" operator="greaterThan">
      <formula>0.2</formula>
    </cfRule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R138"/>
  <sheetViews>
    <sheetView zoomScale="70" zoomScaleNormal="70" workbookViewId="0">
      <pane xSplit="3" ySplit="6" topLeftCell="D27" activePane="bottomRight" state="frozen"/>
      <selection pane="topRight" activeCell="D1" sqref="D1"/>
      <selection pane="bottomLeft" activeCell="A7" sqref="A7"/>
      <selection pane="bottomRight" activeCell="T38" sqref="T38"/>
    </sheetView>
  </sheetViews>
  <sheetFormatPr defaultColWidth="9.33203125" defaultRowHeight="13.8" outlineLevelRow="1" outlineLevelCol="1" x14ac:dyDescent="0.3"/>
  <cols>
    <col min="1" max="1" width="6.6640625" style="4" customWidth="1"/>
    <col min="2" max="2" width="8.6640625" style="4" customWidth="1"/>
    <col min="3" max="3" width="12.6640625" style="4" customWidth="1"/>
    <col min="4" max="4" width="12.5546875" style="4" customWidth="1"/>
    <col min="5" max="5" width="21.6640625" style="4" customWidth="1"/>
    <col min="6" max="7" width="18.33203125" style="4" hidden="1" customWidth="1" outlineLevel="1"/>
    <col min="8" max="8" width="14.33203125" style="4" hidden="1" customWidth="1" outlineLevel="1"/>
    <col min="9" max="9" width="13.5546875" style="4" customWidth="1" collapsed="1"/>
    <col min="10" max="10" width="29.33203125" style="4" customWidth="1"/>
    <col min="11" max="11" width="9.88671875" style="4" customWidth="1"/>
    <col min="12" max="12" width="18.33203125" style="4" customWidth="1"/>
    <col min="13" max="13" width="10.44140625" style="4" customWidth="1"/>
    <col min="14" max="14" width="7.6640625" style="4" hidden="1" customWidth="1" outlineLevel="1"/>
    <col min="15" max="15" width="29.5546875" style="4" hidden="1" customWidth="1" outlineLevel="1"/>
    <col min="16" max="16" width="9.88671875" style="4" customWidth="1" collapsed="1"/>
    <col min="17" max="19" width="9.88671875" style="4" customWidth="1"/>
    <col min="20" max="20" width="10" style="5" customWidth="1" outlineLevel="1"/>
    <col min="21" max="21" width="9.33203125" style="4" customWidth="1"/>
    <col min="22" max="24" width="8.6640625" style="4" customWidth="1"/>
    <col min="25" max="25" width="5.6640625" style="4" customWidth="1"/>
    <col min="26" max="26" width="2.6640625" style="4" customWidth="1"/>
    <col min="27" max="27" width="6.44140625" style="4" customWidth="1"/>
    <col min="28" max="28" width="7.5546875" style="4" customWidth="1"/>
    <col min="29" max="29" width="7.6640625" style="4" customWidth="1"/>
    <col min="30" max="30" width="2" style="4" customWidth="1"/>
    <col min="31" max="33" width="8.33203125" style="4" hidden="1" customWidth="1" outlineLevel="1"/>
    <col min="34" max="35" width="9.33203125" style="4" hidden="1" customWidth="1" outlineLevel="1"/>
    <col min="36" max="36" width="8.33203125" style="4" customWidth="1" collapsed="1"/>
    <col min="37" max="38" width="8.33203125" style="4" customWidth="1"/>
    <col min="39" max="39" width="9.33203125" style="4" customWidth="1"/>
    <col min="40" max="40" width="5.33203125" style="5" customWidth="1"/>
    <col min="41" max="41" width="33" style="4" customWidth="1"/>
    <col min="42" max="42" width="37" style="4" customWidth="1"/>
    <col min="43" max="43" width="65" style="4" customWidth="1"/>
    <col min="44" max="44" width="32.44140625" style="4" bestFit="1" customWidth="1"/>
    <col min="45" max="45" width="9.33203125" style="4" customWidth="1"/>
    <col min="46" max="16384" width="9.33203125" style="4"/>
  </cols>
  <sheetData>
    <row r="1" spans="1:44" ht="24.75" customHeight="1" x14ac:dyDescent="0.3">
      <c r="D1" s="76" t="s">
        <v>124</v>
      </c>
      <c r="E1" s="10">
        <f>'By Plant'!C2</f>
        <v>46045</v>
      </c>
      <c r="F1" s="10"/>
      <c r="G1" s="10"/>
      <c r="H1" s="10"/>
      <c r="I1" s="3" t="str">
        <f>"Production Month:"&amp;'By Plant'!C3</f>
        <v>Production Month:Feb'26</v>
      </c>
    </row>
    <row r="2" spans="1:44" x14ac:dyDescent="0.3">
      <c r="D2" s="1"/>
      <c r="E2" s="2"/>
      <c r="F2" s="2"/>
      <c r="G2" s="2"/>
      <c r="H2" s="2"/>
      <c r="I2" s="7"/>
    </row>
    <row r="3" spans="1:44" ht="37.200000000000003" customHeight="1" x14ac:dyDescent="0.3">
      <c r="P3" s="152" t="s">
        <v>125</v>
      </c>
      <c r="Q3" s="152" t="s">
        <v>125</v>
      </c>
      <c r="R3" s="152" t="s">
        <v>125</v>
      </c>
      <c r="S3" s="152" t="s">
        <v>125</v>
      </c>
      <c r="T3" s="192" t="s">
        <v>126</v>
      </c>
      <c r="U3" s="192" t="s">
        <v>127</v>
      </c>
      <c r="V3" s="188" t="s">
        <v>20</v>
      </c>
      <c r="W3" s="188" t="s">
        <v>20</v>
      </c>
      <c r="X3" s="188" t="s">
        <v>20</v>
      </c>
      <c r="AE3" s="40"/>
      <c r="AJ3" s="40"/>
    </row>
    <row r="4" spans="1:44" ht="15" customHeight="1" thickBot="1" x14ac:dyDescent="0.35">
      <c r="P4" s="12" t="str">
        <f>'By Plant'!H6</f>
        <v>Feb</v>
      </c>
      <c r="Q4" s="12" t="str">
        <f>'By Plant'!I6</f>
        <v>Mar</v>
      </c>
      <c r="R4" s="12" t="str">
        <f>'By Plant'!J6</f>
        <v>Apr</v>
      </c>
      <c r="S4" s="12" t="str">
        <f>'By Plant'!K6</f>
        <v>May</v>
      </c>
      <c r="T4" s="191">
        <f>T7+T17+T31+T54</f>
        <v>288288</v>
      </c>
      <c r="U4" s="6" t="b">
        <f>T4=Total!N35</f>
        <v>0</v>
      </c>
      <c r="V4" s="12" t="str">
        <f>P4</f>
        <v>Feb</v>
      </c>
      <c r="W4" s="12" t="str">
        <f>Q4</f>
        <v>Mar</v>
      </c>
      <c r="X4" s="12" t="str">
        <f>R4</f>
        <v>Apr</v>
      </c>
      <c r="Y4" s="12" t="str">
        <f>S4</f>
        <v>May</v>
      </c>
      <c r="AE4" s="12" t="str">
        <f>P4</f>
        <v>Feb</v>
      </c>
      <c r="AF4" s="12" t="str">
        <f>Q4</f>
        <v>Mar</v>
      </c>
      <c r="AG4" s="12" t="str">
        <f>R4</f>
        <v>Apr</v>
      </c>
      <c r="AH4" s="12" t="str">
        <f>S4</f>
        <v>May</v>
      </c>
      <c r="AJ4" s="145" t="str">
        <f>V4</f>
        <v>Feb</v>
      </c>
      <c r="AK4" s="145" t="str">
        <f>W4</f>
        <v>Mar</v>
      </c>
      <c r="AL4" s="145" t="str">
        <f>X4</f>
        <v>Apr</v>
      </c>
      <c r="AM4" s="145" t="str">
        <f>Y4</f>
        <v>May</v>
      </c>
    </row>
    <row r="5" spans="1:44" ht="15" customHeight="1" x14ac:dyDescent="0.3">
      <c r="D5" s="110" t="s">
        <v>128</v>
      </c>
      <c r="E5" s="10">
        <f>E2</f>
        <v>0</v>
      </c>
      <c r="F5" s="10"/>
      <c r="G5" s="10"/>
      <c r="H5" s="10"/>
      <c r="I5" s="11" t="s">
        <v>45</v>
      </c>
      <c r="P5" s="12" t="s">
        <v>129</v>
      </c>
      <c r="Q5" s="288" t="s">
        <v>130</v>
      </c>
      <c r="R5" s="289"/>
      <c r="S5" s="289"/>
      <c r="V5" s="288" t="s">
        <v>131</v>
      </c>
      <c r="W5" s="289"/>
      <c r="X5" s="289"/>
      <c r="Y5" s="289"/>
      <c r="AE5" s="288" t="s">
        <v>132</v>
      </c>
      <c r="AF5" s="289"/>
      <c r="AG5" s="289"/>
      <c r="AH5" s="289"/>
      <c r="AI5" s="5"/>
      <c r="AJ5" s="288" t="s">
        <v>132</v>
      </c>
      <c r="AK5" s="289"/>
      <c r="AL5" s="289"/>
      <c r="AM5" s="289"/>
    </row>
    <row r="6" spans="1:44" ht="21" customHeight="1" x14ac:dyDescent="0.45">
      <c r="D6" s="111" t="s">
        <v>133</v>
      </c>
      <c r="E6" s="111" t="s">
        <v>4</v>
      </c>
      <c r="F6" s="111"/>
      <c r="G6" s="111"/>
      <c r="H6" s="111"/>
      <c r="I6" s="111" t="s">
        <v>134</v>
      </c>
      <c r="J6" s="111" t="s">
        <v>135</v>
      </c>
      <c r="K6" s="111" t="s">
        <v>136</v>
      </c>
      <c r="L6" s="111" t="s">
        <v>137</v>
      </c>
      <c r="M6" s="111" t="s">
        <v>138</v>
      </c>
      <c r="N6" s="112" t="s">
        <v>49</v>
      </c>
      <c r="O6" s="112"/>
      <c r="P6" s="92" t="s">
        <v>139</v>
      </c>
      <c r="Q6" s="92" t="s">
        <v>140</v>
      </c>
      <c r="R6" s="92" t="s">
        <v>141</v>
      </c>
      <c r="S6" s="92" t="s">
        <v>142</v>
      </c>
      <c r="V6" s="92" t="s">
        <v>139</v>
      </c>
      <c r="W6" s="92" t="s">
        <v>140</v>
      </c>
      <c r="X6" s="92" t="s">
        <v>141</v>
      </c>
      <c r="Y6" s="92" t="s">
        <v>142</v>
      </c>
      <c r="AA6" s="4" t="s">
        <v>21</v>
      </c>
      <c r="AB6" s="4" t="s">
        <v>21</v>
      </c>
      <c r="AC6" s="4" t="s">
        <v>21</v>
      </c>
      <c r="AE6" s="111" t="s">
        <v>139</v>
      </c>
      <c r="AF6" s="111" t="s">
        <v>140</v>
      </c>
      <c r="AG6" s="111" t="s">
        <v>141</v>
      </c>
      <c r="AH6" s="111" t="s">
        <v>142</v>
      </c>
      <c r="AI6" s="55"/>
      <c r="AJ6" s="111" t="s">
        <v>139</v>
      </c>
      <c r="AK6" s="111" t="s">
        <v>140</v>
      </c>
      <c r="AL6" s="111" t="s">
        <v>141</v>
      </c>
      <c r="AM6" s="111" t="s">
        <v>142</v>
      </c>
      <c r="AO6" s="1" t="s">
        <v>143</v>
      </c>
      <c r="AP6" s="1" t="s">
        <v>144</v>
      </c>
      <c r="AQ6" s="168" t="s">
        <v>145</v>
      </c>
      <c r="AR6" s="1" t="s">
        <v>146</v>
      </c>
    </row>
    <row r="7" spans="1:44" ht="15" customHeight="1" x14ac:dyDescent="0.3">
      <c r="A7" s="110" t="s">
        <v>55</v>
      </c>
      <c r="B7" s="110" t="s">
        <v>147</v>
      </c>
      <c r="C7" s="110" t="s">
        <v>148</v>
      </c>
      <c r="D7" s="8">
        <v>1</v>
      </c>
      <c r="E7" s="73" t="s">
        <v>149</v>
      </c>
      <c r="F7" s="73"/>
      <c r="G7" s="73"/>
      <c r="H7" s="73"/>
      <c r="I7" s="96" t="s">
        <v>150</v>
      </c>
      <c r="J7" s="96" t="s">
        <v>151</v>
      </c>
      <c r="K7" s="96" t="s">
        <v>152</v>
      </c>
      <c r="L7" s="172" t="s">
        <v>153</v>
      </c>
      <c r="M7" s="96">
        <v>25</v>
      </c>
      <c r="N7" s="96" t="s">
        <v>55</v>
      </c>
      <c r="O7" s="96" t="str">
        <f>LEFT(E7,11)&amp;N7</f>
        <v>86790-0K051SR</v>
      </c>
      <c r="P7" s="100">
        <v>2893</v>
      </c>
      <c r="Q7" s="161">
        <v>2992</v>
      </c>
      <c r="R7" s="161">
        <v>950</v>
      </c>
      <c r="S7" s="161">
        <v>1258</v>
      </c>
      <c r="T7" s="185">
        <f>SUM(P7:S12)</f>
        <v>13654</v>
      </c>
      <c r="U7" s="6" t="b">
        <f>T7='SR Daily'!EG20</f>
        <v>0</v>
      </c>
      <c r="V7" s="100">
        <v>2893</v>
      </c>
      <c r="W7" s="100">
        <v>2913</v>
      </c>
      <c r="X7" s="100">
        <v>2946</v>
      </c>
      <c r="Y7" s="99">
        <v>0</v>
      </c>
      <c r="Z7" s="6"/>
      <c r="AA7" s="6">
        <f t="shared" ref="AA7:AC12" si="0">P7-V7</f>
        <v>0</v>
      </c>
      <c r="AB7" s="174">
        <f t="shared" si="0"/>
        <v>79</v>
      </c>
      <c r="AC7" s="174">
        <f t="shared" si="0"/>
        <v>-1996</v>
      </c>
      <c r="AD7" s="6"/>
      <c r="AE7" s="109">
        <f t="shared" ref="AE7:AG10" si="1">P7/V7</f>
        <v>1</v>
      </c>
      <c r="AF7" s="109">
        <f t="shared" si="1"/>
        <v>1.0271198077583248</v>
      </c>
      <c r="AG7" s="109">
        <f t="shared" si="1"/>
        <v>0.32247114731839782</v>
      </c>
      <c r="AH7" s="98"/>
      <c r="AI7" s="40"/>
      <c r="AJ7" s="109">
        <f t="shared" ref="AJ7:AL12" si="2">AA7/V7</f>
        <v>0</v>
      </c>
      <c r="AK7" s="109">
        <f t="shared" si="2"/>
        <v>2.7119807758324749E-2</v>
      </c>
      <c r="AL7" s="109">
        <f t="shared" si="2"/>
        <v>-0.67752885268160212</v>
      </c>
      <c r="AM7" s="98"/>
      <c r="AN7" s="5" t="s">
        <v>154</v>
      </c>
      <c r="AO7" s="4" t="s">
        <v>155</v>
      </c>
      <c r="AP7" s="164" t="s">
        <v>156</v>
      </c>
      <c r="AQ7" s="4" t="s">
        <v>157</v>
      </c>
    </row>
    <row r="8" spans="1:44" ht="15" customHeight="1" x14ac:dyDescent="0.3">
      <c r="A8" s="110" t="s">
        <v>55</v>
      </c>
      <c r="B8" s="110" t="s">
        <v>147</v>
      </c>
      <c r="C8" s="110" t="s">
        <v>148</v>
      </c>
      <c r="D8" s="8">
        <v>2</v>
      </c>
      <c r="E8" s="105" t="s">
        <v>22</v>
      </c>
      <c r="F8" s="105"/>
      <c r="G8" s="105"/>
      <c r="H8" s="105"/>
      <c r="I8" s="96" t="s">
        <v>158</v>
      </c>
      <c r="J8" s="96" t="s">
        <v>151</v>
      </c>
      <c r="K8" s="96" t="s">
        <v>152</v>
      </c>
      <c r="L8" s="172" t="s">
        <v>153</v>
      </c>
      <c r="M8" s="96">
        <v>42</v>
      </c>
      <c r="N8" s="96" t="s">
        <v>55</v>
      </c>
      <c r="O8" s="96" t="str">
        <f>LEFT(E8,11)&amp;N8</f>
        <v>86790-0K080SR</v>
      </c>
      <c r="P8" s="100">
        <v>745</v>
      </c>
      <c r="Q8" s="161">
        <v>503</v>
      </c>
      <c r="R8" s="161">
        <v>523</v>
      </c>
      <c r="S8" s="161">
        <v>661</v>
      </c>
      <c r="T8" s="173"/>
      <c r="U8" s="6"/>
      <c r="V8" s="100">
        <v>745</v>
      </c>
      <c r="W8" s="100">
        <v>595</v>
      </c>
      <c r="X8" s="100">
        <v>630</v>
      </c>
      <c r="Y8" s="99">
        <v>0</v>
      </c>
      <c r="Z8" s="6"/>
      <c r="AA8" s="6">
        <f t="shared" si="0"/>
        <v>0</v>
      </c>
      <c r="AB8" s="6">
        <f t="shared" si="0"/>
        <v>-92</v>
      </c>
      <c r="AC8" s="6">
        <f t="shared" si="0"/>
        <v>-107</v>
      </c>
      <c r="AD8" s="6"/>
      <c r="AE8" s="109">
        <f t="shared" si="1"/>
        <v>1</v>
      </c>
      <c r="AF8" s="109">
        <f t="shared" si="1"/>
        <v>0.8453781512605042</v>
      </c>
      <c r="AG8" s="109">
        <f t="shared" si="1"/>
        <v>0.83015873015873021</v>
      </c>
      <c r="AH8" s="98"/>
      <c r="AI8" s="40"/>
      <c r="AJ8" s="109">
        <f t="shared" si="2"/>
        <v>0</v>
      </c>
      <c r="AK8" s="109">
        <f t="shared" si="2"/>
        <v>-0.1546218487394958</v>
      </c>
      <c r="AL8" s="109">
        <f t="shared" si="2"/>
        <v>-0.16984126984126985</v>
      </c>
      <c r="AM8" s="98"/>
      <c r="AN8" s="5" t="s">
        <v>154</v>
      </c>
      <c r="AO8" s="4" t="s">
        <v>155</v>
      </c>
      <c r="AP8" s="164" t="s">
        <v>156</v>
      </c>
      <c r="AQ8" s="4" t="s">
        <v>159</v>
      </c>
    </row>
    <row r="9" spans="1:44" ht="15" customHeight="1" x14ac:dyDescent="0.3">
      <c r="A9" s="110" t="s">
        <v>55</v>
      </c>
      <c r="B9" s="110" t="s">
        <v>147</v>
      </c>
      <c r="C9" s="110" t="s">
        <v>148</v>
      </c>
      <c r="D9" s="8">
        <v>3</v>
      </c>
      <c r="E9" s="105" t="s">
        <v>160</v>
      </c>
      <c r="F9" s="105"/>
      <c r="G9" s="105"/>
      <c r="H9" s="105"/>
      <c r="I9" s="96" t="s">
        <v>161</v>
      </c>
      <c r="J9" s="96" t="s">
        <v>151</v>
      </c>
      <c r="K9" s="96" t="s">
        <v>152</v>
      </c>
      <c r="L9" s="172" t="s">
        <v>153</v>
      </c>
      <c r="M9" s="96">
        <v>8</v>
      </c>
      <c r="N9" s="96" t="s">
        <v>55</v>
      </c>
      <c r="O9" s="96" t="str">
        <f>LEFT(E9,11)&amp;N9</f>
        <v>86790-0K141SR</v>
      </c>
      <c r="P9" s="100">
        <v>26</v>
      </c>
      <c r="Q9" s="161">
        <v>12</v>
      </c>
      <c r="R9" s="161">
        <v>9</v>
      </c>
      <c r="S9" s="161">
        <v>9</v>
      </c>
      <c r="T9" s="173"/>
      <c r="U9" s="6"/>
      <c r="V9" s="100">
        <v>26</v>
      </c>
      <c r="W9" s="100">
        <v>13</v>
      </c>
      <c r="X9" s="100">
        <v>13</v>
      </c>
      <c r="Y9" s="99">
        <v>0</v>
      </c>
      <c r="Z9" s="6"/>
      <c r="AA9" s="6">
        <f t="shared" si="0"/>
        <v>0</v>
      </c>
      <c r="AB9" s="6">
        <f t="shared" si="0"/>
        <v>-1</v>
      </c>
      <c r="AC9" s="6">
        <f t="shared" si="0"/>
        <v>-4</v>
      </c>
      <c r="AD9" s="6"/>
      <c r="AE9" s="109">
        <f t="shared" si="1"/>
        <v>1</v>
      </c>
      <c r="AF9" s="109">
        <f t="shared" si="1"/>
        <v>0.92307692307692313</v>
      </c>
      <c r="AG9" s="109">
        <f t="shared" si="1"/>
        <v>0.69230769230769229</v>
      </c>
      <c r="AH9" s="98"/>
      <c r="AI9" s="40"/>
      <c r="AJ9" s="109">
        <f t="shared" si="2"/>
        <v>0</v>
      </c>
      <c r="AK9" s="109">
        <f t="shared" si="2"/>
        <v>-7.6923076923076927E-2</v>
      </c>
      <c r="AL9" s="109">
        <f t="shared" si="2"/>
        <v>-0.30769230769230771</v>
      </c>
      <c r="AM9" s="98"/>
      <c r="AO9" s="4" t="s">
        <v>155</v>
      </c>
      <c r="AP9" s="164" t="s">
        <v>156</v>
      </c>
    </row>
    <row r="10" spans="1:44" ht="15" customHeight="1" x14ac:dyDescent="0.3">
      <c r="A10" s="110" t="s">
        <v>55</v>
      </c>
      <c r="B10" s="110" t="s">
        <v>147</v>
      </c>
      <c r="C10" s="110" t="s">
        <v>148</v>
      </c>
      <c r="D10" s="8">
        <v>4</v>
      </c>
      <c r="E10" s="105" t="s">
        <v>162</v>
      </c>
      <c r="F10" s="105"/>
      <c r="G10" s="105"/>
      <c r="H10" s="105"/>
      <c r="I10" s="96" t="s">
        <v>163</v>
      </c>
      <c r="J10" s="96" t="s">
        <v>151</v>
      </c>
      <c r="K10" s="96" t="s">
        <v>152</v>
      </c>
      <c r="L10" s="172" t="s">
        <v>153</v>
      </c>
      <c r="M10" s="96">
        <v>8</v>
      </c>
      <c r="N10" s="96" t="s">
        <v>55</v>
      </c>
      <c r="O10" s="96" t="str">
        <f>LEFT(E10,11)&amp;N10</f>
        <v>86790-0K171SR</v>
      </c>
      <c r="P10" s="100">
        <v>726</v>
      </c>
      <c r="Q10" s="161">
        <v>308</v>
      </c>
      <c r="R10" s="161">
        <v>372</v>
      </c>
      <c r="S10" s="161">
        <v>523</v>
      </c>
      <c r="T10" s="173"/>
      <c r="U10" s="6"/>
      <c r="V10" s="100">
        <v>726</v>
      </c>
      <c r="W10" s="100">
        <v>465</v>
      </c>
      <c r="X10" s="100">
        <v>437</v>
      </c>
      <c r="Y10" s="99">
        <v>0</v>
      </c>
      <c r="Z10" s="6"/>
      <c r="AA10" s="6">
        <f t="shared" si="0"/>
        <v>0</v>
      </c>
      <c r="AB10" s="6">
        <f t="shared" si="0"/>
        <v>-157</v>
      </c>
      <c r="AC10" s="6">
        <f t="shared" si="0"/>
        <v>-65</v>
      </c>
      <c r="AD10" s="6"/>
      <c r="AE10" s="109">
        <f t="shared" si="1"/>
        <v>1</v>
      </c>
      <c r="AF10" s="109">
        <f t="shared" si="1"/>
        <v>0.66236559139784945</v>
      </c>
      <c r="AG10" s="109">
        <f t="shared" si="1"/>
        <v>0.85125858123569798</v>
      </c>
      <c r="AH10" s="98"/>
      <c r="AI10" s="40"/>
      <c r="AJ10" s="109">
        <f t="shared" si="2"/>
        <v>0</v>
      </c>
      <c r="AK10" s="109">
        <f t="shared" si="2"/>
        <v>-0.33763440860215055</v>
      </c>
      <c r="AL10" s="109">
        <f t="shared" si="2"/>
        <v>-0.14874141876430205</v>
      </c>
      <c r="AM10" s="98"/>
      <c r="AN10" s="5" t="s">
        <v>154</v>
      </c>
      <c r="AO10" s="4" t="s">
        <v>155</v>
      </c>
      <c r="AP10" s="164" t="s">
        <v>156</v>
      </c>
      <c r="AQ10" s="4" t="s">
        <v>164</v>
      </c>
    </row>
    <row r="11" spans="1:44" ht="15" customHeight="1" x14ac:dyDescent="0.3">
      <c r="A11" s="110" t="s">
        <v>55</v>
      </c>
      <c r="B11" s="110" t="s">
        <v>147</v>
      </c>
      <c r="C11" s="110" t="s">
        <v>165</v>
      </c>
      <c r="D11" s="8">
        <v>5</v>
      </c>
      <c r="E11" s="105" t="s">
        <v>166</v>
      </c>
      <c r="F11" s="105"/>
      <c r="G11" s="105"/>
      <c r="H11" s="105"/>
      <c r="I11" s="96" t="s">
        <v>167</v>
      </c>
      <c r="J11" s="96" t="s">
        <v>151</v>
      </c>
      <c r="K11" s="96" t="s">
        <v>152</v>
      </c>
      <c r="L11" s="172" t="s">
        <v>153</v>
      </c>
      <c r="M11" s="96">
        <v>25</v>
      </c>
      <c r="N11" s="96"/>
      <c r="O11" s="96"/>
      <c r="P11" s="100">
        <v>164</v>
      </c>
      <c r="Q11" s="161">
        <v>44</v>
      </c>
      <c r="R11" s="161">
        <v>174</v>
      </c>
      <c r="S11" s="161">
        <v>190</v>
      </c>
      <c r="T11" s="173"/>
      <c r="U11" s="6"/>
      <c r="V11" s="100">
        <v>138</v>
      </c>
      <c r="W11" s="100">
        <v>38</v>
      </c>
      <c r="X11" s="100">
        <v>194</v>
      </c>
      <c r="Y11" s="99"/>
      <c r="Z11" s="6"/>
      <c r="AA11" s="6">
        <f t="shared" si="0"/>
        <v>26</v>
      </c>
      <c r="AB11" s="6">
        <f t="shared" si="0"/>
        <v>6</v>
      </c>
      <c r="AC11" s="6">
        <f t="shared" si="0"/>
        <v>-20</v>
      </c>
      <c r="AD11" s="6"/>
      <c r="AE11" s="109"/>
      <c r="AF11" s="109"/>
      <c r="AG11" s="109"/>
      <c r="AH11" s="98"/>
      <c r="AI11" s="40"/>
      <c r="AJ11" s="109">
        <f t="shared" si="2"/>
        <v>0.18840579710144928</v>
      </c>
      <c r="AK11" s="109">
        <f t="shared" si="2"/>
        <v>0.15789473684210525</v>
      </c>
      <c r="AL11" s="109">
        <f t="shared" si="2"/>
        <v>-0.10309278350515463</v>
      </c>
      <c r="AM11" s="98"/>
      <c r="AP11" s="164"/>
    </row>
    <row r="12" spans="1:44" ht="15" customHeight="1" x14ac:dyDescent="0.3">
      <c r="A12" s="110" t="s">
        <v>55</v>
      </c>
      <c r="B12" s="110" t="s">
        <v>147</v>
      </c>
      <c r="C12" s="110" t="s">
        <v>165</v>
      </c>
      <c r="D12" s="8">
        <v>6</v>
      </c>
      <c r="E12" s="105" t="s">
        <v>168</v>
      </c>
      <c r="F12" s="105"/>
      <c r="G12" s="105"/>
      <c r="H12" s="105"/>
      <c r="I12" s="96" t="s">
        <v>169</v>
      </c>
      <c r="J12" s="96" t="s">
        <v>151</v>
      </c>
      <c r="K12" s="96" t="s">
        <v>152</v>
      </c>
      <c r="L12" s="172" t="s">
        <v>153</v>
      </c>
      <c r="M12" s="96">
        <v>38</v>
      </c>
      <c r="N12" s="96"/>
      <c r="O12" s="96"/>
      <c r="P12" s="100">
        <v>164</v>
      </c>
      <c r="Q12" s="161">
        <v>44</v>
      </c>
      <c r="R12" s="161">
        <v>174</v>
      </c>
      <c r="S12" s="161">
        <v>190</v>
      </c>
      <c r="T12" s="173"/>
      <c r="U12" s="6"/>
      <c r="V12" s="100">
        <v>138</v>
      </c>
      <c r="W12" s="100">
        <v>38</v>
      </c>
      <c r="X12" s="100">
        <v>194</v>
      </c>
      <c r="Y12" s="99"/>
      <c r="Z12" s="6"/>
      <c r="AA12" s="6">
        <f t="shared" si="0"/>
        <v>26</v>
      </c>
      <c r="AB12" s="6">
        <f t="shared" si="0"/>
        <v>6</v>
      </c>
      <c r="AC12" s="6">
        <f t="shared" si="0"/>
        <v>-20</v>
      </c>
      <c r="AD12" s="6"/>
      <c r="AE12" s="109"/>
      <c r="AF12" s="109"/>
      <c r="AG12" s="109"/>
      <c r="AH12" s="98"/>
      <c r="AI12" s="40"/>
      <c r="AJ12" s="109">
        <f t="shared" si="2"/>
        <v>0.18840579710144928</v>
      </c>
      <c r="AK12" s="109">
        <f t="shared" si="2"/>
        <v>0.15789473684210525</v>
      </c>
      <c r="AL12" s="109">
        <f t="shared" si="2"/>
        <v>-0.10309278350515463</v>
      </c>
      <c r="AM12" s="98"/>
      <c r="AP12" s="164"/>
    </row>
    <row r="13" spans="1:44" ht="15" customHeight="1" x14ac:dyDescent="0.3">
      <c r="L13" s="132"/>
      <c r="P13" s="6"/>
      <c r="Q13" s="6"/>
      <c r="R13" s="6"/>
      <c r="S13" s="6"/>
      <c r="T13" s="173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173"/>
    </row>
    <row r="14" spans="1:44" ht="15" customHeight="1" x14ac:dyDescent="0.3">
      <c r="P14" s="6"/>
      <c r="Q14" s="6"/>
      <c r="R14" s="151" t="s">
        <v>125</v>
      </c>
      <c r="S14" s="151" t="s">
        <v>125</v>
      </c>
      <c r="T14" s="173"/>
      <c r="U14" s="6"/>
      <c r="V14" s="6"/>
      <c r="W14" s="6"/>
      <c r="X14" s="6"/>
      <c r="Y14" s="6"/>
      <c r="AN14" s="173"/>
    </row>
    <row r="15" spans="1:44" ht="15" customHeight="1" x14ac:dyDescent="0.3">
      <c r="D15" s="110" t="s">
        <v>170</v>
      </c>
      <c r="E15" s="10">
        <f>E4</f>
        <v>0</v>
      </c>
      <c r="F15" s="10"/>
      <c r="G15" s="10"/>
      <c r="H15" s="10"/>
      <c r="I15" s="11">
        <f>I4</f>
        <v>0</v>
      </c>
      <c r="P15" s="12" t="str">
        <f>P4</f>
        <v>Feb</v>
      </c>
      <c r="Q15" s="12" t="str">
        <f>Q4</f>
        <v>Mar</v>
      </c>
      <c r="R15" s="12" t="str">
        <f>R4</f>
        <v>Apr</v>
      </c>
      <c r="S15" s="12" t="str">
        <f>S4</f>
        <v>May</v>
      </c>
      <c r="T15" s="173"/>
      <c r="V15" s="288" t="s">
        <v>131</v>
      </c>
      <c r="W15" s="289"/>
      <c r="X15" s="289"/>
      <c r="Y15" s="289"/>
      <c r="AE15" s="288" t="s">
        <v>132</v>
      </c>
      <c r="AF15" s="289"/>
      <c r="AG15" s="289"/>
      <c r="AH15" s="289"/>
      <c r="AI15" s="5"/>
      <c r="AJ15" s="288" t="s">
        <v>132</v>
      </c>
      <c r="AK15" s="289"/>
      <c r="AL15" s="289"/>
      <c r="AM15" s="289"/>
      <c r="AN15" s="173"/>
    </row>
    <row r="16" spans="1:44" ht="15" customHeight="1" x14ac:dyDescent="0.3">
      <c r="D16" s="111" t="s">
        <v>133</v>
      </c>
      <c r="E16" s="111" t="s">
        <v>4</v>
      </c>
      <c r="F16" s="111"/>
      <c r="G16" s="111"/>
      <c r="H16" s="111"/>
      <c r="I16" s="111" t="s">
        <v>134</v>
      </c>
      <c r="J16" s="111" t="s">
        <v>135</v>
      </c>
      <c r="K16" s="111" t="s">
        <v>136</v>
      </c>
      <c r="L16" s="111" t="s">
        <v>137</v>
      </c>
      <c r="M16" s="111" t="s">
        <v>138</v>
      </c>
      <c r="N16" s="112" t="s">
        <v>49</v>
      </c>
      <c r="O16" s="112"/>
      <c r="P16" s="92" t="s">
        <v>139</v>
      </c>
      <c r="Q16" s="92" t="s">
        <v>140</v>
      </c>
      <c r="R16" s="92" t="s">
        <v>141</v>
      </c>
      <c r="S16" s="92" t="s">
        <v>142</v>
      </c>
      <c r="V16" s="92" t="s">
        <v>139</v>
      </c>
      <c r="W16" s="92" t="s">
        <v>140</v>
      </c>
      <c r="X16" s="92" t="s">
        <v>141</v>
      </c>
      <c r="Y16" s="92" t="s">
        <v>142</v>
      </c>
      <c r="AE16" s="111" t="s">
        <v>139</v>
      </c>
      <c r="AF16" s="111" t="s">
        <v>140</v>
      </c>
      <c r="AG16" s="111" t="s">
        <v>141</v>
      </c>
      <c r="AH16" s="111" t="s">
        <v>142</v>
      </c>
      <c r="AI16" s="55"/>
      <c r="AJ16" s="111" t="s">
        <v>139</v>
      </c>
      <c r="AK16" s="111" t="s">
        <v>140</v>
      </c>
      <c r="AL16" s="111" t="s">
        <v>141</v>
      </c>
      <c r="AM16" s="111" t="s">
        <v>142</v>
      </c>
      <c r="AN16" s="173"/>
    </row>
    <row r="17" spans="1:43" ht="15" customHeight="1" x14ac:dyDescent="0.3">
      <c r="A17" s="110" t="s">
        <v>64</v>
      </c>
      <c r="B17" s="110" t="s">
        <v>147</v>
      </c>
      <c r="C17" s="110" t="s">
        <v>148</v>
      </c>
      <c r="D17" s="8">
        <v>1</v>
      </c>
      <c r="E17" s="73" t="s">
        <v>149</v>
      </c>
      <c r="F17" s="118" t="s">
        <v>149</v>
      </c>
      <c r="G17" s="159"/>
      <c r="H17" s="105" t="b">
        <f t="shared" ref="H17:H24" si="3">F17=E17</f>
        <v>1</v>
      </c>
      <c r="I17" s="96" t="s">
        <v>171</v>
      </c>
      <c r="J17" s="96" t="s">
        <v>172</v>
      </c>
      <c r="K17" s="96" t="s">
        <v>173</v>
      </c>
      <c r="L17" s="97" t="s">
        <v>174</v>
      </c>
      <c r="M17" s="96">
        <v>25</v>
      </c>
      <c r="N17" s="96" t="s">
        <v>64</v>
      </c>
      <c r="O17" s="96" t="str">
        <f t="shared" ref="O17:O24" si="4">LEFT(E17,11)&amp;N17</f>
        <v>86790-0K051BP</v>
      </c>
      <c r="P17" s="100">
        <v>4401</v>
      </c>
      <c r="Q17" s="161">
        <v>3927</v>
      </c>
      <c r="R17" s="161">
        <v>2234</v>
      </c>
      <c r="S17" s="161">
        <v>1836</v>
      </c>
      <c r="T17" s="185">
        <f>SUM(P17:S26)</f>
        <v>39022</v>
      </c>
      <c r="U17" s="6" t="b">
        <f>T17='BP Daily'!EG26</f>
        <v>0</v>
      </c>
      <c r="V17" s="100">
        <v>4401</v>
      </c>
      <c r="W17" s="100">
        <v>4074</v>
      </c>
      <c r="X17" s="100">
        <v>2242</v>
      </c>
      <c r="Y17" s="99"/>
      <c r="AA17" s="6">
        <f t="shared" ref="AA17:AA26" si="5">P17-V17</f>
        <v>0</v>
      </c>
      <c r="AB17" s="6">
        <f t="shared" ref="AB17:AB26" si="6">Q17-W17</f>
        <v>-147</v>
      </c>
      <c r="AC17" s="174">
        <f t="shared" ref="AC17:AC26" si="7">R17-X17</f>
        <v>-8</v>
      </c>
      <c r="AE17" s="109">
        <f t="shared" ref="AE17:AG24" si="8">P17/V17</f>
        <v>1</v>
      </c>
      <c r="AF17" s="109">
        <f t="shared" si="8"/>
        <v>0.96391752577319589</v>
      </c>
      <c r="AG17" s="109">
        <f t="shared" si="8"/>
        <v>0.9964317573595004</v>
      </c>
      <c r="AH17" s="98"/>
      <c r="AI17" s="40"/>
      <c r="AJ17" s="109">
        <f t="shared" ref="AJ17:AJ26" si="9">AA17/V17</f>
        <v>0</v>
      </c>
      <c r="AK17" s="109">
        <f t="shared" ref="AK17:AK26" si="10">AB17/W17</f>
        <v>-3.608247422680412E-2</v>
      </c>
      <c r="AL17" s="109">
        <f t="shared" ref="AL17:AL26" si="11">AC17/X17</f>
        <v>-3.5682426404995541E-3</v>
      </c>
      <c r="AM17" s="98"/>
      <c r="AN17" s="173"/>
      <c r="AO17" s="4" t="s">
        <v>175</v>
      </c>
      <c r="AP17" s="164" t="s">
        <v>176</v>
      </c>
    </row>
    <row r="18" spans="1:43" ht="15" customHeight="1" x14ac:dyDescent="0.3">
      <c r="A18" s="110" t="s">
        <v>64</v>
      </c>
      <c r="B18" s="110" t="s">
        <v>147</v>
      </c>
      <c r="C18" s="110" t="s">
        <v>148</v>
      </c>
      <c r="D18" s="8">
        <v>2</v>
      </c>
      <c r="E18" s="105" t="s">
        <v>22</v>
      </c>
      <c r="F18" s="118" t="s">
        <v>22</v>
      </c>
      <c r="G18" s="159"/>
      <c r="H18" s="105" t="b">
        <f t="shared" si="3"/>
        <v>1</v>
      </c>
      <c r="I18" s="96" t="s">
        <v>177</v>
      </c>
      <c r="J18" s="96" t="s">
        <v>172</v>
      </c>
      <c r="K18" s="96" t="s">
        <v>173</v>
      </c>
      <c r="L18" s="97" t="s">
        <v>174</v>
      </c>
      <c r="M18" s="96">
        <v>42</v>
      </c>
      <c r="N18" s="96" t="s">
        <v>64</v>
      </c>
      <c r="O18" s="96" t="str">
        <f t="shared" si="4"/>
        <v>86790-0K080BP</v>
      </c>
      <c r="P18" s="100">
        <v>619</v>
      </c>
      <c r="Q18" s="161">
        <v>553</v>
      </c>
      <c r="R18" s="161">
        <v>514</v>
      </c>
      <c r="S18" s="161">
        <v>380</v>
      </c>
      <c r="T18" s="173"/>
      <c r="U18" s="6"/>
      <c r="V18" s="100">
        <v>619</v>
      </c>
      <c r="W18" s="100">
        <v>516</v>
      </c>
      <c r="X18" s="100">
        <v>488</v>
      </c>
      <c r="Y18" s="99"/>
      <c r="AA18" s="6">
        <f t="shared" si="5"/>
        <v>0</v>
      </c>
      <c r="AB18" s="6">
        <f t="shared" si="6"/>
        <v>37</v>
      </c>
      <c r="AC18" s="6">
        <f t="shared" si="7"/>
        <v>26</v>
      </c>
      <c r="AE18" s="109">
        <f t="shared" si="8"/>
        <v>1</v>
      </c>
      <c r="AF18" s="109">
        <f t="shared" si="8"/>
        <v>1.0717054263565891</v>
      </c>
      <c r="AG18" s="109">
        <f t="shared" si="8"/>
        <v>1.0532786885245902</v>
      </c>
      <c r="AH18" s="98"/>
      <c r="AI18" s="40"/>
      <c r="AJ18" s="109">
        <f t="shared" si="9"/>
        <v>0</v>
      </c>
      <c r="AK18" s="109">
        <f t="shared" si="10"/>
        <v>7.170542635658915E-2</v>
      </c>
      <c r="AL18" s="109">
        <f t="shared" si="11"/>
        <v>5.3278688524590161E-2</v>
      </c>
      <c r="AM18" s="98"/>
      <c r="AN18" s="173" t="s">
        <v>154</v>
      </c>
      <c r="AO18" s="4" t="s">
        <v>175</v>
      </c>
      <c r="AP18" s="164" t="s">
        <v>176</v>
      </c>
      <c r="AQ18" s="4" t="s">
        <v>178</v>
      </c>
    </row>
    <row r="19" spans="1:43" ht="15" customHeight="1" x14ac:dyDescent="0.3">
      <c r="A19" s="110" t="s">
        <v>64</v>
      </c>
      <c r="B19" s="110" t="s">
        <v>147</v>
      </c>
      <c r="C19" s="110" t="s">
        <v>148</v>
      </c>
      <c r="D19" s="8">
        <v>3</v>
      </c>
      <c r="E19" s="105" t="s">
        <v>23</v>
      </c>
      <c r="F19" s="118" t="s">
        <v>23</v>
      </c>
      <c r="G19" s="159"/>
      <c r="H19" s="105" t="b">
        <f t="shared" si="3"/>
        <v>1</v>
      </c>
      <c r="I19" s="96" t="s">
        <v>179</v>
      </c>
      <c r="J19" s="96" t="s">
        <v>172</v>
      </c>
      <c r="K19" s="96" t="s">
        <v>173</v>
      </c>
      <c r="L19" s="97" t="s">
        <v>174</v>
      </c>
      <c r="M19" s="96">
        <v>18</v>
      </c>
      <c r="N19" s="96" t="s">
        <v>64</v>
      </c>
      <c r="O19" s="96" t="str">
        <f t="shared" si="4"/>
        <v>86790-0K110BP</v>
      </c>
      <c r="P19" s="100">
        <v>604</v>
      </c>
      <c r="Q19" s="161">
        <v>1218</v>
      </c>
      <c r="R19" s="161">
        <v>976</v>
      </c>
      <c r="S19" s="161">
        <v>834</v>
      </c>
      <c r="T19" s="173"/>
      <c r="U19" s="6"/>
      <c r="V19" s="100">
        <v>604</v>
      </c>
      <c r="W19" s="100">
        <v>1138</v>
      </c>
      <c r="X19" s="100">
        <v>886</v>
      </c>
      <c r="Y19" s="99"/>
      <c r="AA19" s="6">
        <f t="shared" si="5"/>
        <v>0</v>
      </c>
      <c r="AB19" s="6">
        <f t="shared" si="6"/>
        <v>80</v>
      </c>
      <c r="AC19" s="6">
        <f t="shared" si="7"/>
        <v>90</v>
      </c>
      <c r="AE19" s="109">
        <f t="shared" si="8"/>
        <v>1</v>
      </c>
      <c r="AF19" s="109">
        <f t="shared" si="8"/>
        <v>1.0702987697715289</v>
      </c>
      <c r="AG19" s="109">
        <f t="shared" si="8"/>
        <v>1.1015801354401806</v>
      </c>
      <c r="AH19" s="98"/>
      <c r="AI19" s="40"/>
      <c r="AJ19" s="109">
        <f t="shared" si="9"/>
        <v>0</v>
      </c>
      <c r="AK19" s="109">
        <f t="shared" si="10"/>
        <v>7.0298769771529004E-2</v>
      </c>
      <c r="AL19" s="109">
        <f t="shared" si="11"/>
        <v>0.10158013544018059</v>
      </c>
      <c r="AM19" s="98"/>
      <c r="AN19" s="173"/>
      <c r="AO19" s="4" t="s">
        <v>175</v>
      </c>
      <c r="AP19" s="164" t="s">
        <v>176</v>
      </c>
    </row>
    <row r="20" spans="1:43" ht="15" customHeight="1" x14ac:dyDescent="0.3">
      <c r="A20" s="110" t="s">
        <v>64</v>
      </c>
      <c r="B20" s="110" t="s">
        <v>147</v>
      </c>
      <c r="C20" s="110" t="s">
        <v>148</v>
      </c>
      <c r="D20" s="8">
        <v>4</v>
      </c>
      <c r="E20" s="105" t="s">
        <v>160</v>
      </c>
      <c r="F20" s="118" t="s">
        <v>160</v>
      </c>
      <c r="G20" s="159"/>
      <c r="H20" s="105" t="b">
        <f t="shared" si="3"/>
        <v>1</v>
      </c>
      <c r="I20" s="96" t="s">
        <v>180</v>
      </c>
      <c r="J20" s="96" t="s">
        <v>172</v>
      </c>
      <c r="K20" s="96" t="s">
        <v>173</v>
      </c>
      <c r="L20" s="97" t="s">
        <v>174</v>
      </c>
      <c r="M20" s="96">
        <v>8</v>
      </c>
      <c r="N20" s="96" t="s">
        <v>64</v>
      </c>
      <c r="O20" s="96" t="str">
        <f t="shared" si="4"/>
        <v>86790-0K141BP</v>
      </c>
      <c r="P20" s="100">
        <v>522</v>
      </c>
      <c r="Q20" s="161">
        <v>416</v>
      </c>
      <c r="R20" s="161">
        <v>192</v>
      </c>
      <c r="S20" s="161">
        <v>127</v>
      </c>
      <c r="T20" s="173"/>
      <c r="U20" s="6"/>
      <c r="V20" s="100">
        <v>522</v>
      </c>
      <c r="W20" s="100">
        <v>200</v>
      </c>
      <c r="X20" s="100">
        <v>200</v>
      </c>
      <c r="Y20" s="99"/>
      <c r="AA20" s="6">
        <f t="shared" si="5"/>
        <v>0</v>
      </c>
      <c r="AB20" s="6">
        <f t="shared" si="6"/>
        <v>216</v>
      </c>
      <c r="AC20" s="6">
        <f t="shared" si="7"/>
        <v>-8</v>
      </c>
      <c r="AE20" s="109">
        <f t="shared" si="8"/>
        <v>1</v>
      </c>
      <c r="AF20" s="109">
        <f t="shared" si="8"/>
        <v>2.08</v>
      </c>
      <c r="AG20" s="109">
        <f t="shared" si="8"/>
        <v>0.96</v>
      </c>
      <c r="AH20" s="98"/>
      <c r="AI20" s="40"/>
      <c r="AJ20" s="109">
        <f t="shared" si="9"/>
        <v>0</v>
      </c>
      <c r="AK20" s="109">
        <f t="shared" si="10"/>
        <v>1.08</v>
      </c>
      <c r="AL20" s="109">
        <f t="shared" si="11"/>
        <v>-0.04</v>
      </c>
      <c r="AM20" s="98"/>
      <c r="AN20" s="173" t="s">
        <v>154</v>
      </c>
      <c r="AO20" s="4" t="s">
        <v>175</v>
      </c>
      <c r="AP20" s="164" t="s">
        <v>176</v>
      </c>
      <c r="AQ20" s="4" t="s">
        <v>181</v>
      </c>
    </row>
    <row r="21" spans="1:43" ht="15" customHeight="1" x14ac:dyDescent="0.3">
      <c r="A21" s="110" t="s">
        <v>64</v>
      </c>
      <c r="B21" s="110" t="s">
        <v>147</v>
      </c>
      <c r="C21" s="110" t="s">
        <v>148</v>
      </c>
      <c r="D21" s="8">
        <v>5</v>
      </c>
      <c r="E21" s="105" t="s">
        <v>162</v>
      </c>
      <c r="F21" s="118" t="s">
        <v>162</v>
      </c>
      <c r="G21" s="159"/>
      <c r="H21" s="105" t="b">
        <f t="shared" si="3"/>
        <v>1</v>
      </c>
      <c r="I21" s="96" t="s">
        <v>182</v>
      </c>
      <c r="J21" s="96" t="s">
        <v>172</v>
      </c>
      <c r="K21" s="96" t="s">
        <v>173</v>
      </c>
      <c r="L21" s="97" t="s">
        <v>174</v>
      </c>
      <c r="M21" s="96">
        <v>8</v>
      </c>
      <c r="N21" s="96" t="s">
        <v>64</v>
      </c>
      <c r="O21" s="96" t="str">
        <f t="shared" si="4"/>
        <v>86790-0K171BP</v>
      </c>
      <c r="P21" s="100">
        <v>1518</v>
      </c>
      <c r="Q21" s="161">
        <v>1222</v>
      </c>
      <c r="R21" s="161">
        <v>740</v>
      </c>
      <c r="S21" s="161">
        <v>583</v>
      </c>
      <c r="T21" s="173"/>
      <c r="U21" s="6"/>
      <c r="V21" s="100">
        <v>1518</v>
      </c>
      <c r="W21" s="100">
        <v>1329</v>
      </c>
      <c r="X21" s="100">
        <v>826</v>
      </c>
      <c r="Y21" s="99"/>
      <c r="AA21" s="6">
        <f t="shared" si="5"/>
        <v>0</v>
      </c>
      <c r="AB21" s="6">
        <f t="shared" si="6"/>
        <v>-107</v>
      </c>
      <c r="AC21" s="6">
        <f t="shared" si="7"/>
        <v>-86</v>
      </c>
      <c r="AE21" s="109">
        <f t="shared" si="8"/>
        <v>1</v>
      </c>
      <c r="AF21" s="109">
        <f t="shared" si="8"/>
        <v>0.91948833709556055</v>
      </c>
      <c r="AG21" s="109">
        <f t="shared" si="8"/>
        <v>0.89588377723970947</v>
      </c>
      <c r="AH21" s="98"/>
      <c r="AI21" s="40"/>
      <c r="AJ21" s="109">
        <f t="shared" si="9"/>
        <v>0</v>
      </c>
      <c r="AK21" s="109">
        <f t="shared" si="10"/>
        <v>-8.0511662904439424E-2</v>
      </c>
      <c r="AL21" s="109">
        <f t="shared" si="11"/>
        <v>-0.10411622276029056</v>
      </c>
      <c r="AM21" s="98"/>
      <c r="AN21" s="173"/>
      <c r="AO21" s="4" t="s">
        <v>175</v>
      </c>
      <c r="AP21" s="164" t="s">
        <v>176</v>
      </c>
    </row>
    <row r="22" spans="1:43" ht="15" customHeight="1" x14ac:dyDescent="0.3">
      <c r="A22" s="110" t="s">
        <v>64</v>
      </c>
      <c r="B22" s="110" t="s">
        <v>147</v>
      </c>
      <c r="C22" s="110" t="s">
        <v>148</v>
      </c>
      <c r="D22" s="8">
        <v>6</v>
      </c>
      <c r="E22" s="105" t="s">
        <v>183</v>
      </c>
      <c r="F22" s="118" t="s">
        <v>183</v>
      </c>
      <c r="G22" s="159"/>
      <c r="H22" s="105" t="b">
        <f t="shared" si="3"/>
        <v>1</v>
      </c>
      <c r="I22" s="96" t="s">
        <v>184</v>
      </c>
      <c r="J22" s="96" t="s">
        <v>172</v>
      </c>
      <c r="K22" s="96" t="s">
        <v>173</v>
      </c>
      <c r="L22" s="97" t="s">
        <v>174</v>
      </c>
      <c r="M22" s="96">
        <v>8</v>
      </c>
      <c r="N22" s="96" t="s">
        <v>64</v>
      </c>
      <c r="O22" s="96" t="str">
        <f t="shared" si="4"/>
        <v>86790-0K181BP</v>
      </c>
      <c r="P22" s="100">
        <v>99</v>
      </c>
      <c r="Q22" s="161">
        <v>48</v>
      </c>
      <c r="R22" s="161">
        <v>41</v>
      </c>
      <c r="S22" s="161">
        <v>39</v>
      </c>
      <c r="T22" s="173"/>
      <c r="U22" s="6"/>
      <c r="V22" s="100">
        <v>99</v>
      </c>
      <c r="W22" s="100">
        <v>47</v>
      </c>
      <c r="X22" s="100">
        <v>45</v>
      </c>
      <c r="Y22" s="99"/>
      <c r="AA22" s="6">
        <f t="shared" si="5"/>
        <v>0</v>
      </c>
      <c r="AB22" s="6">
        <f t="shared" si="6"/>
        <v>1</v>
      </c>
      <c r="AC22" s="6">
        <f t="shared" si="7"/>
        <v>-4</v>
      </c>
      <c r="AE22" s="109">
        <f t="shared" si="8"/>
        <v>1</v>
      </c>
      <c r="AF22" s="109">
        <f t="shared" si="8"/>
        <v>1.0212765957446808</v>
      </c>
      <c r="AG22" s="109">
        <f t="shared" si="8"/>
        <v>0.91111111111111109</v>
      </c>
      <c r="AH22" s="98"/>
      <c r="AI22" s="40"/>
      <c r="AJ22" s="109">
        <f t="shared" si="9"/>
        <v>0</v>
      </c>
      <c r="AK22" s="109">
        <f t="shared" si="10"/>
        <v>2.1276595744680851E-2</v>
      </c>
      <c r="AL22" s="109">
        <f t="shared" si="11"/>
        <v>-8.8888888888888892E-2</v>
      </c>
      <c r="AM22" s="98"/>
      <c r="AN22" s="173"/>
      <c r="AO22" s="4" t="s">
        <v>175</v>
      </c>
      <c r="AP22" s="164" t="s">
        <v>176</v>
      </c>
    </row>
    <row r="23" spans="1:43" ht="15" customHeight="1" x14ac:dyDescent="0.3">
      <c r="A23" s="110" t="s">
        <v>64</v>
      </c>
      <c r="B23" s="110" t="s">
        <v>147</v>
      </c>
      <c r="C23" s="110" t="s">
        <v>148</v>
      </c>
      <c r="D23" s="8">
        <v>7</v>
      </c>
      <c r="E23" s="105" t="s">
        <v>185</v>
      </c>
      <c r="F23" s="118" t="s">
        <v>185</v>
      </c>
      <c r="G23" s="159"/>
      <c r="H23" s="105" t="b">
        <f t="shared" si="3"/>
        <v>1</v>
      </c>
      <c r="I23" s="96" t="s">
        <v>186</v>
      </c>
      <c r="J23" s="96" t="s">
        <v>172</v>
      </c>
      <c r="K23" s="96" t="s">
        <v>173</v>
      </c>
      <c r="L23" s="97" t="s">
        <v>174</v>
      </c>
      <c r="M23" s="96">
        <v>6</v>
      </c>
      <c r="N23" s="96" t="s">
        <v>64</v>
      </c>
      <c r="O23" s="96" t="str">
        <f t="shared" si="4"/>
        <v>86790-0K190BP</v>
      </c>
      <c r="P23" s="100">
        <v>122</v>
      </c>
      <c r="Q23" s="161">
        <v>625</v>
      </c>
      <c r="R23" s="161">
        <v>479</v>
      </c>
      <c r="S23" s="161">
        <v>409</v>
      </c>
      <c r="T23" s="173"/>
      <c r="U23" s="6"/>
      <c r="V23" s="100">
        <v>122</v>
      </c>
      <c r="W23" s="100">
        <v>562</v>
      </c>
      <c r="X23" s="100">
        <v>433</v>
      </c>
      <c r="Y23" s="99"/>
      <c r="AA23" s="6">
        <f t="shared" si="5"/>
        <v>0</v>
      </c>
      <c r="AB23" s="6">
        <f t="shared" si="6"/>
        <v>63</v>
      </c>
      <c r="AC23" s="6">
        <f t="shared" si="7"/>
        <v>46</v>
      </c>
      <c r="AE23" s="109">
        <f t="shared" si="8"/>
        <v>1</v>
      </c>
      <c r="AF23" s="109">
        <f t="shared" si="8"/>
        <v>1.1120996441281139</v>
      </c>
      <c r="AG23" s="109">
        <f t="shared" si="8"/>
        <v>1.1062355658198615</v>
      </c>
      <c r="AH23" s="98"/>
      <c r="AI23" s="40"/>
      <c r="AJ23" s="109">
        <f t="shared" si="9"/>
        <v>0</v>
      </c>
      <c r="AK23" s="109">
        <f t="shared" si="10"/>
        <v>0.11209964412811388</v>
      </c>
      <c r="AL23" s="109">
        <f t="shared" si="11"/>
        <v>0.10623556581986143</v>
      </c>
      <c r="AM23" s="98"/>
      <c r="AN23" s="173" t="s">
        <v>154</v>
      </c>
      <c r="AO23" s="4" t="s">
        <v>175</v>
      </c>
      <c r="AP23" s="164" t="s">
        <v>176</v>
      </c>
    </row>
    <row r="24" spans="1:43" ht="15" customHeight="1" x14ac:dyDescent="0.3">
      <c r="A24" s="110" t="s">
        <v>64</v>
      </c>
      <c r="B24" s="110" t="s">
        <v>147</v>
      </c>
      <c r="C24" s="110" t="s">
        <v>148</v>
      </c>
      <c r="D24" s="8">
        <v>8</v>
      </c>
      <c r="E24" s="105" t="s">
        <v>187</v>
      </c>
      <c r="F24" s="118" t="s">
        <v>187</v>
      </c>
      <c r="G24" s="159"/>
      <c r="H24" s="105" t="b">
        <f t="shared" si="3"/>
        <v>1</v>
      </c>
      <c r="I24" s="96" t="s">
        <v>188</v>
      </c>
      <c r="J24" s="96" t="s">
        <v>172</v>
      </c>
      <c r="K24" s="96" t="s">
        <v>173</v>
      </c>
      <c r="L24" s="97" t="s">
        <v>174</v>
      </c>
      <c r="M24" s="96">
        <v>10</v>
      </c>
      <c r="N24" s="96" t="s">
        <v>64</v>
      </c>
      <c r="O24" s="96" t="str">
        <f t="shared" si="4"/>
        <v>86790-0K230BP</v>
      </c>
      <c r="P24" s="100">
        <v>640</v>
      </c>
      <c r="Q24" s="161">
        <v>785</v>
      </c>
      <c r="R24" s="161">
        <v>690</v>
      </c>
      <c r="S24" s="161">
        <v>669</v>
      </c>
      <c r="T24" s="173"/>
      <c r="U24" s="6"/>
      <c r="V24" s="100">
        <v>640</v>
      </c>
      <c r="W24" s="100">
        <v>761</v>
      </c>
      <c r="X24" s="100">
        <v>680</v>
      </c>
      <c r="Y24" s="99"/>
      <c r="AA24" s="6">
        <f t="shared" si="5"/>
        <v>0</v>
      </c>
      <c r="AB24" s="174">
        <f t="shared" si="6"/>
        <v>24</v>
      </c>
      <c r="AC24" s="174">
        <f t="shared" si="7"/>
        <v>10</v>
      </c>
      <c r="AE24" s="109">
        <f t="shared" si="8"/>
        <v>1</v>
      </c>
      <c r="AF24" s="109">
        <f t="shared" si="8"/>
        <v>1.0315374507227333</v>
      </c>
      <c r="AG24" s="109">
        <f t="shared" si="8"/>
        <v>1.0147058823529411</v>
      </c>
      <c r="AH24" s="98"/>
      <c r="AI24" s="40"/>
      <c r="AJ24" s="109">
        <f t="shared" si="9"/>
        <v>0</v>
      </c>
      <c r="AK24" s="109">
        <f t="shared" si="10"/>
        <v>3.1537450722733243E-2</v>
      </c>
      <c r="AL24" s="109">
        <f t="shared" si="11"/>
        <v>1.4705882352941176E-2</v>
      </c>
      <c r="AM24" s="98"/>
      <c r="AN24" s="173"/>
      <c r="AO24" s="4" t="s">
        <v>175</v>
      </c>
      <c r="AP24" s="164" t="s">
        <v>176</v>
      </c>
    </row>
    <row r="25" spans="1:43" ht="15" customHeight="1" x14ac:dyDescent="0.3">
      <c r="A25" s="110" t="s">
        <v>64</v>
      </c>
      <c r="B25" s="110" t="s">
        <v>147</v>
      </c>
      <c r="C25" s="110" t="s">
        <v>165</v>
      </c>
      <c r="D25" s="8">
        <v>9</v>
      </c>
      <c r="E25" s="105" t="s">
        <v>166</v>
      </c>
      <c r="F25" s="159"/>
      <c r="G25" s="159"/>
      <c r="H25" s="105"/>
      <c r="I25" s="96" t="s">
        <v>189</v>
      </c>
      <c r="J25" s="96" t="s">
        <v>172</v>
      </c>
      <c r="K25" s="96" t="s">
        <v>190</v>
      </c>
      <c r="L25" s="172" t="s">
        <v>191</v>
      </c>
      <c r="M25" s="96">
        <v>25</v>
      </c>
      <c r="N25" s="96"/>
      <c r="O25" s="96"/>
      <c r="P25" s="100">
        <v>592</v>
      </c>
      <c r="Q25" s="161">
        <v>1812</v>
      </c>
      <c r="R25" s="161">
        <v>1486</v>
      </c>
      <c r="S25" s="161">
        <v>1590</v>
      </c>
      <c r="T25" s="173"/>
      <c r="U25" s="6"/>
      <c r="V25" s="100">
        <v>494</v>
      </c>
      <c r="W25" s="100">
        <v>1818</v>
      </c>
      <c r="X25" s="100">
        <v>1498</v>
      </c>
      <c r="Y25" s="99"/>
      <c r="AA25" s="6">
        <f t="shared" si="5"/>
        <v>98</v>
      </c>
      <c r="AB25" s="6">
        <f t="shared" si="6"/>
        <v>-6</v>
      </c>
      <c r="AC25" s="6">
        <f t="shared" si="7"/>
        <v>-12</v>
      </c>
      <c r="AE25" s="109"/>
      <c r="AF25" s="109"/>
      <c r="AG25" s="109"/>
      <c r="AH25" s="98"/>
      <c r="AI25" s="40"/>
      <c r="AJ25" s="109">
        <f t="shared" si="9"/>
        <v>0.19838056680161945</v>
      </c>
      <c r="AK25" s="109">
        <f t="shared" si="10"/>
        <v>-3.3003300330033004E-3</v>
      </c>
      <c r="AL25" s="109">
        <f t="shared" si="11"/>
        <v>-8.0106809078771702E-3</v>
      </c>
      <c r="AM25" s="98"/>
      <c r="AN25" s="173"/>
      <c r="AP25" s="164"/>
    </row>
    <row r="26" spans="1:43" ht="15" customHeight="1" x14ac:dyDescent="0.3">
      <c r="A26" s="110" t="s">
        <v>64</v>
      </c>
      <c r="B26" s="110" t="s">
        <v>147</v>
      </c>
      <c r="C26" s="110" t="s">
        <v>165</v>
      </c>
      <c r="D26" s="8">
        <v>11</v>
      </c>
      <c r="E26" s="105" t="s">
        <v>168</v>
      </c>
      <c r="F26" s="159"/>
      <c r="G26" s="159"/>
      <c r="H26" s="105"/>
      <c r="I26" s="96" t="s">
        <v>192</v>
      </c>
      <c r="J26" s="96" t="s">
        <v>172</v>
      </c>
      <c r="K26" s="96" t="s">
        <v>190</v>
      </c>
      <c r="L26" s="172" t="s">
        <v>191</v>
      </c>
      <c r="M26" s="96">
        <v>38</v>
      </c>
      <c r="N26" s="96"/>
      <c r="O26" s="96"/>
      <c r="P26" s="100">
        <v>592</v>
      </c>
      <c r="Q26" s="161">
        <v>1812</v>
      </c>
      <c r="R26" s="161">
        <v>1486</v>
      </c>
      <c r="S26" s="161">
        <v>1590</v>
      </c>
      <c r="T26" s="173"/>
      <c r="U26" s="6"/>
      <c r="V26" s="100">
        <v>494</v>
      </c>
      <c r="W26" s="100">
        <v>1818</v>
      </c>
      <c r="X26" s="100">
        <v>1498</v>
      </c>
      <c r="Y26" s="99"/>
      <c r="AA26" s="6">
        <f t="shared" si="5"/>
        <v>98</v>
      </c>
      <c r="AB26" s="6">
        <f t="shared" si="6"/>
        <v>-6</v>
      </c>
      <c r="AC26" s="6">
        <f t="shared" si="7"/>
        <v>-12</v>
      </c>
      <c r="AE26" s="109"/>
      <c r="AF26" s="109"/>
      <c r="AG26" s="109"/>
      <c r="AH26" s="98"/>
      <c r="AI26" s="40"/>
      <c r="AJ26" s="109">
        <f t="shared" si="9"/>
        <v>0.19838056680161945</v>
      </c>
      <c r="AK26" s="109">
        <f t="shared" si="10"/>
        <v>-3.3003300330033004E-3</v>
      </c>
      <c r="AL26" s="109">
        <f t="shared" si="11"/>
        <v>-8.0106809078771702E-3</v>
      </c>
      <c r="AM26" s="98"/>
      <c r="AN26" s="173"/>
      <c r="AP26" s="164"/>
    </row>
    <row r="27" spans="1:43" ht="15" customHeight="1" x14ac:dyDescent="0.3">
      <c r="F27" s="133"/>
      <c r="G27" s="133"/>
      <c r="L27" s="132"/>
      <c r="P27" s="6"/>
      <c r="Q27" s="6"/>
      <c r="R27" s="6"/>
      <c r="S27" s="6"/>
      <c r="T27" s="173"/>
      <c r="U27" s="6"/>
      <c r="V27" s="6"/>
      <c r="W27" s="6"/>
      <c r="X27" s="6"/>
      <c r="Y27" s="6"/>
      <c r="AA27" s="6"/>
      <c r="AB27" s="6"/>
      <c r="AC27" s="6"/>
      <c r="AN27" s="173"/>
    </row>
    <row r="28" spans="1:43" ht="15" customHeight="1" x14ac:dyDescent="0.3">
      <c r="F28" s="133"/>
      <c r="G28" s="133"/>
      <c r="AN28" s="173"/>
    </row>
    <row r="29" spans="1:43" ht="15" customHeight="1" x14ac:dyDescent="0.3">
      <c r="D29" s="110" t="s">
        <v>61</v>
      </c>
      <c r="E29" s="10">
        <f>E2</f>
        <v>0</v>
      </c>
      <c r="F29" s="10"/>
      <c r="G29" s="10"/>
      <c r="H29" s="10"/>
      <c r="I29" s="10" t="str">
        <f>I5</f>
        <v>Firm-0</v>
      </c>
      <c r="J29" s="10"/>
      <c r="P29" s="12" t="str">
        <f>P15</f>
        <v>Feb</v>
      </c>
      <c r="Q29" s="12" t="str">
        <f>Q15</f>
        <v>Mar</v>
      </c>
      <c r="R29" s="12" t="str">
        <f>R15</f>
        <v>Apr</v>
      </c>
      <c r="S29" s="12" t="str">
        <f>S15</f>
        <v>May</v>
      </c>
      <c r="V29" s="288" t="s">
        <v>131</v>
      </c>
      <c r="W29" s="289"/>
      <c r="X29" s="289"/>
      <c r="Y29" s="289"/>
      <c r="AE29" s="288" t="s">
        <v>132</v>
      </c>
      <c r="AF29" s="289"/>
      <c r="AG29" s="289"/>
      <c r="AH29" s="289"/>
      <c r="AI29" s="5"/>
      <c r="AJ29" s="288" t="s">
        <v>132</v>
      </c>
      <c r="AK29" s="289"/>
      <c r="AL29" s="289"/>
      <c r="AM29" s="289"/>
      <c r="AN29" s="173"/>
    </row>
    <row r="30" spans="1:43" ht="15" customHeight="1" x14ac:dyDescent="0.3">
      <c r="D30" s="111" t="s">
        <v>133</v>
      </c>
      <c r="E30" s="111" t="s">
        <v>4</v>
      </c>
      <c r="F30" s="111"/>
      <c r="G30" s="111"/>
      <c r="H30" s="111"/>
      <c r="I30" s="111" t="s">
        <v>134</v>
      </c>
      <c r="J30" s="111" t="s">
        <v>135</v>
      </c>
      <c r="K30" s="111" t="s">
        <v>136</v>
      </c>
      <c r="L30" s="111" t="s">
        <v>5</v>
      </c>
      <c r="M30" s="111" t="s">
        <v>138</v>
      </c>
      <c r="N30" s="112" t="s">
        <v>49</v>
      </c>
      <c r="O30" s="112"/>
      <c r="P30" s="92" t="s">
        <v>139</v>
      </c>
      <c r="Q30" s="92" t="s">
        <v>140</v>
      </c>
      <c r="R30" s="92" t="s">
        <v>141</v>
      </c>
      <c r="S30" s="92" t="s">
        <v>142</v>
      </c>
      <c r="V30" s="92" t="s">
        <v>139</v>
      </c>
      <c r="W30" s="92" t="s">
        <v>140</v>
      </c>
      <c r="X30" s="92" t="s">
        <v>141</v>
      </c>
      <c r="Y30" s="92" t="s">
        <v>142</v>
      </c>
      <c r="AE30" s="111" t="s">
        <v>139</v>
      </c>
      <c r="AF30" s="111" t="s">
        <v>140</v>
      </c>
      <c r="AG30" s="111" t="s">
        <v>141</v>
      </c>
      <c r="AH30" s="111" t="s">
        <v>142</v>
      </c>
      <c r="AI30" s="55"/>
      <c r="AJ30" s="111" t="s">
        <v>139</v>
      </c>
      <c r="AK30" s="111" t="s">
        <v>140</v>
      </c>
      <c r="AL30" s="111" t="s">
        <v>141</v>
      </c>
      <c r="AM30" s="111" t="s">
        <v>142</v>
      </c>
      <c r="AN30" s="173"/>
    </row>
    <row r="31" spans="1:43" ht="15" customHeight="1" x14ac:dyDescent="0.3">
      <c r="A31" s="110" t="s">
        <v>61</v>
      </c>
      <c r="B31" s="110" t="s">
        <v>193</v>
      </c>
      <c r="C31" s="110"/>
      <c r="D31" s="4" t="s">
        <v>62</v>
      </c>
      <c r="E31" s="103" t="s">
        <v>18</v>
      </c>
      <c r="F31" s="115" t="s">
        <v>18</v>
      </c>
      <c r="G31" s="133" t="str">
        <f t="shared" ref="G31:G47" si="12">F31&amp;K31</f>
        <v>86790-0K050-00B2</v>
      </c>
      <c r="H31" s="103" t="b">
        <f>F31=E31</f>
        <v>1</v>
      </c>
      <c r="I31" s="4" t="s">
        <v>194</v>
      </c>
      <c r="J31" s="4" t="s">
        <v>172</v>
      </c>
      <c r="K31" s="4" t="s">
        <v>195</v>
      </c>
      <c r="L31" s="4" t="s">
        <v>196</v>
      </c>
      <c r="M31" s="4">
        <v>25</v>
      </c>
      <c r="N31" s="4" t="s">
        <v>61</v>
      </c>
      <c r="O31" s="4" t="str">
        <f>LEFT(E31,11)&amp;N31&amp;D31</f>
        <v>86790-0K050BPKTP1</v>
      </c>
      <c r="P31" s="99">
        <v>0</v>
      </c>
      <c r="Q31" s="99">
        <v>0</v>
      </c>
      <c r="R31" s="99">
        <v>0</v>
      </c>
      <c r="S31" s="99">
        <v>0</v>
      </c>
      <c r="T31" s="185">
        <f>SUM(P31:S47)</f>
        <v>115905</v>
      </c>
      <c r="U31" s="6" t="b">
        <f>T31='BPK Daily'!EG39</f>
        <v>0</v>
      </c>
      <c r="V31" s="6">
        <v>0</v>
      </c>
      <c r="W31" s="6">
        <v>0</v>
      </c>
      <c r="X31" s="6">
        <v>0</v>
      </c>
      <c r="Y31" s="99"/>
      <c r="AA31" s="6">
        <f t="shared" ref="AA31:AA47" si="13">P31-V31</f>
        <v>0</v>
      </c>
      <c r="AB31" s="6">
        <f t="shared" ref="AB31:AB47" si="14">Q31-W31</f>
        <v>0</v>
      </c>
      <c r="AC31" s="6">
        <f t="shared" ref="AC31:AC47" si="15">R31-X31</f>
        <v>0</v>
      </c>
      <c r="AE31" s="109" t="e">
        <f t="shared" ref="AE31:AE50" si="16">P31/V31</f>
        <v>#DIV/0!</v>
      </c>
      <c r="AF31" s="109" t="e">
        <f t="shared" ref="AF31:AF50" si="17">Q31/W31</f>
        <v>#DIV/0!</v>
      </c>
      <c r="AG31" s="109" t="e">
        <f t="shared" ref="AG31:AG50" si="18">R31/X31</f>
        <v>#DIV/0!</v>
      </c>
      <c r="AH31" s="98"/>
      <c r="AI31" s="40"/>
      <c r="AJ31" s="109" t="e">
        <f t="shared" ref="AJ31:AJ50" si="19">AA31/V31</f>
        <v>#DIV/0!</v>
      </c>
      <c r="AK31" s="109" t="e">
        <f t="shared" ref="AK31:AK50" si="20">AB31/W31</f>
        <v>#DIV/0!</v>
      </c>
      <c r="AL31" s="109" t="e">
        <f t="shared" ref="AL31:AL50" si="21">AC31/X31</f>
        <v>#DIV/0!</v>
      </c>
      <c r="AM31" s="98"/>
      <c r="AO31" s="4" t="s">
        <v>472</v>
      </c>
      <c r="AP31" s="164" t="s">
        <v>474</v>
      </c>
    </row>
    <row r="32" spans="1:43" ht="15" customHeight="1" x14ac:dyDescent="0.3">
      <c r="A32" s="110" t="s">
        <v>61</v>
      </c>
      <c r="B32" s="110" t="s">
        <v>193</v>
      </c>
      <c r="C32" s="110"/>
      <c r="D32" s="4" t="s">
        <v>24</v>
      </c>
      <c r="E32" s="103" t="s">
        <v>199</v>
      </c>
      <c r="F32" s="115" t="s">
        <v>199</v>
      </c>
      <c r="G32" s="133" t="str">
        <f t="shared" si="12"/>
        <v>86790-0K220-00D1</v>
      </c>
      <c r="H32" s="103" t="b">
        <f>F32=E32</f>
        <v>1</v>
      </c>
      <c r="I32" t="s">
        <v>200</v>
      </c>
      <c r="J32" t="s">
        <v>172</v>
      </c>
      <c r="K32" t="s">
        <v>201</v>
      </c>
      <c r="L32" t="s">
        <v>202</v>
      </c>
      <c r="M32">
        <v>20</v>
      </c>
      <c r="N32" t="s">
        <v>61</v>
      </c>
      <c r="O32" s="4" t="str">
        <f>LEFT(E32,11)&amp;N32</f>
        <v>86790-0K220BPK</v>
      </c>
      <c r="P32" s="100">
        <v>500</v>
      </c>
      <c r="Q32" s="100">
        <v>860</v>
      </c>
      <c r="R32" s="100">
        <v>1240</v>
      </c>
      <c r="S32" s="177">
        <v>1080</v>
      </c>
      <c r="T32" s="173" t="s">
        <v>203</v>
      </c>
      <c r="U32" s="6"/>
      <c r="V32" s="6">
        <v>600</v>
      </c>
      <c r="W32" s="6">
        <v>840</v>
      </c>
      <c r="X32" s="6">
        <v>1240</v>
      </c>
      <c r="Y32" s="99"/>
      <c r="AA32" s="6">
        <f t="shared" si="13"/>
        <v>-100</v>
      </c>
      <c r="AB32" s="6">
        <f t="shared" si="14"/>
        <v>20</v>
      </c>
      <c r="AC32" s="6">
        <f t="shared" si="15"/>
        <v>0</v>
      </c>
      <c r="AE32" s="109">
        <f t="shared" si="16"/>
        <v>0.83333333333333337</v>
      </c>
      <c r="AF32" s="109">
        <f t="shared" si="17"/>
        <v>1.0238095238095237</v>
      </c>
      <c r="AG32" s="109">
        <f t="shared" si="18"/>
        <v>1</v>
      </c>
      <c r="AH32" s="98"/>
      <c r="AI32" s="40"/>
      <c r="AJ32" s="109">
        <f t="shared" si="19"/>
        <v>-0.16666666666666666</v>
      </c>
      <c r="AK32" s="109">
        <f t="shared" si="20"/>
        <v>2.3809523809523808E-2</v>
      </c>
      <c r="AL32" s="109">
        <f t="shared" si="21"/>
        <v>0</v>
      </c>
      <c r="AM32" s="98"/>
      <c r="AN32" s="5" t="s">
        <v>154</v>
      </c>
      <c r="AO32" s="4" t="s">
        <v>472</v>
      </c>
      <c r="AP32" s="164" t="s">
        <v>474</v>
      </c>
      <c r="AQ32" s="132" t="s">
        <v>204</v>
      </c>
    </row>
    <row r="33" spans="1:43" ht="15" customHeight="1" x14ac:dyDescent="0.3">
      <c r="A33" s="110" t="s">
        <v>61</v>
      </c>
      <c r="B33" s="110" t="s">
        <v>193</v>
      </c>
      <c r="C33" s="110"/>
      <c r="E33" s="103" t="s">
        <v>149</v>
      </c>
      <c r="F33" s="118" t="s">
        <v>149</v>
      </c>
      <c r="G33" s="133" t="str">
        <f t="shared" si="12"/>
        <v>86790-0K051-00BN</v>
      </c>
      <c r="H33" s="103" t="b">
        <f>F33=E33</f>
        <v>1</v>
      </c>
      <c r="I33" s="106" t="s">
        <v>205</v>
      </c>
      <c r="J33" s="106" t="s">
        <v>172</v>
      </c>
      <c r="K33" s="106" t="s">
        <v>206</v>
      </c>
      <c r="L33" s="97" t="s">
        <v>207</v>
      </c>
      <c r="M33" s="106">
        <v>25</v>
      </c>
      <c r="N33" s="101" t="s">
        <v>61</v>
      </c>
      <c r="O33" s="102"/>
      <c r="P33" s="100">
        <v>820</v>
      </c>
      <c r="Q33" s="100">
        <v>860</v>
      </c>
      <c r="R33" s="100">
        <v>700</v>
      </c>
      <c r="S33" s="177">
        <v>660</v>
      </c>
      <c r="T33" s="173"/>
      <c r="U33" s="6"/>
      <c r="V33" s="100">
        <v>820</v>
      </c>
      <c r="W33" s="100">
        <v>820</v>
      </c>
      <c r="X33" s="100">
        <v>670</v>
      </c>
      <c r="Y33" s="99"/>
      <c r="AA33" s="6">
        <f t="shared" si="13"/>
        <v>0</v>
      </c>
      <c r="AB33" s="6">
        <f t="shared" si="14"/>
        <v>40</v>
      </c>
      <c r="AC33" s="6">
        <f t="shared" si="15"/>
        <v>30</v>
      </c>
      <c r="AE33" s="109">
        <f t="shared" si="16"/>
        <v>1</v>
      </c>
      <c r="AF33" s="109">
        <f t="shared" si="17"/>
        <v>1.0487804878048781</v>
      </c>
      <c r="AG33" s="109">
        <f t="shared" si="18"/>
        <v>1.044776119402985</v>
      </c>
      <c r="AH33" s="98"/>
      <c r="AI33" s="40"/>
      <c r="AJ33" s="109">
        <f t="shared" si="19"/>
        <v>0</v>
      </c>
      <c r="AK33" s="109">
        <f t="shared" si="20"/>
        <v>4.878048780487805E-2</v>
      </c>
      <c r="AL33" s="109">
        <f t="shared" si="21"/>
        <v>4.4776119402985072E-2</v>
      </c>
      <c r="AM33" s="98"/>
      <c r="AO33" s="4" t="s">
        <v>472</v>
      </c>
      <c r="AP33" s="164" t="s">
        <v>474</v>
      </c>
    </row>
    <row r="34" spans="1:43" ht="15" customHeight="1" x14ac:dyDescent="0.3">
      <c r="A34" s="110" t="s">
        <v>61</v>
      </c>
      <c r="B34" s="110" t="s">
        <v>193</v>
      </c>
      <c r="C34" s="110"/>
      <c r="E34" s="103" t="s">
        <v>149</v>
      </c>
      <c r="F34" s="118" t="s">
        <v>149</v>
      </c>
      <c r="G34" s="133" t="str">
        <f t="shared" si="12"/>
        <v>86790-0K051-00D1</v>
      </c>
      <c r="H34" s="103" t="b">
        <f>F34=E34</f>
        <v>1</v>
      </c>
      <c r="I34" s="106" t="s">
        <v>205</v>
      </c>
      <c r="J34" s="106" t="s">
        <v>172</v>
      </c>
      <c r="K34" s="106" t="s">
        <v>201</v>
      </c>
      <c r="L34" s="97" t="s">
        <v>207</v>
      </c>
      <c r="M34" s="106">
        <v>30</v>
      </c>
      <c r="N34" s="101" t="s">
        <v>61</v>
      </c>
      <c r="O34" s="102" t="str">
        <f>LEFT(E34,11)&amp;N34&amp;D34</f>
        <v>86790-0K051BPK</v>
      </c>
      <c r="P34" s="100">
        <v>7560</v>
      </c>
      <c r="Q34" s="100">
        <v>4200</v>
      </c>
      <c r="R34" s="100">
        <v>6300</v>
      </c>
      <c r="S34" s="177">
        <v>7350</v>
      </c>
      <c r="T34" s="173"/>
      <c r="U34" s="6"/>
      <c r="V34" s="100">
        <v>7830</v>
      </c>
      <c r="W34" s="100">
        <v>5220</v>
      </c>
      <c r="X34" s="100">
        <v>7590</v>
      </c>
      <c r="Y34" s="99"/>
      <c r="AA34" s="174">
        <f t="shared" si="13"/>
        <v>-270</v>
      </c>
      <c r="AB34" s="174">
        <f t="shared" si="14"/>
        <v>-1020</v>
      </c>
      <c r="AC34" s="6">
        <f t="shared" si="15"/>
        <v>-1290</v>
      </c>
      <c r="AE34" s="109">
        <f t="shared" si="16"/>
        <v>0.96551724137931039</v>
      </c>
      <c r="AF34" s="109">
        <f t="shared" si="17"/>
        <v>0.8045977011494253</v>
      </c>
      <c r="AG34" s="109">
        <f t="shared" si="18"/>
        <v>0.83003952569169959</v>
      </c>
      <c r="AH34" s="98"/>
      <c r="AI34" s="40"/>
      <c r="AJ34" s="109">
        <f t="shared" si="19"/>
        <v>-3.4482758620689655E-2</v>
      </c>
      <c r="AK34" s="109">
        <f t="shared" si="20"/>
        <v>-0.19540229885057472</v>
      </c>
      <c r="AL34" s="109">
        <f t="shared" si="21"/>
        <v>-0.16996047430830039</v>
      </c>
      <c r="AM34" s="98"/>
      <c r="AN34" s="5" t="s">
        <v>154</v>
      </c>
      <c r="AO34" s="4" t="s">
        <v>472</v>
      </c>
      <c r="AP34" s="164" t="s">
        <v>474</v>
      </c>
      <c r="AQ34" s="4" t="s">
        <v>208</v>
      </c>
    </row>
    <row r="35" spans="1:43" ht="15" customHeight="1" x14ac:dyDescent="0.3">
      <c r="A35" s="110" t="s">
        <v>61</v>
      </c>
      <c r="B35" s="110" t="s">
        <v>193</v>
      </c>
      <c r="C35" s="110"/>
      <c r="D35" s="4" t="s">
        <v>62</v>
      </c>
      <c r="E35" s="103" t="s">
        <v>23</v>
      </c>
      <c r="F35" s="118" t="s">
        <v>23</v>
      </c>
      <c r="G35" s="133" t="str">
        <f t="shared" si="12"/>
        <v>86790-0K110-00BN</v>
      </c>
      <c r="H35" s="103" t="b">
        <f>F35=E35</f>
        <v>1</v>
      </c>
      <c r="I35" s="106" t="s">
        <v>209</v>
      </c>
      <c r="J35" s="106" t="s">
        <v>172</v>
      </c>
      <c r="K35" s="106" t="s">
        <v>206</v>
      </c>
      <c r="L35" s="97" t="s">
        <v>207</v>
      </c>
      <c r="M35" s="106">
        <v>10</v>
      </c>
      <c r="N35" s="101" t="s">
        <v>61</v>
      </c>
      <c r="O35" s="102" t="str">
        <f>LEFT(E35,11)&amp;N35&amp;D35</f>
        <v>86790-0K110BPKTP1</v>
      </c>
      <c r="P35" s="100">
        <v>60</v>
      </c>
      <c r="Q35" s="100">
        <v>80</v>
      </c>
      <c r="R35" s="100">
        <v>220</v>
      </c>
      <c r="S35" s="177">
        <v>210</v>
      </c>
      <c r="T35" s="173"/>
      <c r="U35" s="6"/>
      <c r="V35" s="100">
        <v>150</v>
      </c>
      <c r="W35" s="100">
        <v>160</v>
      </c>
      <c r="X35" s="100">
        <v>190</v>
      </c>
      <c r="Y35" s="99"/>
      <c r="AA35" s="6">
        <f t="shared" si="13"/>
        <v>-90</v>
      </c>
      <c r="AB35" s="6">
        <f t="shared" si="14"/>
        <v>-80</v>
      </c>
      <c r="AC35" s="6">
        <f t="shared" si="15"/>
        <v>30</v>
      </c>
      <c r="AE35" s="109">
        <f t="shared" si="16"/>
        <v>0.4</v>
      </c>
      <c r="AF35" s="109">
        <f t="shared" si="17"/>
        <v>0.5</v>
      </c>
      <c r="AG35" s="109">
        <f t="shared" si="18"/>
        <v>1.1578947368421053</v>
      </c>
      <c r="AH35" s="98"/>
      <c r="AI35" s="40"/>
      <c r="AJ35" s="109">
        <f t="shared" si="19"/>
        <v>-0.6</v>
      </c>
      <c r="AK35" s="109">
        <f t="shared" si="20"/>
        <v>-0.5</v>
      </c>
      <c r="AL35" s="109">
        <f t="shared" si="21"/>
        <v>0.15789473684210525</v>
      </c>
      <c r="AM35" s="98"/>
      <c r="AO35" s="4" t="s">
        <v>472</v>
      </c>
      <c r="AP35" s="164" t="s">
        <v>474</v>
      </c>
    </row>
    <row r="36" spans="1:43" ht="15" customHeight="1" x14ac:dyDescent="0.3">
      <c r="A36" s="110" t="s">
        <v>61</v>
      </c>
      <c r="B36" s="110" t="s">
        <v>193</v>
      </c>
      <c r="C36" s="110"/>
      <c r="E36" s="103" t="s">
        <v>23</v>
      </c>
      <c r="F36" s="118" t="s">
        <v>23</v>
      </c>
      <c r="G36" s="133" t="str">
        <f t="shared" si="12"/>
        <v>86790-0K110-00D1</v>
      </c>
      <c r="H36" s="103"/>
      <c r="I36" s="106" t="s">
        <v>209</v>
      </c>
      <c r="J36" s="106" t="s">
        <v>172</v>
      </c>
      <c r="K36" s="106" t="s">
        <v>201</v>
      </c>
      <c r="L36" s="97" t="s">
        <v>207</v>
      </c>
      <c r="M36" s="106">
        <v>20</v>
      </c>
      <c r="N36" s="101"/>
      <c r="O36" s="102"/>
      <c r="P36" s="100">
        <v>5620</v>
      </c>
      <c r="Q36" s="100">
        <v>3820</v>
      </c>
      <c r="R36" s="100">
        <v>5240</v>
      </c>
      <c r="S36" s="177">
        <v>5720</v>
      </c>
      <c r="T36" s="173"/>
      <c r="U36" s="6"/>
      <c r="V36" s="100">
        <v>5700</v>
      </c>
      <c r="W36" s="100">
        <v>4100</v>
      </c>
      <c r="X36" s="100">
        <v>5240</v>
      </c>
      <c r="Y36" s="99"/>
      <c r="AA36" s="6">
        <f t="shared" si="13"/>
        <v>-80</v>
      </c>
      <c r="AB36" s="6">
        <f t="shared" si="14"/>
        <v>-280</v>
      </c>
      <c r="AC36" s="6">
        <f t="shared" si="15"/>
        <v>0</v>
      </c>
      <c r="AE36" s="109">
        <f t="shared" si="16"/>
        <v>0.98596491228070171</v>
      </c>
      <c r="AF36" s="109">
        <f t="shared" si="17"/>
        <v>0.93170731707317078</v>
      </c>
      <c r="AG36" s="109">
        <f t="shared" si="18"/>
        <v>1</v>
      </c>
      <c r="AH36" s="98"/>
      <c r="AI36" s="40"/>
      <c r="AJ36" s="109">
        <f t="shared" si="19"/>
        <v>-1.4035087719298246E-2</v>
      </c>
      <c r="AK36" s="109">
        <f t="shared" si="20"/>
        <v>-6.8292682926829273E-2</v>
      </c>
      <c r="AL36" s="109">
        <f t="shared" si="21"/>
        <v>0</v>
      </c>
      <c r="AM36" s="98"/>
      <c r="AN36" s="5" t="s">
        <v>154</v>
      </c>
      <c r="AO36" s="4" t="s">
        <v>472</v>
      </c>
      <c r="AP36" s="164" t="s">
        <v>474</v>
      </c>
      <c r="AQ36" s="4" t="s">
        <v>210</v>
      </c>
    </row>
    <row r="37" spans="1:43" ht="15" customHeight="1" x14ac:dyDescent="0.3">
      <c r="A37" s="110" t="s">
        <v>61</v>
      </c>
      <c r="B37" s="110" t="s">
        <v>193</v>
      </c>
      <c r="C37" s="110"/>
      <c r="D37" s="4" t="s">
        <v>18</v>
      </c>
      <c r="E37" s="103" t="s">
        <v>211</v>
      </c>
      <c r="F37" s="118" t="s">
        <v>211</v>
      </c>
      <c r="G37" s="133" t="str">
        <f t="shared" si="12"/>
        <v>86790-0K120-00D1</v>
      </c>
      <c r="H37" s="103" t="b">
        <f>F37=E37</f>
        <v>1</v>
      </c>
      <c r="I37" s="106" t="s">
        <v>212</v>
      </c>
      <c r="J37" s="106" t="s">
        <v>172</v>
      </c>
      <c r="K37" s="106" t="s">
        <v>201</v>
      </c>
      <c r="L37" s="97" t="s">
        <v>207</v>
      </c>
      <c r="M37" s="106">
        <v>20</v>
      </c>
      <c r="N37" s="101" t="s">
        <v>61</v>
      </c>
      <c r="O37" s="102" t="str">
        <f>LEFT(E37,11)&amp;N37&amp;D37</f>
        <v>86790-0K120BPK86790-0K050-00</v>
      </c>
      <c r="P37" s="100">
        <v>240</v>
      </c>
      <c r="Q37" s="100">
        <v>320</v>
      </c>
      <c r="R37" s="100">
        <v>340</v>
      </c>
      <c r="S37" s="177">
        <v>280</v>
      </c>
      <c r="T37" s="173" t="s">
        <v>213</v>
      </c>
      <c r="U37" s="6"/>
      <c r="V37" s="100">
        <v>280</v>
      </c>
      <c r="W37" s="100">
        <v>320</v>
      </c>
      <c r="X37" s="100">
        <v>340</v>
      </c>
      <c r="Y37" s="99"/>
      <c r="AA37" s="6">
        <f t="shared" si="13"/>
        <v>-40</v>
      </c>
      <c r="AB37" s="6">
        <f t="shared" si="14"/>
        <v>0</v>
      </c>
      <c r="AC37" s="6">
        <f t="shared" si="15"/>
        <v>0</v>
      </c>
      <c r="AE37" s="109">
        <f t="shared" si="16"/>
        <v>0.8571428571428571</v>
      </c>
      <c r="AF37" s="109">
        <f t="shared" si="17"/>
        <v>1</v>
      </c>
      <c r="AG37" s="109">
        <f t="shared" si="18"/>
        <v>1</v>
      </c>
      <c r="AH37" s="98"/>
      <c r="AI37" s="40"/>
      <c r="AJ37" s="109">
        <f t="shared" si="19"/>
        <v>-0.14285714285714285</v>
      </c>
      <c r="AK37" s="109">
        <f t="shared" si="20"/>
        <v>0</v>
      </c>
      <c r="AL37" s="109">
        <f t="shared" si="21"/>
        <v>0</v>
      </c>
      <c r="AM37" s="98"/>
      <c r="AO37" s="4" t="s">
        <v>472</v>
      </c>
      <c r="AP37" s="164" t="s">
        <v>474</v>
      </c>
    </row>
    <row r="38" spans="1:43" ht="15" customHeight="1" x14ac:dyDescent="0.3">
      <c r="A38" s="110" t="s">
        <v>61</v>
      </c>
      <c r="B38" s="110" t="s">
        <v>193</v>
      </c>
      <c r="C38" s="110"/>
      <c r="D38" s="132"/>
      <c r="E38" s="143" t="s">
        <v>160</v>
      </c>
      <c r="F38" s="144" t="s">
        <v>160</v>
      </c>
      <c r="G38" s="133" t="str">
        <f t="shared" si="12"/>
        <v>86790-0K141-00BN</v>
      </c>
      <c r="H38" s="143"/>
      <c r="I38" s="143" t="s">
        <v>214</v>
      </c>
      <c r="J38" s="143" t="s">
        <v>172</v>
      </c>
      <c r="K38" s="143" t="s">
        <v>206</v>
      </c>
      <c r="L38" s="97" t="s">
        <v>207</v>
      </c>
      <c r="M38" s="106">
        <v>8</v>
      </c>
      <c r="N38" s="101"/>
      <c r="O38" s="102"/>
      <c r="P38" s="100">
        <v>0</v>
      </c>
      <c r="Q38" s="100">
        <v>0</v>
      </c>
      <c r="R38" s="100">
        <v>0</v>
      </c>
      <c r="S38" s="177">
        <v>0</v>
      </c>
      <c r="T38" s="173"/>
      <c r="U38" s="6"/>
      <c r="V38" s="100">
        <v>0</v>
      </c>
      <c r="W38" s="100">
        <v>10</v>
      </c>
      <c r="X38" s="100">
        <v>0</v>
      </c>
      <c r="Y38" s="99"/>
      <c r="AA38" s="6">
        <f t="shared" si="13"/>
        <v>0</v>
      </c>
      <c r="AB38" s="6">
        <f t="shared" si="14"/>
        <v>-10</v>
      </c>
      <c r="AC38" s="6">
        <f t="shared" si="15"/>
        <v>0</v>
      </c>
      <c r="AE38" s="109" t="e">
        <f t="shared" si="16"/>
        <v>#DIV/0!</v>
      </c>
      <c r="AF38" s="109">
        <f t="shared" si="17"/>
        <v>0</v>
      </c>
      <c r="AG38" s="109" t="e">
        <f t="shared" si="18"/>
        <v>#DIV/0!</v>
      </c>
      <c r="AH38" s="98"/>
      <c r="AI38" s="40"/>
      <c r="AJ38" s="109" t="e">
        <f t="shared" si="19"/>
        <v>#DIV/0!</v>
      </c>
      <c r="AK38" s="109">
        <f t="shared" si="20"/>
        <v>-1</v>
      </c>
      <c r="AL38" s="109" t="e">
        <f t="shared" si="21"/>
        <v>#DIV/0!</v>
      </c>
      <c r="AM38" s="98"/>
      <c r="AO38" s="4" t="s">
        <v>472</v>
      </c>
      <c r="AP38" s="164" t="s">
        <v>474</v>
      </c>
    </row>
    <row r="39" spans="1:43" ht="15" customHeight="1" x14ac:dyDescent="0.3">
      <c r="A39" s="110" t="s">
        <v>61</v>
      </c>
      <c r="B39" s="110" t="s">
        <v>193</v>
      </c>
      <c r="C39" s="110"/>
      <c r="E39" s="103" t="s">
        <v>160</v>
      </c>
      <c r="F39" s="118" t="s">
        <v>160</v>
      </c>
      <c r="G39" s="133" t="str">
        <f t="shared" si="12"/>
        <v>86790-0K141-00D1</v>
      </c>
      <c r="H39" s="103" t="b">
        <f>F39=E39</f>
        <v>1</v>
      </c>
      <c r="I39" s="106" t="s">
        <v>214</v>
      </c>
      <c r="J39" s="106" t="s">
        <v>172</v>
      </c>
      <c r="K39" s="106" t="s">
        <v>201</v>
      </c>
      <c r="L39" s="97" t="s">
        <v>207</v>
      </c>
      <c r="M39" s="106">
        <v>16</v>
      </c>
      <c r="N39" s="101" t="s">
        <v>61</v>
      </c>
      <c r="O39" s="102" t="str">
        <f>LEFT(E39,11)&amp;N39&amp;D39</f>
        <v>86790-0K141BPK</v>
      </c>
      <c r="P39" s="100">
        <v>2400</v>
      </c>
      <c r="Q39" s="100">
        <v>1008</v>
      </c>
      <c r="R39" s="100">
        <v>1552</v>
      </c>
      <c r="S39" s="177">
        <v>1920</v>
      </c>
      <c r="T39" s="173"/>
      <c r="U39" s="6"/>
      <c r="V39" s="100">
        <v>2704</v>
      </c>
      <c r="W39" s="100">
        <v>1584</v>
      </c>
      <c r="X39" s="100">
        <v>3008</v>
      </c>
      <c r="Y39" s="99"/>
      <c r="AA39" s="6">
        <f t="shared" si="13"/>
        <v>-304</v>
      </c>
      <c r="AB39" s="174">
        <f t="shared" si="14"/>
        <v>-576</v>
      </c>
      <c r="AC39" s="174">
        <f t="shared" si="15"/>
        <v>-1456</v>
      </c>
      <c r="AE39" s="109">
        <f t="shared" si="16"/>
        <v>0.8875739644970414</v>
      </c>
      <c r="AF39" s="109">
        <f t="shared" si="17"/>
        <v>0.63636363636363635</v>
      </c>
      <c r="AG39" s="109">
        <f t="shared" si="18"/>
        <v>0.51595744680851063</v>
      </c>
      <c r="AH39" s="98"/>
      <c r="AI39" s="40"/>
      <c r="AJ39" s="109">
        <f t="shared" si="19"/>
        <v>-0.11242603550295859</v>
      </c>
      <c r="AK39" s="109">
        <f t="shared" si="20"/>
        <v>-0.36363636363636365</v>
      </c>
      <c r="AL39" s="109">
        <f t="shared" si="21"/>
        <v>-0.48404255319148937</v>
      </c>
      <c r="AM39" s="98"/>
      <c r="AN39" s="5" t="s">
        <v>154</v>
      </c>
      <c r="AO39" s="4" t="s">
        <v>472</v>
      </c>
      <c r="AP39" s="164" t="s">
        <v>474</v>
      </c>
      <c r="AQ39" s="4" t="s">
        <v>215</v>
      </c>
    </row>
    <row r="40" spans="1:43" ht="15" customHeight="1" x14ac:dyDescent="0.3">
      <c r="A40" s="110" t="s">
        <v>61</v>
      </c>
      <c r="B40" s="110" t="s">
        <v>193</v>
      </c>
      <c r="C40" s="110"/>
      <c r="D40" s="132"/>
      <c r="E40" s="143" t="s">
        <v>162</v>
      </c>
      <c r="F40" s="144" t="s">
        <v>162</v>
      </c>
      <c r="G40" s="133" t="str">
        <f t="shared" si="12"/>
        <v>86790-0K171-00D1</v>
      </c>
      <c r="H40" s="143"/>
      <c r="I40" s="143" t="s">
        <v>216</v>
      </c>
      <c r="J40" s="143" t="s">
        <v>172</v>
      </c>
      <c r="K40" s="143" t="s">
        <v>201</v>
      </c>
      <c r="L40" s="97" t="s">
        <v>207</v>
      </c>
      <c r="M40" s="106">
        <v>16</v>
      </c>
      <c r="N40" s="101"/>
      <c r="O40" s="102"/>
      <c r="P40" s="100">
        <v>16</v>
      </c>
      <c r="Q40" s="100">
        <v>32</v>
      </c>
      <c r="R40" s="100">
        <v>64</v>
      </c>
      <c r="S40" s="177">
        <v>80</v>
      </c>
      <c r="T40" s="173"/>
      <c r="U40" s="6"/>
      <c r="V40" s="100">
        <v>64</v>
      </c>
      <c r="W40" s="100">
        <v>144</v>
      </c>
      <c r="X40" s="100">
        <v>112</v>
      </c>
      <c r="Y40" s="99"/>
      <c r="AA40" s="6">
        <f t="shared" si="13"/>
        <v>-48</v>
      </c>
      <c r="AB40" s="6">
        <f t="shared" si="14"/>
        <v>-112</v>
      </c>
      <c r="AC40" s="6">
        <f t="shared" si="15"/>
        <v>-48</v>
      </c>
      <c r="AE40" s="109">
        <f t="shared" si="16"/>
        <v>0.25</v>
      </c>
      <c r="AF40" s="109">
        <f t="shared" si="17"/>
        <v>0.22222222222222221</v>
      </c>
      <c r="AG40" s="109">
        <f t="shared" si="18"/>
        <v>0.5714285714285714</v>
      </c>
      <c r="AH40" s="98"/>
      <c r="AI40" s="40"/>
      <c r="AJ40" s="109">
        <f t="shared" si="19"/>
        <v>-0.75</v>
      </c>
      <c r="AK40" s="109">
        <f t="shared" si="20"/>
        <v>-0.77777777777777779</v>
      </c>
      <c r="AL40" s="109">
        <f t="shared" si="21"/>
        <v>-0.42857142857142855</v>
      </c>
      <c r="AM40" s="98"/>
      <c r="AO40" s="4" t="s">
        <v>472</v>
      </c>
      <c r="AP40" s="164" t="s">
        <v>474</v>
      </c>
    </row>
    <row r="41" spans="1:43" ht="15" customHeight="1" x14ac:dyDescent="0.3">
      <c r="A41" s="110" t="s">
        <v>61</v>
      </c>
      <c r="B41" s="110" t="s">
        <v>193</v>
      </c>
      <c r="C41" s="110"/>
      <c r="E41" s="103" t="s">
        <v>162</v>
      </c>
      <c r="F41" s="118" t="s">
        <v>162</v>
      </c>
      <c r="G41" s="133" t="str">
        <f t="shared" si="12"/>
        <v>86790-0K171-00BN</v>
      </c>
      <c r="H41" s="103" t="b">
        <f t="shared" ref="H41:H48" si="22">F41=E41</f>
        <v>1</v>
      </c>
      <c r="I41" s="106" t="s">
        <v>216</v>
      </c>
      <c r="J41" s="106" t="s">
        <v>172</v>
      </c>
      <c r="K41" s="106" t="s">
        <v>206</v>
      </c>
      <c r="L41" s="97" t="s">
        <v>207</v>
      </c>
      <c r="M41" s="106">
        <v>8</v>
      </c>
      <c r="N41" s="101" t="s">
        <v>61</v>
      </c>
      <c r="O41" s="102"/>
      <c r="P41" s="100">
        <v>480</v>
      </c>
      <c r="Q41" s="100">
        <v>530</v>
      </c>
      <c r="R41" s="100">
        <v>400</v>
      </c>
      <c r="S41" s="177">
        <v>390</v>
      </c>
      <c r="T41" s="173"/>
      <c r="U41" s="6"/>
      <c r="V41" s="100">
        <v>520</v>
      </c>
      <c r="W41" s="100">
        <v>560</v>
      </c>
      <c r="X41" s="100">
        <v>420</v>
      </c>
      <c r="Y41" s="99"/>
      <c r="AA41" s="6">
        <f t="shared" si="13"/>
        <v>-40</v>
      </c>
      <c r="AB41" s="6">
        <f t="shared" si="14"/>
        <v>-30</v>
      </c>
      <c r="AC41" s="6">
        <f t="shared" si="15"/>
        <v>-20</v>
      </c>
      <c r="AE41" s="109">
        <f t="shared" si="16"/>
        <v>0.92307692307692313</v>
      </c>
      <c r="AF41" s="109">
        <f t="shared" si="17"/>
        <v>0.9464285714285714</v>
      </c>
      <c r="AG41" s="109">
        <f t="shared" si="18"/>
        <v>0.95238095238095233</v>
      </c>
      <c r="AH41" s="98"/>
      <c r="AI41" s="40"/>
      <c r="AJ41" s="109">
        <f t="shared" si="19"/>
        <v>-7.6923076923076927E-2</v>
      </c>
      <c r="AK41" s="109">
        <f t="shared" si="20"/>
        <v>-5.3571428571428568E-2</v>
      </c>
      <c r="AL41" s="109">
        <f t="shared" si="21"/>
        <v>-4.7619047619047616E-2</v>
      </c>
      <c r="AM41" s="98"/>
      <c r="AO41" s="4" t="s">
        <v>472</v>
      </c>
      <c r="AP41" s="164" t="s">
        <v>474</v>
      </c>
    </row>
    <row r="42" spans="1:43" ht="15" customHeight="1" x14ac:dyDescent="0.3">
      <c r="A42" s="110" t="s">
        <v>61</v>
      </c>
      <c r="B42" s="110" t="s">
        <v>193</v>
      </c>
      <c r="C42" s="110"/>
      <c r="E42" s="103" t="s">
        <v>183</v>
      </c>
      <c r="F42" s="118" t="s">
        <v>183</v>
      </c>
      <c r="G42" s="133" t="str">
        <f t="shared" si="12"/>
        <v>86790-0K181-00D1</v>
      </c>
      <c r="H42" s="103" t="b">
        <f t="shared" si="22"/>
        <v>1</v>
      </c>
      <c r="I42" s="106" t="s">
        <v>217</v>
      </c>
      <c r="J42" s="106" t="s">
        <v>172</v>
      </c>
      <c r="K42" s="106" t="s">
        <v>201</v>
      </c>
      <c r="L42" s="97" t="s">
        <v>207</v>
      </c>
      <c r="M42" s="106">
        <v>16</v>
      </c>
      <c r="N42" s="101" t="s">
        <v>61</v>
      </c>
      <c r="O42" s="102" t="str">
        <f t="shared" ref="O42:O48" si="23">LEFT(E42,11)&amp;N42&amp;D42</f>
        <v>86790-0K181BPK</v>
      </c>
      <c r="P42" s="100">
        <v>192</v>
      </c>
      <c r="Q42" s="100">
        <v>224</v>
      </c>
      <c r="R42" s="100">
        <v>496</v>
      </c>
      <c r="S42" s="177">
        <v>480</v>
      </c>
      <c r="T42" s="173"/>
      <c r="U42" s="6"/>
      <c r="V42" s="100">
        <v>464</v>
      </c>
      <c r="W42" s="100">
        <v>448</v>
      </c>
      <c r="X42" s="100">
        <v>496</v>
      </c>
      <c r="Y42" s="99"/>
      <c r="AA42" s="6">
        <f t="shared" si="13"/>
        <v>-272</v>
      </c>
      <c r="AB42" s="6">
        <f t="shared" si="14"/>
        <v>-224</v>
      </c>
      <c r="AC42" s="6">
        <f t="shared" si="15"/>
        <v>0</v>
      </c>
      <c r="AE42" s="109">
        <f t="shared" si="16"/>
        <v>0.41379310344827586</v>
      </c>
      <c r="AF42" s="109">
        <f t="shared" si="17"/>
        <v>0.5</v>
      </c>
      <c r="AG42" s="109">
        <f t="shared" si="18"/>
        <v>1</v>
      </c>
      <c r="AH42" s="98"/>
      <c r="AI42" s="40"/>
      <c r="AJ42" s="109">
        <f t="shared" si="19"/>
        <v>-0.58620689655172409</v>
      </c>
      <c r="AK42" s="109">
        <f t="shared" si="20"/>
        <v>-0.5</v>
      </c>
      <c r="AL42" s="109">
        <f t="shared" si="21"/>
        <v>0</v>
      </c>
      <c r="AM42" s="98"/>
      <c r="AN42" s="5" t="s">
        <v>154</v>
      </c>
      <c r="AO42" s="4" t="s">
        <v>472</v>
      </c>
      <c r="AP42" s="164" t="s">
        <v>474</v>
      </c>
      <c r="AQ42" s="4" t="s">
        <v>215</v>
      </c>
    </row>
    <row r="43" spans="1:43" ht="15" customHeight="1" x14ac:dyDescent="0.3">
      <c r="A43" s="110" t="s">
        <v>61</v>
      </c>
      <c r="B43" s="110" t="s">
        <v>193</v>
      </c>
      <c r="C43" s="110"/>
      <c r="E43" s="103" t="s">
        <v>185</v>
      </c>
      <c r="F43" s="118" t="s">
        <v>185</v>
      </c>
      <c r="G43" s="133" t="str">
        <f t="shared" si="12"/>
        <v>86790-0K190-00D1</v>
      </c>
      <c r="H43" s="103" t="b">
        <f t="shared" si="22"/>
        <v>1</v>
      </c>
      <c r="I43" s="106" t="s">
        <v>218</v>
      </c>
      <c r="J43" s="106" t="s">
        <v>172</v>
      </c>
      <c r="K43" s="106" t="s">
        <v>201</v>
      </c>
      <c r="L43" s="97" t="s">
        <v>207</v>
      </c>
      <c r="M43" s="106">
        <v>42</v>
      </c>
      <c r="N43" s="101" t="s">
        <v>61</v>
      </c>
      <c r="O43" s="102" t="str">
        <f t="shared" si="23"/>
        <v>86790-0K190BPK</v>
      </c>
      <c r="P43" s="100">
        <v>3486</v>
      </c>
      <c r="Q43" s="100">
        <v>2142</v>
      </c>
      <c r="R43" s="100">
        <v>3234</v>
      </c>
      <c r="S43" s="177">
        <v>3654</v>
      </c>
      <c r="T43" s="173"/>
      <c r="U43" s="6"/>
      <c r="V43" s="100">
        <v>3638</v>
      </c>
      <c r="W43" s="100">
        <v>2386</v>
      </c>
      <c r="X43" s="100">
        <v>3492</v>
      </c>
      <c r="Y43" s="99"/>
      <c r="AA43" s="6">
        <f t="shared" si="13"/>
        <v>-152</v>
      </c>
      <c r="AB43" s="174">
        <f t="shared" si="14"/>
        <v>-244</v>
      </c>
      <c r="AC43" s="174">
        <f t="shared" si="15"/>
        <v>-258</v>
      </c>
      <c r="AE43" s="109">
        <f t="shared" si="16"/>
        <v>0.95821880153930727</v>
      </c>
      <c r="AF43" s="109">
        <f t="shared" si="17"/>
        <v>0.89773679798826489</v>
      </c>
      <c r="AG43" s="109">
        <f t="shared" si="18"/>
        <v>0.92611683848797255</v>
      </c>
      <c r="AH43" s="98"/>
      <c r="AI43" s="40"/>
      <c r="AJ43" s="109">
        <f t="shared" si="19"/>
        <v>-4.1781198460692691E-2</v>
      </c>
      <c r="AK43" s="109">
        <f t="shared" si="20"/>
        <v>-0.10226320201173512</v>
      </c>
      <c r="AL43" s="109">
        <f t="shared" si="21"/>
        <v>-7.3883161512027493E-2</v>
      </c>
      <c r="AM43" s="98"/>
      <c r="AN43" s="5" t="s">
        <v>154</v>
      </c>
      <c r="AO43" s="4" t="s">
        <v>472</v>
      </c>
      <c r="AP43" s="164" t="s">
        <v>474</v>
      </c>
      <c r="AQ43" s="4" t="s">
        <v>219</v>
      </c>
    </row>
    <row r="44" spans="1:43" ht="15" customHeight="1" x14ac:dyDescent="0.3">
      <c r="A44" s="110" t="s">
        <v>61</v>
      </c>
      <c r="B44" s="110" t="s">
        <v>193</v>
      </c>
      <c r="C44" s="110"/>
      <c r="E44" s="103" t="s">
        <v>185</v>
      </c>
      <c r="F44" s="118" t="s">
        <v>185</v>
      </c>
      <c r="G44" s="207" t="str">
        <f t="shared" si="12"/>
        <v>86790-0K190-00BN</v>
      </c>
      <c r="H44" s="103" t="b">
        <f t="shared" si="22"/>
        <v>1</v>
      </c>
      <c r="I44" s="106" t="s">
        <v>218</v>
      </c>
      <c r="J44" s="106" t="s">
        <v>172</v>
      </c>
      <c r="K44" s="208" t="s">
        <v>206</v>
      </c>
      <c r="L44" s="97" t="s">
        <v>207</v>
      </c>
      <c r="M44" s="106">
        <v>42</v>
      </c>
      <c r="N44" s="101" t="s">
        <v>61</v>
      </c>
      <c r="O44" s="102" t="str">
        <f t="shared" si="23"/>
        <v>86790-0K190BPK</v>
      </c>
      <c r="P44" s="100">
        <v>20</v>
      </c>
      <c r="Q44" s="100">
        <v>80</v>
      </c>
      <c r="R44" s="100">
        <v>120</v>
      </c>
      <c r="S44" s="56">
        <v>110</v>
      </c>
      <c r="T44" s="173"/>
      <c r="U44" s="6"/>
      <c r="V44" s="100">
        <v>0</v>
      </c>
      <c r="W44" s="100">
        <v>0</v>
      </c>
      <c r="X44" s="100">
        <v>0</v>
      </c>
      <c r="Y44" s="99"/>
      <c r="AA44" s="6">
        <f t="shared" si="13"/>
        <v>20</v>
      </c>
      <c r="AB44" s="174">
        <f t="shared" si="14"/>
        <v>80</v>
      </c>
      <c r="AC44" s="174">
        <f t="shared" si="15"/>
        <v>120</v>
      </c>
      <c r="AE44" s="109" t="e">
        <f t="shared" si="16"/>
        <v>#DIV/0!</v>
      </c>
      <c r="AF44" s="109" t="e">
        <f t="shared" si="17"/>
        <v>#DIV/0!</v>
      </c>
      <c r="AG44" s="109" t="e">
        <f t="shared" si="18"/>
        <v>#DIV/0!</v>
      </c>
      <c r="AH44" s="98"/>
      <c r="AI44" s="40"/>
      <c r="AJ44" s="109" t="e">
        <f t="shared" si="19"/>
        <v>#DIV/0!</v>
      </c>
      <c r="AK44" s="109" t="e">
        <f t="shared" si="20"/>
        <v>#DIV/0!</v>
      </c>
      <c r="AL44" s="109" t="e">
        <f t="shared" si="21"/>
        <v>#DIV/0!</v>
      </c>
      <c r="AM44" s="98"/>
      <c r="AN44" s="5" t="s">
        <v>154</v>
      </c>
      <c r="AO44" s="4" t="s">
        <v>472</v>
      </c>
      <c r="AP44" s="164" t="s">
        <v>474</v>
      </c>
      <c r="AQ44" s="4" t="s">
        <v>219</v>
      </c>
    </row>
    <row r="45" spans="1:43" ht="15" customHeight="1" x14ac:dyDescent="0.3">
      <c r="A45" s="110" t="s">
        <v>61</v>
      </c>
      <c r="B45" s="110" t="s">
        <v>193</v>
      </c>
      <c r="C45" s="110"/>
      <c r="D45" s="4" t="s">
        <v>23</v>
      </c>
      <c r="E45" s="103" t="s">
        <v>220</v>
      </c>
      <c r="F45" s="118" t="s">
        <v>220</v>
      </c>
      <c r="G45" s="133" t="str">
        <f t="shared" si="12"/>
        <v>86790-0K200-00D1</v>
      </c>
      <c r="H45" s="103" t="b">
        <f t="shared" si="22"/>
        <v>1</v>
      </c>
      <c r="I45" s="106" t="s">
        <v>221</v>
      </c>
      <c r="J45" s="106" t="s">
        <v>172</v>
      </c>
      <c r="K45" s="106" t="s">
        <v>201</v>
      </c>
      <c r="L45" s="97" t="s">
        <v>207</v>
      </c>
      <c r="M45" s="106">
        <v>20</v>
      </c>
      <c r="N45" s="101" t="s">
        <v>61</v>
      </c>
      <c r="O45" s="102" t="str">
        <f t="shared" si="23"/>
        <v>86790-0K200BPK86790-0K110-00</v>
      </c>
      <c r="P45" s="100">
        <v>2600</v>
      </c>
      <c r="Q45" s="100">
        <v>3100</v>
      </c>
      <c r="R45" s="100">
        <v>2980</v>
      </c>
      <c r="S45" s="177">
        <v>2760</v>
      </c>
      <c r="T45" s="173" t="s">
        <v>213</v>
      </c>
      <c r="U45" s="6"/>
      <c r="V45" s="100">
        <v>2460</v>
      </c>
      <c r="W45" s="100">
        <v>2800</v>
      </c>
      <c r="X45" s="100">
        <v>3040</v>
      </c>
      <c r="Y45" s="99"/>
      <c r="AA45" s="6">
        <f t="shared" si="13"/>
        <v>140</v>
      </c>
      <c r="AB45" s="174">
        <f t="shared" si="14"/>
        <v>300</v>
      </c>
      <c r="AC45" s="174">
        <f t="shared" si="15"/>
        <v>-60</v>
      </c>
      <c r="AE45" s="109">
        <f t="shared" si="16"/>
        <v>1.056910569105691</v>
      </c>
      <c r="AF45" s="109">
        <f t="shared" si="17"/>
        <v>1.1071428571428572</v>
      </c>
      <c r="AG45" s="109">
        <f t="shared" si="18"/>
        <v>0.98026315789473684</v>
      </c>
      <c r="AH45" s="98"/>
      <c r="AI45" s="40"/>
      <c r="AJ45" s="109">
        <f t="shared" si="19"/>
        <v>5.6910569105691054E-2</v>
      </c>
      <c r="AK45" s="109">
        <f t="shared" si="20"/>
        <v>0.10714285714285714</v>
      </c>
      <c r="AL45" s="109">
        <f t="shared" si="21"/>
        <v>-1.9736842105263157E-2</v>
      </c>
      <c r="AM45" s="98"/>
      <c r="AN45" s="5" t="s">
        <v>154</v>
      </c>
      <c r="AO45" s="4" t="s">
        <v>472</v>
      </c>
      <c r="AP45" s="164" t="s">
        <v>474</v>
      </c>
      <c r="AQ45" s="4" t="s">
        <v>219</v>
      </c>
    </row>
    <row r="46" spans="1:43" ht="15" customHeight="1" x14ac:dyDescent="0.3">
      <c r="A46" s="110" t="s">
        <v>61</v>
      </c>
      <c r="B46" s="110" t="s">
        <v>193</v>
      </c>
      <c r="C46" s="110"/>
      <c r="E46" s="103" t="s">
        <v>187</v>
      </c>
      <c r="F46" s="118" t="s">
        <v>187</v>
      </c>
      <c r="G46" s="133" t="str">
        <f t="shared" si="12"/>
        <v>86790-0K230-00D1</v>
      </c>
      <c r="H46" s="103" t="b">
        <f t="shared" si="22"/>
        <v>1</v>
      </c>
      <c r="I46" s="106" t="s">
        <v>222</v>
      </c>
      <c r="J46" s="106" t="s">
        <v>172</v>
      </c>
      <c r="K46" s="106" t="s">
        <v>201</v>
      </c>
      <c r="L46" s="97" t="s">
        <v>207</v>
      </c>
      <c r="M46" s="106">
        <v>16</v>
      </c>
      <c r="N46" s="101" t="s">
        <v>61</v>
      </c>
      <c r="O46" s="102" t="str">
        <f t="shared" si="23"/>
        <v>86790-0K230BPK</v>
      </c>
      <c r="P46" s="100">
        <v>560</v>
      </c>
      <c r="Q46" s="100">
        <v>304</v>
      </c>
      <c r="R46" s="100">
        <v>576</v>
      </c>
      <c r="S46" s="177">
        <v>720</v>
      </c>
      <c r="T46" s="173"/>
      <c r="U46" s="6"/>
      <c r="V46" s="100">
        <v>560</v>
      </c>
      <c r="W46" s="100">
        <v>544</v>
      </c>
      <c r="X46" s="100">
        <v>720</v>
      </c>
      <c r="Y46" s="99"/>
      <c r="AA46" s="6">
        <f t="shared" si="13"/>
        <v>0</v>
      </c>
      <c r="AB46" s="6">
        <f t="shared" si="14"/>
        <v>-240</v>
      </c>
      <c r="AC46" s="6">
        <f t="shared" si="15"/>
        <v>-144</v>
      </c>
      <c r="AE46" s="109">
        <f t="shared" si="16"/>
        <v>1</v>
      </c>
      <c r="AF46" s="109">
        <f t="shared" si="17"/>
        <v>0.55882352941176472</v>
      </c>
      <c r="AG46" s="109">
        <f t="shared" si="18"/>
        <v>0.8</v>
      </c>
      <c r="AH46" s="98"/>
      <c r="AI46" s="40"/>
      <c r="AJ46" s="109">
        <f t="shared" si="19"/>
        <v>0</v>
      </c>
      <c r="AK46" s="109">
        <f t="shared" si="20"/>
        <v>-0.44117647058823528</v>
      </c>
      <c r="AL46" s="109">
        <f t="shared" si="21"/>
        <v>-0.2</v>
      </c>
      <c r="AM46" s="98"/>
      <c r="AN46" s="5" t="s">
        <v>154</v>
      </c>
      <c r="AO46" s="4" t="s">
        <v>472</v>
      </c>
      <c r="AP46" s="164" t="s">
        <v>474</v>
      </c>
      <c r="AQ46" s="4" t="s">
        <v>223</v>
      </c>
    </row>
    <row r="47" spans="1:43" ht="15" customHeight="1" x14ac:dyDescent="0.3">
      <c r="A47" s="110" t="s">
        <v>61</v>
      </c>
      <c r="B47" s="110" t="s">
        <v>193</v>
      </c>
      <c r="C47" s="110"/>
      <c r="E47" s="103" t="s">
        <v>224</v>
      </c>
      <c r="F47" s="118" t="s">
        <v>224</v>
      </c>
      <c r="G47" s="207" t="str">
        <f t="shared" si="12"/>
        <v>86790-BZ310-00D1</v>
      </c>
      <c r="H47" s="103" t="b">
        <f t="shared" si="22"/>
        <v>1</v>
      </c>
      <c r="I47" s="106" t="s">
        <v>225</v>
      </c>
      <c r="J47" s="106" t="s">
        <v>172</v>
      </c>
      <c r="K47" s="208" t="s">
        <v>201</v>
      </c>
      <c r="L47" s="97" t="s">
        <v>207</v>
      </c>
      <c r="M47" s="106">
        <v>15</v>
      </c>
      <c r="N47" s="101" t="s">
        <v>61</v>
      </c>
      <c r="O47" s="102" t="str">
        <f t="shared" si="23"/>
        <v>86790-BZ310BPK</v>
      </c>
      <c r="P47" s="100">
        <v>8460</v>
      </c>
      <c r="Q47" s="100">
        <v>6810</v>
      </c>
      <c r="R47" s="100">
        <v>3420</v>
      </c>
      <c r="S47" s="56">
        <v>6225</v>
      </c>
      <c r="T47" s="173"/>
      <c r="U47" s="6"/>
      <c r="V47" s="100">
        <v>8445</v>
      </c>
      <c r="W47" s="100">
        <v>6870</v>
      </c>
      <c r="X47" s="100">
        <v>3570</v>
      </c>
      <c r="Y47" s="99"/>
      <c r="AA47" s="6">
        <f t="shared" si="13"/>
        <v>15</v>
      </c>
      <c r="AB47" s="6">
        <f t="shared" si="14"/>
        <v>-60</v>
      </c>
      <c r="AC47" s="6">
        <f t="shared" si="15"/>
        <v>-150</v>
      </c>
      <c r="AE47" s="109">
        <f t="shared" si="16"/>
        <v>1.0017761989342806</v>
      </c>
      <c r="AF47" s="109">
        <f t="shared" si="17"/>
        <v>0.99126637554585151</v>
      </c>
      <c r="AG47" s="109">
        <f t="shared" si="18"/>
        <v>0.95798319327731096</v>
      </c>
      <c r="AH47" s="98"/>
      <c r="AI47" s="40"/>
      <c r="AJ47" s="109">
        <f t="shared" si="19"/>
        <v>1.7761989342806395E-3</v>
      </c>
      <c r="AK47" s="109">
        <f t="shared" si="20"/>
        <v>-8.7336244541484712E-3</v>
      </c>
      <c r="AL47" s="109">
        <f t="shared" si="21"/>
        <v>-4.2016806722689079E-2</v>
      </c>
      <c r="AM47" s="98"/>
      <c r="AN47" s="5" t="s">
        <v>154</v>
      </c>
      <c r="AO47" s="4" t="s">
        <v>473</v>
      </c>
      <c r="AP47" s="164" t="s">
        <v>475</v>
      </c>
      <c r="AQ47" s="4" t="s">
        <v>223</v>
      </c>
    </row>
    <row r="48" spans="1:43" ht="15" customHeight="1" outlineLevel="1" x14ac:dyDescent="0.3">
      <c r="E48" s="128" t="s">
        <v>24</v>
      </c>
      <c r="F48" s="129"/>
      <c r="G48" s="160"/>
      <c r="H48" s="128" t="b">
        <f t="shared" si="22"/>
        <v>0</v>
      </c>
      <c r="I48" s="128" t="s">
        <v>226</v>
      </c>
      <c r="J48" s="128" t="s">
        <v>172</v>
      </c>
      <c r="K48" s="128" t="s">
        <v>201</v>
      </c>
      <c r="L48" s="128" t="s">
        <v>227</v>
      </c>
      <c r="M48" s="128">
        <v>20</v>
      </c>
      <c r="N48" s="128" t="s">
        <v>61</v>
      </c>
      <c r="O48" s="64" t="str">
        <f t="shared" si="23"/>
        <v>86790-0K130BPK</v>
      </c>
      <c r="P48" s="65">
        <v>0</v>
      </c>
      <c r="Q48" s="65">
        <v>0</v>
      </c>
      <c r="R48" s="65">
        <v>0</v>
      </c>
      <c r="S48" s="65">
        <v>0</v>
      </c>
      <c r="T48" s="186"/>
      <c r="U48" s="6"/>
      <c r="V48" s="65">
        <v>0</v>
      </c>
      <c r="W48" s="65">
        <v>0</v>
      </c>
      <c r="X48" s="65">
        <v>0</v>
      </c>
      <c r="Y48" s="99"/>
      <c r="AE48" s="109" t="e">
        <f t="shared" si="16"/>
        <v>#DIV/0!</v>
      </c>
      <c r="AF48" s="109" t="e">
        <f t="shared" si="17"/>
        <v>#DIV/0!</v>
      </c>
      <c r="AG48" s="109" t="e">
        <f t="shared" si="18"/>
        <v>#DIV/0!</v>
      </c>
      <c r="AH48" s="98"/>
      <c r="AI48" s="40"/>
      <c r="AJ48" s="109" t="e">
        <f t="shared" si="19"/>
        <v>#DIV/0!</v>
      </c>
      <c r="AK48" s="109" t="e">
        <f t="shared" si="20"/>
        <v>#DIV/0!</v>
      </c>
      <c r="AL48" s="109" t="e">
        <f t="shared" si="21"/>
        <v>#DIV/0!</v>
      </c>
      <c r="AM48" s="98"/>
    </row>
    <row r="49" spans="1:43" ht="15" customHeight="1" outlineLevel="1" x14ac:dyDescent="0.3">
      <c r="K49" s="48" t="s">
        <v>228</v>
      </c>
      <c r="L49" s="105"/>
      <c r="M49" s="105"/>
      <c r="P49" s="48"/>
      <c r="Q49" s="48"/>
      <c r="R49" s="48"/>
      <c r="S49" s="48"/>
      <c r="T49" s="173"/>
      <c r="U49" s="6"/>
      <c r="V49" s="48"/>
      <c r="W49" s="48"/>
      <c r="X49" s="48"/>
      <c r="Y49" s="108"/>
      <c r="AA49" s="6"/>
      <c r="AB49" s="6"/>
      <c r="AC49" s="6"/>
      <c r="AE49" s="109" t="e">
        <f t="shared" si="16"/>
        <v>#DIV/0!</v>
      </c>
      <c r="AF49" s="109" t="e">
        <f t="shared" si="17"/>
        <v>#DIV/0!</v>
      </c>
      <c r="AG49" s="109" t="e">
        <f t="shared" si="18"/>
        <v>#DIV/0!</v>
      </c>
      <c r="AH49" s="107"/>
      <c r="AJ49" s="109" t="e">
        <f t="shared" si="19"/>
        <v>#DIV/0!</v>
      </c>
      <c r="AK49" s="109" t="e">
        <f t="shared" si="20"/>
        <v>#DIV/0!</v>
      </c>
      <c r="AL49" s="109" t="e">
        <f t="shared" si="21"/>
        <v>#DIV/0!</v>
      </c>
      <c r="AM49" s="107"/>
    </row>
    <row r="50" spans="1:43" ht="15" customHeight="1" outlineLevel="1" x14ac:dyDescent="0.3">
      <c r="K50" s="48"/>
      <c r="L50" s="105"/>
      <c r="M50" s="105"/>
      <c r="P50" s="48"/>
      <c r="Q50" s="48"/>
      <c r="R50" s="48"/>
      <c r="S50" s="48"/>
      <c r="T50" s="173"/>
      <c r="U50" s="6"/>
      <c r="V50" s="48"/>
      <c r="W50" s="48"/>
      <c r="X50" s="48"/>
      <c r="Y50" s="108"/>
      <c r="AA50" s="6"/>
      <c r="AB50" s="6"/>
      <c r="AC50" s="6"/>
      <c r="AE50" s="109" t="e">
        <f t="shared" si="16"/>
        <v>#DIV/0!</v>
      </c>
      <c r="AF50" s="109" t="e">
        <f t="shared" si="17"/>
        <v>#DIV/0!</v>
      </c>
      <c r="AG50" s="109" t="e">
        <f t="shared" si="18"/>
        <v>#DIV/0!</v>
      </c>
      <c r="AH50" s="107"/>
      <c r="AJ50" s="109" t="e">
        <f t="shared" si="19"/>
        <v>#DIV/0!</v>
      </c>
      <c r="AK50" s="109" t="e">
        <f t="shared" si="20"/>
        <v>#DIV/0!</v>
      </c>
      <c r="AL50" s="109" t="e">
        <f t="shared" si="21"/>
        <v>#DIV/0!</v>
      </c>
      <c r="AM50" s="107"/>
    </row>
    <row r="51" spans="1:43" ht="15" customHeight="1" x14ac:dyDescent="0.3"/>
    <row r="52" spans="1:43" ht="15" customHeight="1" x14ac:dyDescent="0.3">
      <c r="D52" s="110" t="s">
        <v>88</v>
      </c>
      <c r="E52" s="10">
        <f>E29</f>
        <v>0</v>
      </c>
      <c r="F52" s="10"/>
      <c r="G52" s="10"/>
      <c r="H52" s="10"/>
      <c r="I52" s="10" t="str">
        <f>I29</f>
        <v>Firm-0</v>
      </c>
      <c r="J52" s="10"/>
      <c r="P52" s="63" t="str">
        <f>P29</f>
        <v>Feb</v>
      </c>
      <c r="Q52" s="63" t="str">
        <f>Q29</f>
        <v>Mar</v>
      </c>
      <c r="R52" s="63" t="str">
        <f>R29</f>
        <v>Apr</v>
      </c>
      <c r="S52" s="63" t="str">
        <f>S29</f>
        <v>May</v>
      </c>
      <c r="V52" s="288" t="s">
        <v>131</v>
      </c>
      <c r="W52" s="289"/>
      <c r="X52" s="289"/>
      <c r="Y52" s="289"/>
      <c r="AE52" s="288" t="s">
        <v>132</v>
      </c>
      <c r="AF52" s="289"/>
      <c r="AG52" s="289"/>
      <c r="AH52" s="289"/>
      <c r="AI52" s="5"/>
      <c r="AJ52" s="288" t="s">
        <v>132</v>
      </c>
      <c r="AK52" s="289"/>
      <c r="AL52" s="289"/>
      <c r="AM52" s="289"/>
    </row>
    <row r="53" spans="1:43" ht="15" customHeight="1" x14ac:dyDescent="0.3">
      <c r="D53" s="111" t="s">
        <v>133</v>
      </c>
      <c r="E53" s="111" t="s">
        <v>4</v>
      </c>
      <c r="F53" s="111"/>
      <c r="G53" s="111"/>
      <c r="H53" s="111"/>
      <c r="I53" s="111" t="s">
        <v>134</v>
      </c>
      <c r="J53" s="111" t="s">
        <v>135</v>
      </c>
      <c r="K53" s="111" t="s">
        <v>136</v>
      </c>
      <c r="L53" s="111" t="s">
        <v>5</v>
      </c>
      <c r="M53" s="111" t="s">
        <v>138</v>
      </c>
      <c r="N53" s="112" t="s">
        <v>49</v>
      </c>
      <c r="O53" s="112"/>
      <c r="P53" s="92" t="s">
        <v>139</v>
      </c>
      <c r="Q53" s="92" t="s">
        <v>140</v>
      </c>
      <c r="R53" s="92" t="s">
        <v>141</v>
      </c>
      <c r="S53" s="92" t="s">
        <v>142</v>
      </c>
      <c r="V53" s="92" t="s">
        <v>139</v>
      </c>
      <c r="W53" s="92" t="s">
        <v>140</v>
      </c>
      <c r="X53" s="92" t="s">
        <v>141</v>
      </c>
      <c r="Y53" s="92" t="s">
        <v>142</v>
      </c>
      <c r="AE53" s="111" t="s">
        <v>139</v>
      </c>
      <c r="AF53" s="111" t="s">
        <v>140</v>
      </c>
      <c r="AG53" s="111" t="s">
        <v>141</v>
      </c>
      <c r="AH53" s="111" t="s">
        <v>142</v>
      </c>
      <c r="AI53" s="55"/>
      <c r="AJ53" s="111" t="s">
        <v>139</v>
      </c>
      <c r="AK53" s="111" t="s">
        <v>140</v>
      </c>
      <c r="AL53" s="111" t="s">
        <v>141</v>
      </c>
      <c r="AM53" s="111" t="s">
        <v>142</v>
      </c>
    </row>
    <row r="54" spans="1:43" ht="15" customHeight="1" x14ac:dyDescent="0.3">
      <c r="A54" s="110" t="s">
        <v>88</v>
      </c>
      <c r="B54" s="110" t="s">
        <v>193</v>
      </c>
      <c r="C54" s="110" t="s">
        <v>229</v>
      </c>
      <c r="D54" s="178" t="s">
        <v>230</v>
      </c>
      <c r="E54" s="128" t="s">
        <v>231</v>
      </c>
      <c r="F54" s="128" t="s">
        <v>231</v>
      </c>
      <c r="G54" s="128" t="str">
        <f t="shared" ref="G54:G62" si="24">F54&amp;K54</f>
        <v>86790-BZ270-00Z1</v>
      </c>
      <c r="H54" s="128" t="b">
        <f t="shared" ref="H54:H62" si="25">F54=E54</f>
        <v>1</v>
      </c>
      <c r="I54" s="128" t="s">
        <v>232</v>
      </c>
      <c r="J54" s="128" t="s">
        <v>172</v>
      </c>
      <c r="K54" s="128" t="s">
        <v>233</v>
      </c>
      <c r="L54" s="128" t="s">
        <v>234</v>
      </c>
      <c r="M54" s="128">
        <v>36</v>
      </c>
      <c r="N54" s="128" t="s">
        <v>88</v>
      </c>
      <c r="O54" s="128" t="str">
        <f>LEFT(E54,11)&amp;N54</f>
        <v>86790-BZ270GW</v>
      </c>
      <c r="P54" s="65">
        <v>0</v>
      </c>
      <c r="Q54" s="65">
        <v>0</v>
      </c>
      <c r="R54" s="65">
        <v>0</v>
      </c>
      <c r="S54" s="65">
        <v>0</v>
      </c>
      <c r="T54" s="187">
        <f>SUM(P54:S63)</f>
        <v>119707</v>
      </c>
      <c r="U54" s="6" t="b">
        <f>T54='GW Daily'!EG23</f>
        <v>0</v>
      </c>
      <c r="V54" s="65">
        <v>0</v>
      </c>
      <c r="W54" s="65">
        <v>0</v>
      </c>
      <c r="X54" s="65">
        <v>0</v>
      </c>
      <c r="Y54" s="179"/>
      <c r="AA54" s="6">
        <f t="shared" ref="AA54:AA63" si="26">P54-V54</f>
        <v>0</v>
      </c>
      <c r="AB54" s="6">
        <f t="shared" ref="AB54:AB63" si="27">Q54-W54</f>
        <v>0</v>
      </c>
      <c r="AC54" s="6">
        <f t="shared" ref="AC54:AC63" si="28">R54-X54</f>
        <v>0</v>
      </c>
      <c r="AE54" s="109" t="e">
        <f t="shared" ref="AE54:AE62" si="29">P54/V54</f>
        <v>#DIV/0!</v>
      </c>
      <c r="AF54" s="109" t="e">
        <f t="shared" ref="AF54:AF62" si="30">Q54/W54</f>
        <v>#DIV/0!</v>
      </c>
      <c r="AG54" s="109" t="e">
        <f t="shared" ref="AG54:AG62" si="31">R54/X54</f>
        <v>#DIV/0!</v>
      </c>
      <c r="AH54" s="98"/>
      <c r="AI54" s="40"/>
      <c r="AJ54" s="109" t="e">
        <f t="shared" ref="AJ54:AJ63" si="32">AA54/V54</f>
        <v>#DIV/0!</v>
      </c>
      <c r="AK54" s="109" t="e">
        <f t="shared" ref="AK54:AK63" si="33">AB54/W54</f>
        <v>#DIV/0!</v>
      </c>
      <c r="AL54" s="109" t="e">
        <f t="shared" ref="AL54:AL63" si="34">AC54/X54</f>
        <v>#DIV/0!</v>
      </c>
      <c r="AM54" s="98"/>
      <c r="AO54" s="4" t="s">
        <v>197</v>
      </c>
      <c r="AP54" s="164" t="s">
        <v>198</v>
      </c>
    </row>
    <row r="55" spans="1:43" ht="15" customHeight="1" x14ac:dyDescent="0.3">
      <c r="A55" s="110" t="s">
        <v>88</v>
      </c>
      <c r="B55" s="110" t="s">
        <v>147</v>
      </c>
      <c r="C55" s="110" t="s">
        <v>235</v>
      </c>
      <c r="D55" s="64"/>
      <c r="E55" s="64" t="s">
        <v>236</v>
      </c>
      <c r="F55" s="64" t="s">
        <v>236</v>
      </c>
      <c r="G55" s="64" t="str">
        <f t="shared" si="24"/>
        <v>86790-BZ320-00G2</v>
      </c>
      <c r="H55" s="64" t="b">
        <f t="shared" si="25"/>
        <v>1</v>
      </c>
      <c r="I55" s="64" t="s">
        <v>237</v>
      </c>
      <c r="J55" s="64" t="s">
        <v>172</v>
      </c>
      <c r="K55" s="64" t="s">
        <v>238</v>
      </c>
      <c r="L55" s="64" t="s">
        <v>239</v>
      </c>
      <c r="M55" s="64">
        <v>6</v>
      </c>
      <c r="N55" s="64" t="s">
        <v>88</v>
      </c>
      <c r="O55" s="64" t="str">
        <f>LEFT(E55,11)&amp;N55</f>
        <v>86790-BZ320GW</v>
      </c>
      <c r="P55" s="65">
        <v>0</v>
      </c>
      <c r="Q55" s="65">
        <v>0</v>
      </c>
      <c r="R55" s="65">
        <v>0</v>
      </c>
      <c r="S55" s="65">
        <v>0</v>
      </c>
      <c r="V55" s="65">
        <v>0</v>
      </c>
      <c r="W55" s="65">
        <v>0</v>
      </c>
      <c r="X55" s="65">
        <v>0</v>
      </c>
      <c r="Y55" s="64"/>
      <c r="AA55" s="6">
        <f t="shared" si="26"/>
        <v>0</v>
      </c>
      <c r="AB55" s="6">
        <f t="shared" si="27"/>
        <v>0</v>
      </c>
      <c r="AC55" s="6">
        <f t="shared" si="28"/>
        <v>0</v>
      </c>
      <c r="AE55" s="109" t="e">
        <f t="shared" si="29"/>
        <v>#DIV/0!</v>
      </c>
      <c r="AF55" s="109" t="e">
        <f t="shared" si="30"/>
        <v>#DIV/0!</v>
      </c>
      <c r="AG55" s="109" t="e">
        <f t="shared" si="31"/>
        <v>#DIV/0!</v>
      </c>
      <c r="AH55" s="98"/>
      <c r="AI55" s="40"/>
      <c r="AJ55" s="109" t="e">
        <f t="shared" si="32"/>
        <v>#DIV/0!</v>
      </c>
      <c r="AK55" s="109" t="e">
        <f t="shared" si="33"/>
        <v>#DIV/0!</v>
      </c>
      <c r="AL55" s="109" t="e">
        <f t="shared" si="34"/>
        <v>#DIV/0!</v>
      </c>
      <c r="AM55" s="98"/>
      <c r="AO55" s="4" t="s">
        <v>240</v>
      </c>
      <c r="AP55" s="164" t="s">
        <v>241</v>
      </c>
    </row>
    <row r="56" spans="1:43" ht="15" customHeight="1" x14ac:dyDescent="0.3">
      <c r="A56" s="110" t="s">
        <v>88</v>
      </c>
      <c r="B56" s="110" t="s">
        <v>193</v>
      </c>
      <c r="C56" s="110" t="s">
        <v>229</v>
      </c>
      <c r="D56" s="17" t="s">
        <v>242</v>
      </c>
      <c r="E56" s="47" t="s">
        <v>243</v>
      </c>
      <c r="F56" s="47" t="s">
        <v>243</v>
      </c>
      <c r="G56" s="47" t="str">
        <f t="shared" si="24"/>
        <v>86790-BZ271-00Z1</v>
      </c>
      <c r="H56" s="47" t="b">
        <f t="shared" si="25"/>
        <v>1</v>
      </c>
      <c r="I56" s="47" t="s">
        <v>244</v>
      </c>
      <c r="J56" s="47" t="s">
        <v>172</v>
      </c>
      <c r="K56" s="47" t="s">
        <v>233</v>
      </c>
      <c r="L56" s="47" t="s">
        <v>234</v>
      </c>
      <c r="M56" s="47">
        <v>1</v>
      </c>
      <c r="N56" s="47"/>
      <c r="O56" s="47"/>
      <c r="P56" s="9">
        <v>1872</v>
      </c>
      <c r="Q56" s="9">
        <v>1980</v>
      </c>
      <c r="R56" s="9">
        <v>1584</v>
      </c>
      <c r="S56" s="177">
        <v>1944</v>
      </c>
      <c r="T56" s="173"/>
      <c r="U56" s="6"/>
      <c r="V56" s="9">
        <v>1980</v>
      </c>
      <c r="W56" s="9">
        <v>1764</v>
      </c>
      <c r="X56" s="9">
        <v>1620</v>
      </c>
      <c r="Y56" s="108"/>
      <c r="AA56" s="6">
        <f t="shared" si="26"/>
        <v>-108</v>
      </c>
      <c r="AB56" s="6">
        <f t="shared" si="27"/>
        <v>216</v>
      </c>
      <c r="AC56" s="6">
        <f t="shared" si="28"/>
        <v>-36</v>
      </c>
      <c r="AE56" s="109">
        <f t="shared" si="29"/>
        <v>0.94545454545454544</v>
      </c>
      <c r="AF56" s="109">
        <f t="shared" si="30"/>
        <v>1.1224489795918366</v>
      </c>
      <c r="AG56" s="109">
        <f t="shared" si="31"/>
        <v>0.97777777777777775</v>
      </c>
      <c r="AH56" s="98"/>
      <c r="AI56" s="40"/>
      <c r="AJ56" s="109">
        <f t="shared" si="32"/>
        <v>-5.4545454545454543E-2</v>
      </c>
      <c r="AK56" s="109">
        <f t="shared" si="33"/>
        <v>0.12244897959183673</v>
      </c>
      <c r="AL56" s="109">
        <f t="shared" si="34"/>
        <v>-2.2222222222222223E-2</v>
      </c>
      <c r="AM56" s="98"/>
      <c r="AN56" s="5" t="s">
        <v>154</v>
      </c>
      <c r="AP56" s="164"/>
      <c r="AQ56" s="4" t="s">
        <v>245</v>
      </c>
    </row>
    <row r="57" spans="1:43" ht="15" customHeight="1" x14ac:dyDescent="0.3">
      <c r="A57" s="110" t="s">
        <v>88</v>
      </c>
      <c r="B57" s="110" t="s">
        <v>193</v>
      </c>
      <c r="C57" s="110" t="s">
        <v>229</v>
      </c>
      <c r="D57" s="17" t="s">
        <v>230</v>
      </c>
      <c r="E57" s="47" t="s">
        <v>246</v>
      </c>
      <c r="F57" s="47" t="s">
        <v>246</v>
      </c>
      <c r="G57" s="47" t="str">
        <f t="shared" si="24"/>
        <v>86790-BZ280-00Z1</v>
      </c>
      <c r="H57" s="47" t="b">
        <f t="shared" si="25"/>
        <v>1</v>
      </c>
      <c r="I57" s="47" t="s">
        <v>247</v>
      </c>
      <c r="J57" s="47" t="s">
        <v>172</v>
      </c>
      <c r="K57" s="47" t="s">
        <v>233</v>
      </c>
      <c r="L57" s="47" t="s">
        <v>234</v>
      </c>
      <c r="M57" s="47">
        <v>10</v>
      </c>
      <c r="N57" s="47" t="s">
        <v>88</v>
      </c>
      <c r="O57" s="47" t="str">
        <f t="shared" ref="O57:O62" si="35">LEFT(E57,11)&amp;N57</f>
        <v>86790-BZ280GW</v>
      </c>
      <c r="P57" s="9">
        <v>6440</v>
      </c>
      <c r="Q57" s="9">
        <v>6540</v>
      </c>
      <c r="R57" s="9">
        <v>6660</v>
      </c>
      <c r="S57" s="177">
        <v>6010</v>
      </c>
      <c r="T57" s="173"/>
      <c r="U57" s="6"/>
      <c r="V57" s="9">
        <v>6560</v>
      </c>
      <c r="W57" s="9">
        <v>6240</v>
      </c>
      <c r="X57" s="9">
        <v>6480</v>
      </c>
      <c r="Y57" s="108"/>
      <c r="AA57" s="174">
        <f t="shared" si="26"/>
        <v>-120</v>
      </c>
      <c r="AB57" s="174">
        <f t="shared" si="27"/>
        <v>300</v>
      </c>
      <c r="AC57" s="174">
        <f t="shared" si="28"/>
        <v>180</v>
      </c>
      <c r="AE57" s="109">
        <f t="shared" si="29"/>
        <v>0.98170731707317072</v>
      </c>
      <c r="AF57" s="109">
        <f t="shared" si="30"/>
        <v>1.0480769230769231</v>
      </c>
      <c r="AG57" s="109">
        <f t="shared" si="31"/>
        <v>1.0277777777777777</v>
      </c>
      <c r="AH57" s="98"/>
      <c r="AI57" s="40"/>
      <c r="AJ57" s="109">
        <f t="shared" si="32"/>
        <v>-1.8292682926829267E-2</v>
      </c>
      <c r="AK57" s="109">
        <f t="shared" si="33"/>
        <v>4.807692307692308E-2</v>
      </c>
      <c r="AL57" s="109">
        <f t="shared" si="34"/>
        <v>2.7777777777777776E-2</v>
      </c>
      <c r="AM57" s="98"/>
      <c r="AN57" s="5" t="s">
        <v>154</v>
      </c>
      <c r="AO57" s="4" t="s">
        <v>197</v>
      </c>
      <c r="AP57" s="164" t="s">
        <v>248</v>
      </c>
      <c r="AQ57" s="4" t="s">
        <v>245</v>
      </c>
    </row>
    <row r="58" spans="1:43" ht="15" customHeight="1" x14ac:dyDescent="0.3">
      <c r="A58" s="110" t="s">
        <v>88</v>
      </c>
      <c r="B58" s="110" t="s">
        <v>147</v>
      </c>
      <c r="C58" s="110" t="s">
        <v>249</v>
      </c>
      <c r="E58" s="4" t="s">
        <v>250</v>
      </c>
      <c r="F58" s="4" t="s">
        <v>250</v>
      </c>
      <c r="G58" s="4" t="str">
        <f t="shared" si="24"/>
        <v>86790-BZ210-00G2</v>
      </c>
      <c r="H58" s="4" t="b">
        <f t="shared" si="25"/>
        <v>1</v>
      </c>
      <c r="I58" s="4" t="s">
        <v>251</v>
      </c>
      <c r="J58" s="4" t="s">
        <v>172</v>
      </c>
      <c r="K58" s="4" t="s">
        <v>238</v>
      </c>
      <c r="L58" t="s">
        <v>252</v>
      </c>
      <c r="M58" s="4">
        <v>21</v>
      </c>
      <c r="N58" s="4" t="s">
        <v>88</v>
      </c>
      <c r="O58" s="4" t="str">
        <f t="shared" si="35"/>
        <v>86790-BZ210GW</v>
      </c>
      <c r="P58" s="6">
        <v>10247</v>
      </c>
      <c r="Q58" s="6">
        <v>10832</v>
      </c>
      <c r="R58" s="6">
        <v>8439</v>
      </c>
      <c r="S58" s="6">
        <v>6362</v>
      </c>
      <c r="V58" s="6">
        <v>10247</v>
      </c>
      <c r="W58" s="6">
        <v>10861</v>
      </c>
      <c r="X58" s="6">
        <v>7479</v>
      </c>
      <c r="Y58" s="107"/>
      <c r="AA58" s="6">
        <f t="shared" si="26"/>
        <v>0</v>
      </c>
      <c r="AB58" s="6">
        <f t="shared" si="27"/>
        <v>-29</v>
      </c>
      <c r="AC58" s="6">
        <f t="shared" si="28"/>
        <v>960</v>
      </c>
      <c r="AE58" s="109">
        <f t="shared" si="29"/>
        <v>1</v>
      </c>
      <c r="AF58" s="109">
        <f t="shared" si="30"/>
        <v>0.99732989595801491</v>
      </c>
      <c r="AG58" s="109">
        <f t="shared" si="31"/>
        <v>1.1283594063377458</v>
      </c>
      <c r="AH58" s="98"/>
      <c r="AI58" s="40"/>
      <c r="AJ58" s="109">
        <f t="shared" si="32"/>
        <v>0</v>
      </c>
      <c r="AK58" s="109">
        <f t="shared" si="33"/>
        <v>-2.6701040419850842E-3</v>
      </c>
      <c r="AL58" s="109">
        <f t="shared" si="34"/>
        <v>0.1283594063377457</v>
      </c>
      <c r="AM58" s="98"/>
      <c r="AO58" s="4" t="s">
        <v>253</v>
      </c>
      <c r="AP58" s="164" t="s">
        <v>254</v>
      </c>
    </row>
    <row r="59" spans="1:43" ht="15" customHeight="1" x14ac:dyDescent="0.3">
      <c r="A59" s="110" t="s">
        <v>88</v>
      </c>
      <c r="B59" s="110" t="s">
        <v>147</v>
      </c>
      <c r="C59" s="110" t="s">
        <v>249</v>
      </c>
      <c r="E59" s="4" t="s">
        <v>255</v>
      </c>
      <c r="F59" s="4" t="s">
        <v>255</v>
      </c>
      <c r="G59" s="4" t="str">
        <f t="shared" si="24"/>
        <v>86790-BZ220-00G2</v>
      </c>
      <c r="H59" s="4" t="b">
        <f t="shared" si="25"/>
        <v>1</v>
      </c>
      <c r="I59" s="4" t="s">
        <v>256</v>
      </c>
      <c r="J59" s="4" t="s">
        <v>172</v>
      </c>
      <c r="K59" s="4" t="s">
        <v>238</v>
      </c>
      <c r="L59" t="s">
        <v>252</v>
      </c>
      <c r="M59" s="4">
        <v>8</v>
      </c>
      <c r="N59" s="4" t="s">
        <v>88</v>
      </c>
      <c r="O59" s="4" t="str">
        <f t="shared" si="35"/>
        <v>86790-BZ220GW</v>
      </c>
      <c r="P59" s="6">
        <v>842</v>
      </c>
      <c r="Q59" s="6">
        <v>894</v>
      </c>
      <c r="R59" s="6">
        <v>1112</v>
      </c>
      <c r="S59" s="6">
        <v>860</v>
      </c>
      <c r="V59" s="6">
        <v>842</v>
      </c>
      <c r="W59" s="6">
        <v>1194</v>
      </c>
      <c r="X59" s="6">
        <v>1182</v>
      </c>
      <c r="Y59" s="107"/>
      <c r="AA59" s="6">
        <f t="shared" si="26"/>
        <v>0</v>
      </c>
      <c r="AB59" s="174">
        <f t="shared" si="27"/>
        <v>-300</v>
      </c>
      <c r="AC59" s="174">
        <f t="shared" si="28"/>
        <v>-70</v>
      </c>
      <c r="AE59" s="109">
        <f t="shared" si="29"/>
        <v>1</v>
      </c>
      <c r="AF59" s="109">
        <f t="shared" si="30"/>
        <v>0.74874371859296485</v>
      </c>
      <c r="AG59" s="109">
        <f t="shared" si="31"/>
        <v>0.94077834179357023</v>
      </c>
      <c r="AH59" s="98"/>
      <c r="AI59" s="40"/>
      <c r="AJ59" s="109">
        <f t="shared" si="32"/>
        <v>0</v>
      </c>
      <c r="AK59" s="109">
        <f t="shared" si="33"/>
        <v>-0.25125628140703515</v>
      </c>
      <c r="AL59" s="109">
        <f t="shared" si="34"/>
        <v>-5.9221658206429779E-2</v>
      </c>
      <c r="AM59" s="98"/>
      <c r="AO59" s="4" t="s">
        <v>253</v>
      </c>
      <c r="AP59" s="164" t="s">
        <v>254</v>
      </c>
    </row>
    <row r="60" spans="1:43" ht="15" customHeight="1" x14ac:dyDescent="0.3">
      <c r="A60" s="110" t="s">
        <v>88</v>
      </c>
      <c r="B60" s="110" t="s">
        <v>193</v>
      </c>
      <c r="C60" s="110" t="s">
        <v>235</v>
      </c>
      <c r="D60" s="66" t="s">
        <v>257</v>
      </c>
      <c r="E60" s="4" t="s">
        <v>224</v>
      </c>
      <c r="F60" s="4" t="s">
        <v>224</v>
      </c>
      <c r="G60" s="4" t="str">
        <f t="shared" si="24"/>
        <v>86790-BZ310-00Z1</v>
      </c>
      <c r="H60" s="4" t="b">
        <f t="shared" si="25"/>
        <v>1</v>
      </c>
      <c r="I60" s="4" t="s">
        <v>258</v>
      </c>
      <c r="J60" s="4" t="s">
        <v>172</v>
      </c>
      <c r="K60" s="4" t="s">
        <v>233</v>
      </c>
      <c r="L60" t="s">
        <v>239</v>
      </c>
      <c r="M60" s="4">
        <v>12</v>
      </c>
      <c r="N60" s="4" t="s">
        <v>88</v>
      </c>
      <c r="O60" s="4" t="str">
        <f t="shared" si="35"/>
        <v>86790-BZ310GW</v>
      </c>
      <c r="P60" s="6">
        <v>3225</v>
      </c>
      <c r="Q60" s="6">
        <v>3015</v>
      </c>
      <c r="R60" s="6">
        <v>2940</v>
      </c>
      <c r="S60" s="6">
        <v>2670</v>
      </c>
      <c r="V60" s="6">
        <v>3195</v>
      </c>
      <c r="W60" s="6">
        <v>2970</v>
      </c>
      <c r="X60" s="6">
        <v>2910</v>
      </c>
      <c r="Y60" s="107"/>
      <c r="AA60" s="6">
        <f t="shared" si="26"/>
        <v>30</v>
      </c>
      <c r="AB60" s="6">
        <f t="shared" si="27"/>
        <v>45</v>
      </c>
      <c r="AC60" s="6">
        <f t="shared" si="28"/>
        <v>30</v>
      </c>
      <c r="AE60" s="109">
        <f t="shared" si="29"/>
        <v>1.0093896713615023</v>
      </c>
      <c r="AF60" s="109">
        <f t="shared" si="30"/>
        <v>1.0151515151515151</v>
      </c>
      <c r="AG60" s="109">
        <f t="shared" si="31"/>
        <v>1.0103092783505154</v>
      </c>
      <c r="AH60" s="98"/>
      <c r="AI60" s="40"/>
      <c r="AJ60" s="109">
        <f t="shared" si="32"/>
        <v>9.3896713615023476E-3</v>
      </c>
      <c r="AK60" s="109">
        <f t="shared" si="33"/>
        <v>1.5151515151515152E-2</v>
      </c>
      <c r="AL60" s="109">
        <f t="shared" si="34"/>
        <v>1.0309278350515464E-2</v>
      </c>
      <c r="AM60" s="98"/>
      <c r="AO60" s="4" t="s">
        <v>197</v>
      </c>
    </row>
    <row r="61" spans="1:43" ht="15" customHeight="1" x14ac:dyDescent="0.3">
      <c r="A61" s="110" t="s">
        <v>88</v>
      </c>
      <c r="B61" s="110" t="s">
        <v>147</v>
      </c>
      <c r="C61" s="110" t="s">
        <v>235</v>
      </c>
      <c r="D61" s="66" t="s">
        <v>230</v>
      </c>
      <c r="E61" s="4" t="s">
        <v>224</v>
      </c>
      <c r="F61" s="4" t="s">
        <v>224</v>
      </c>
      <c r="G61" s="4" t="str">
        <f t="shared" si="24"/>
        <v>86790-BZ310-00G2</v>
      </c>
      <c r="H61" s="4" t="b">
        <f t="shared" si="25"/>
        <v>1</v>
      </c>
      <c r="I61" s="4" t="s">
        <v>259</v>
      </c>
      <c r="J61" s="4" t="s">
        <v>172</v>
      </c>
      <c r="K61" s="4" t="s">
        <v>238</v>
      </c>
      <c r="L61" s="4" t="s">
        <v>239</v>
      </c>
      <c r="M61" s="4">
        <v>15</v>
      </c>
      <c r="N61" s="4" t="s">
        <v>88</v>
      </c>
      <c r="O61" s="4" t="str">
        <f t="shared" si="35"/>
        <v>86790-BZ310GW</v>
      </c>
      <c r="P61">
        <v>3149</v>
      </c>
      <c r="Q61">
        <v>3701</v>
      </c>
      <c r="R61">
        <v>4374</v>
      </c>
      <c r="S61">
        <v>3352</v>
      </c>
      <c r="V61" s="6">
        <v>3149</v>
      </c>
      <c r="W61" s="6">
        <v>3701</v>
      </c>
      <c r="X61" s="6">
        <v>4586</v>
      </c>
      <c r="Y61" s="107"/>
      <c r="AA61" s="6">
        <f t="shared" si="26"/>
        <v>0</v>
      </c>
      <c r="AB61" s="174">
        <f t="shared" si="27"/>
        <v>0</v>
      </c>
      <c r="AC61" s="174">
        <f t="shared" si="28"/>
        <v>-212</v>
      </c>
      <c r="AE61" s="109">
        <f t="shared" si="29"/>
        <v>1</v>
      </c>
      <c r="AF61" s="109">
        <f t="shared" si="30"/>
        <v>1</v>
      </c>
      <c r="AG61" s="109">
        <f t="shared" si="31"/>
        <v>0.95377235063235932</v>
      </c>
      <c r="AH61" s="98"/>
      <c r="AI61" s="40"/>
      <c r="AJ61" s="109">
        <f t="shared" si="32"/>
        <v>0</v>
      </c>
      <c r="AK61" s="109">
        <f t="shared" si="33"/>
        <v>0</v>
      </c>
      <c r="AL61" s="109">
        <f t="shared" si="34"/>
        <v>-4.6227649367640643E-2</v>
      </c>
      <c r="AM61" s="98"/>
      <c r="AN61" s="5" t="s">
        <v>154</v>
      </c>
      <c r="AO61" s="4" t="s">
        <v>240</v>
      </c>
      <c r="AP61" s="164" t="s">
        <v>241</v>
      </c>
      <c r="AQ61" s="4" t="s">
        <v>260</v>
      </c>
    </row>
    <row r="62" spans="1:43" ht="15" customHeight="1" x14ac:dyDescent="0.3">
      <c r="A62" s="110" t="s">
        <v>88</v>
      </c>
      <c r="B62" s="110" t="s">
        <v>147</v>
      </c>
      <c r="C62" s="110" t="s">
        <v>235</v>
      </c>
      <c r="D62" s="132" t="s">
        <v>261</v>
      </c>
      <c r="E62" s="4" t="s">
        <v>262</v>
      </c>
      <c r="F62" s="4" t="s">
        <v>262</v>
      </c>
      <c r="G62" s="4" t="str">
        <f t="shared" si="24"/>
        <v>86790-BZ321-00G2</v>
      </c>
      <c r="H62" s="4" t="b">
        <f t="shared" si="25"/>
        <v>1</v>
      </c>
      <c r="I62" s="4" t="s">
        <v>263</v>
      </c>
      <c r="J62" s="4" t="s">
        <v>172</v>
      </c>
      <c r="K62" s="4" t="s">
        <v>238</v>
      </c>
      <c r="L62" s="4" t="s">
        <v>239</v>
      </c>
      <c r="M62" s="4">
        <v>6</v>
      </c>
      <c r="N62" s="4" t="s">
        <v>88</v>
      </c>
      <c r="O62" s="4" t="str">
        <f t="shared" si="35"/>
        <v>86790-BZ321GW</v>
      </c>
      <c r="P62" s="6">
        <v>1890</v>
      </c>
      <c r="Q62" s="6">
        <v>1755</v>
      </c>
      <c r="R62" s="6">
        <v>2441</v>
      </c>
      <c r="S62" s="6">
        <v>1957</v>
      </c>
      <c r="V62" s="6">
        <v>1890</v>
      </c>
      <c r="W62" s="6">
        <v>1615</v>
      </c>
      <c r="X62" s="6">
        <v>2321</v>
      </c>
      <c r="Y62" s="107"/>
      <c r="AA62" s="6">
        <f t="shared" si="26"/>
        <v>0</v>
      </c>
      <c r="AB62" s="6">
        <f t="shared" si="27"/>
        <v>140</v>
      </c>
      <c r="AC62" s="6">
        <f t="shared" si="28"/>
        <v>120</v>
      </c>
      <c r="AE62" s="109">
        <f t="shared" si="29"/>
        <v>1</v>
      </c>
      <c r="AF62" s="109">
        <f t="shared" si="30"/>
        <v>1.0866873065015479</v>
      </c>
      <c r="AG62" s="109">
        <f t="shared" si="31"/>
        <v>1.0517018526497199</v>
      </c>
      <c r="AH62" s="98"/>
      <c r="AI62" s="40"/>
      <c r="AJ62" s="109">
        <f t="shared" si="32"/>
        <v>0</v>
      </c>
      <c r="AK62" s="109">
        <f t="shared" si="33"/>
        <v>8.6687306501547989E-2</v>
      </c>
      <c r="AL62" s="109">
        <f t="shared" si="34"/>
        <v>5.1701852649719951E-2</v>
      </c>
      <c r="AM62" s="98"/>
      <c r="AN62" s="5" t="s">
        <v>154</v>
      </c>
      <c r="AO62" s="4" t="s">
        <v>240</v>
      </c>
      <c r="AP62" s="164" t="s">
        <v>241</v>
      </c>
      <c r="AQ62" s="4" t="s">
        <v>260</v>
      </c>
    </row>
    <row r="63" spans="1:43" ht="15" customHeight="1" x14ac:dyDescent="0.3">
      <c r="D63" s="132" t="s">
        <v>261</v>
      </c>
      <c r="E63" s="4" t="s">
        <v>264</v>
      </c>
      <c r="I63" s="4" t="s">
        <v>265</v>
      </c>
      <c r="J63" s="4" t="s">
        <v>172</v>
      </c>
      <c r="K63" s="4" t="s">
        <v>238</v>
      </c>
      <c r="L63" s="4" t="s">
        <v>252</v>
      </c>
      <c r="M63" s="4">
        <v>8</v>
      </c>
      <c r="P63">
        <v>4529</v>
      </c>
      <c r="Q63">
        <v>2525</v>
      </c>
      <c r="R63">
        <v>2974</v>
      </c>
      <c r="S63">
        <v>2592</v>
      </c>
      <c r="V63" s="4">
        <v>4529</v>
      </c>
      <c r="W63" s="4">
        <v>2525</v>
      </c>
      <c r="X63" s="4">
        <v>2443</v>
      </c>
      <c r="AA63" s="6">
        <f t="shared" si="26"/>
        <v>0</v>
      </c>
      <c r="AB63" s="6">
        <f t="shared" si="27"/>
        <v>0</v>
      </c>
      <c r="AC63" s="6">
        <f t="shared" si="28"/>
        <v>531</v>
      </c>
      <c r="AJ63" s="109">
        <f t="shared" si="32"/>
        <v>0</v>
      </c>
      <c r="AK63" s="109">
        <f t="shared" si="33"/>
        <v>0</v>
      </c>
      <c r="AL63" s="109">
        <f t="shared" si="34"/>
        <v>0.21735571019238642</v>
      </c>
      <c r="AM63" s="98"/>
    </row>
    <row r="64" spans="1:43" ht="15" customHeight="1" x14ac:dyDescent="0.3"/>
    <row r="65" spans="5:6" ht="15" customHeight="1" x14ac:dyDescent="0.3">
      <c r="E65" s="4" t="s">
        <v>243</v>
      </c>
      <c r="F65" s="4" t="b">
        <f t="shared" ref="F65:F71" si="36">E65=E56</f>
        <v>1</v>
      </c>
    </row>
    <row r="66" spans="5:6" ht="15" customHeight="1" x14ac:dyDescent="0.3">
      <c r="E66" s="4" t="s">
        <v>246</v>
      </c>
      <c r="F66" s="4" t="b">
        <f t="shared" si="36"/>
        <v>1</v>
      </c>
    </row>
    <row r="67" spans="5:6" ht="15" customHeight="1" x14ac:dyDescent="0.3">
      <c r="E67" s="4" t="s">
        <v>250</v>
      </c>
      <c r="F67" s="4" t="b">
        <f t="shared" si="36"/>
        <v>1</v>
      </c>
    </row>
    <row r="68" spans="5:6" ht="15" customHeight="1" x14ac:dyDescent="0.3">
      <c r="E68" s="4" t="s">
        <v>255</v>
      </c>
      <c r="F68" s="4" t="b">
        <f t="shared" si="36"/>
        <v>1</v>
      </c>
    </row>
    <row r="69" spans="5:6" ht="15" customHeight="1" x14ac:dyDescent="0.3">
      <c r="E69" s="4" t="s">
        <v>224</v>
      </c>
      <c r="F69" s="4" t="b">
        <f t="shared" si="36"/>
        <v>1</v>
      </c>
    </row>
    <row r="70" spans="5:6" ht="15" customHeight="1" x14ac:dyDescent="0.3">
      <c r="E70" s="4" t="s">
        <v>224</v>
      </c>
      <c r="F70" s="4" t="b">
        <f t="shared" si="36"/>
        <v>1</v>
      </c>
    </row>
    <row r="71" spans="5:6" ht="15" customHeight="1" x14ac:dyDescent="0.3">
      <c r="E71" s="4" t="s">
        <v>262</v>
      </c>
      <c r="F71" s="4" t="b">
        <f t="shared" si="36"/>
        <v>1</v>
      </c>
    </row>
    <row r="72" spans="5:6" ht="15" customHeight="1" x14ac:dyDescent="0.3"/>
    <row r="73" spans="5:6" ht="15" customHeight="1" x14ac:dyDescent="0.3"/>
    <row r="74" spans="5:6" ht="15" customHeight="1" x14ac:dyDescent="0.3"/>
    <row r="75" spans="5:6" ht="15" customHeight="1" x14ac:dyDescent="0.3"/>
    <row r="76" spans="5:6" ht="15" customHeight="1" x14ac:dyDescent="0.3"/>
    <row r="77" spans="5:6" ht="15" customHeight="1" x14ac:dyDescent="0.3"/>
    <row r="78" spans="5:6" ht="15" customHeight="1" x14ac:dyDescent="0.3"/>
    <row r="79" spans="5:6" ht="15" customHeight="1" x14ac:dyDescent="0.3"/>
    <row r="80" spans="5:6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</sheetData>
  <autoFilter ref="A6:AO62" xr:uid="{00000000-0009-0000-0000-000002000000}"/>
  <mergeCells count="13">
    <mergeCell ref="V52:Y52"/>
    <mergeCell ref="AJ5:AM5"/>
    <mergeCell ref="AJ52:AM52"/>
    <mergeCell ref="Q5:S5"/>
    <mergeCell ref="AE52:AH52"/>
    <mergeCell ref="V15:Y15"/>
    <mergeCell ref="AJ29:AM29"/>
    <mergeCell ref="AE15:AH15"/>
    <mergeCell ref="V29:Y29"/>
    <mergeCell ref="AE29:AH29"/>
    <mergeCell ref="AJ15:AM15"/>
    <mergeCell ref="V5:Y5"/>
    <mergeCell ref="AE5:AH5"/>
  </mergeCells>
  <conditionalFormatting sqref="U4">
    <cfRule type="containsText" dxfId="33" priority="1" operator="containsText" text="fals">
      <formula>NOT(ISERROR(SEARCH("fals",U4)))</formula>
    </cfRule>
    <cfRule type="containsText" dxfId="32" priority="2" operator="containsText" text="true">
      <formula>NOT(ISERROR(SEARCH("true",U4)))</formula>
    </cfRule>
  </conditionalFormatting>
  <conditionalFormatting sqref="U7 U17 U31 U54:U55">
    <cfRule type="containsText" dxfId="31" priority="3" operator="containsText" text="fals">
      <formula>NOT(ISERROR(SEARCH("fals",U7)))</formula>
    </cfRule>
    <cfRule type="containsText" dxfId="30" priority="4" operator="containsText" text="true">
      <formula>NOT(ISERROR(SEARCH("true",U7)))</formula>
    </cfRule>
  </conditionalFormatting>
  <conditionalFormatting sqref="AE7:AG12 AE17:AG26 AE31:AG50 AE54:AG62">
    <cfRule type="cellIs" dxfId="29" priority="6" operator="greaterThan">
      <formula>1.15</formula>
    </cfRule>
    <cfRule type="cellIs" dxfId="28" priority="16" operator="lessThan">
      <formula>0.85</formula>
    </cfRule>
  </conditionalFormatting>
  <conditionalFormatting sqref="AJ1:AL1048576 AM4">
    <cfRule type="cellIs" dxfId="27" priority="8" operator="lessThan">
      <formula>-0.15</formula>
    </cfRule>
  </conditionalFormatting>
  <conditionalFormatting sqref="AJ7:AM12 AJ17:AM26 AJ31:AM50 AJ54:AM62 AJ62:AL63 AM63">
    <cfRule type="cellIs" dxfId="26" priority="5" operator="greaterThan">
      <formula>0.15</formula>
    </cfRule>
  </conditionalFormatting>
  <hyperlinks>
    <hyperlink ref="AP7" r:id="rId1" xr:uid="{00000000-0004-0000-0200-000000000000}"/>
    <hyperlink ref="AP8" r:id="rId2" xr:uid="{00000000-0004-0000-0200-000001000000}"/>
    <hyperlink ref="AP9" r:id="rId3" xr:uid="{00000000-0004-0000-0200-000002000000}"/>
    <hyperlink ref="AP10" r:id="rId4" xr:uid="{00000000-0004-0000-0200-000003000000}"/>
    <hyperlink ref="AP17" r:id="rId5" xr:uid="{00000000-0004-0000-0200-000004000000}"/>
    <hyperlink ref="AP18" r:id="rId6" xr:uid="{00000000-0004-0000-0200-000005000000}"/>
    <hyperlink ref="AP19" r:id="rId7" xr:uid="{00000000-0004-0000-0200-000006000000}"/>
    <hyperlink ref="AP20" r:id="rId8" xr:uid="{00000000-0004-0000-0200-000007000000}"/>
    <hyperlink ref="AP21" r:id="rId9" xr:uid="{00000000-0004-0000-0200-000008000000}"/>
    <hyperlink ref="AP22" r:id="rId10" xr:uid="{00000000-0004-0000-0200-000009000000}"/>
    <hyperlink ref="AP23" r:id="rId11" xr:uid="{00000000-0004-0000-0200-00000A000000}"/>
    <hyperlink ref="AP24" r:id="rId12" xr:uid="{00000000-0004-0000-0200-00000B000000}"/>
    <hyperlink ref="AP31" r:id="rId13" display="pattarawan_lea@tdem.toyota-asia.com" xr:uid="{00000000-0004-0000-0200-00000C000000}"/>
    <hyperlink ref="AP47" r:id="rId14" display="pattarawan_lea@tdem.toyota-asia.com" xr:uid="{00000000-0004-0000-0200-00001C000000}"/>
    <hyperlink ref="AP54" r:id="rId15" xr:uid="{00000000-0004-0000-0200-00001D000000}"/>
    <hyperlink ref="AP55" r:id="rId16" xr:uid="{00000000-0004-0000-0200-00001E000000}"/>
    <hyperlink ref="AP57" r:id="rId17" xr:uid="{00000000-0004-0000-0200-00001F000000}"/>
    <hyperlink ref="AP58" r:id="rId18" xr:uid="{00000000-0004-0000-0200-000020000000}"/>
    <hyperlink ref="AP59" r:id="rId19" xr:uid="{00000000-0004-0000-0200-000021000000}"/>
    <hyperlink ref="AP61" r:id="rId20" xr:uid="{00000000-0004-0000-0200-000022000000}"/>
    <hyperlink ref="AP62" r:id="rId21" xr:uid="{00000000-0004-0000-0200-000023000000}"/>
    <hyperlink ref="AP32:AP46" r:id="rId22" display="pattarawan_lea@tdem.toyota-asia.com" xr:uid="{6D4CF657-AE5C-4496-9DAD-659DAB78C6E5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26"/>
  <sheetViews>
    <sheetView tabSelected="1" zoomScale="90" zoomScaleNormal="90" workbookViewId="0">
      <pane xSplit="8" ySplit="13" topLeftCell="AE14" activePane="bottomRight" state="frozen"/>
      <selection pane="topRight" activeCell="I1" sqref="I1"/>
      <selection pane="bottomLeft" activeCell="A14" sqref="A14"/>
      <selection pane="bottomRight" activeCell="AN28" sqref="AN28"/>
    </sheetView>
  </sheetViews>
  <sheetFormatPr defaultRowHeight="14.4" outlineLevelCol="1" x14ac:dyDescent="0.3"/>
  <cols>
    <col min="1" max="1" width="19" bestFit="1" customWidth="1"/>
    <col min="2" max="2" width="15.6640625" customWidth="1"/>
    <col min="3" max="3" width="15.44140625" customWidth="1"/>
    <col min="4" max="4" width="11" bestFit="1" customWidth="1"/>
    <col min="5" max="5" width="11.88671875" customWidth="1"/>
    <col min="6" max="6" width="16" customWidth="1"/>
    <col min="7" max="7" width="9.109375" customWidth="1"/>
    <col min="8" max="8" width="7" bestFit="1" customWidth="1"/>
    <col min="9" max="9" width="13.88671875" customWidth="1" outlineLevel="1"/>
    <col min="10" max="10" width="11.44140625" customWidth="1" outlineLevel="1"/>
    <col min="11" max="39" width="5" customWidth="1" outlineLevel="1"/>
    <col min="40" max="40" width="8.33203125" customWidth="1"/>
    <col min="41" max="71" width="5" hidden="1" customWidth="1" outlineLevel="1"/>
    <col min="72" max="72" width="8.6640625" customWidth="1" collapsed="1"/>
    <col min="73" max="103" width="5" hidden="1" customWidth="1" outlineLevel="1"/>
    <col min="104" max="104" width="8.33203125" customWidth="1" collapsed="1"/>
    <col min="105" max="135" width="5" hidden="1" customWidth="1" outlineLevel="1"/>
    <col min="136" max="136" width="9.44140625" customWidth="1" collapsed="1"/>
    <col min="137" max="137" width="9.33203125" customWidth="1"/>
    <col min="140" max="140" width="14.6640625" customWidth="1"/>
    <col min="257" max="257" width="19" bestFit="1" customWidth="1"/>
    <col min="258" max="258" width="9" bestFit="1" customWidth="1"/>
    <col min="259" max="259" width="45" bestFit="1" customWidth="1"/>
    <col min="260" max="260" width="11" bestFit="1" customWidth="1"/>
    <col min="261" max="262" width="7" bestFit="1" customWidth="1"/>
    <col min="263" max="263" width="8" bestFit="1" customWidth="1"/>
    <col min="264" max="264" width="7" bestFit="1" customWidth="1"/>
    <col min="265" max="392" width="5" bestFit="1" customWidth="1"/>
    <col min="513" max="513" width="19" bestFit="1" customWidth="1"/>
    <col min="514" max="514" width="9" bestFit="1" customWidth="1"/>
    <col min="515" max="515" width="45" bestFit="1" customWidth="1"/>
    <col min="516" max="516" width="11" bestFit="1" customWidth="1"/>
    <col min="517" max="518" width="7" bestFit="1" customWidth="1"/>
    <col min="519" max="519" width="8" bestFit="1" customWidth="1"/>
    <col min="520" max="520" width="7" bestFit="1" customWidth="1"/>
    <col min="521" max="648" width="5" bestFit="1" customWidth="1"/>
    <col min="769" max="769" width="19" bestFit="1" customWidth="1"/>
    <col min="770" max="770" width="9" bestFit="1" customWidth="1"/>
    <col min="771" max="771" width="45" bestFit="1" customWidth="1"/>
    <col min="772" max="772" width="11" bestFit="1" customWidth="1"/>
    <col min="773" max="774" width="7" bestFit="1" customWidth="1"/>
    <col min="775" max="775" width="8" bestFit="1" customWidth="1"/>
    <col min="776" max="776" width="7" bestFit="1" customWidth="1"/>
    <col min="777" max="904" width="5" bestFit="1" customWidth="1"/>
    <col min="1025" max="1025" width="19" bestFit="1" customWidth="1"/>
    <col min="1026" max="1026" width="9" bestFit="1" customWidth="1"/>
    <col min="1027" max="1027" width="45" bestFit="1" customWidth="1"/>
    <col min="1028" max="1028" width="11" bestFit="1" customWidth="1"/>
    <col min="1029" max="1030" width="7" bestFit="1" customWidth="1"/>
    <col min="1031" max="1031" width="8" bestFit="1" customWidth="1"/>
    <col min="1032" max="1032" width="7" bestFit="1" customWidth="1"/>
    <col min="1033" max="1160" width="5" bestFit="1" customWidth="1"/>
    <col min="1281" max="1281" width="19" bestFit="1" customWidth="1"/>
    <col min="1282" max="1282" width="9" bestFit="1" customWidth="1"/>
    <col min="1283" max="1283" width="45" bestFit="1" customWidth="1"/>
    <col min="1284" max="1284" width="11" bestFit="1" customWidth="1"/>
    <col min="1285" max="1286" width="7" bestFit="1" customWidth="1"/>
    <col min="1287" max="1287" width="8" bestFit="1" customWidth="1"/>
    <col min="1288" max="1288" width="7" bestFit="1" customWidth="1"/>
    <col min="1289" max="1416" width="5" bestFit="1" customWidth="1"/>
    <col min="1537" max="1537" width="19" bestFit="1" customWidth="1"/>
    <col min="1538" max="1538" width="9" bestFit="1" customWidth="1"/>
    <col min="1539" max="1539" width="45" bestFit="1" customWidth="1"/>
    <col min="1540" max="1540" width="11" bestFit="1" customWidth="1"/>
    <col min="1541" max="1542" width="7" bestFit="1" customWidth="1"/>
    <col min="1543" max="1543" width="8" bestFit="1" customWidth="1"/>
    <col min="1544" max="1544" width="7" bestFit="1" customWidth="1"/>
    <col min="1545" max="1672" width="5" bestFit="1" customWidth="1"/>
    <col min="1793" max="1793" width="19" bestFit="1" customWidth="1"/>
    <col min="1794" max="1794" width="9" bestFit="1" customWidth="1"/>
    <col min="1795" max="1795" width="45" bestFit="1" customWidth="1"/>
    <col min="1796" max="1796" width="11" bestFit="1" customWidth="1"/>
    <col min="1797" max="1798" width="7" bestFit="1" customWidth="1"/>
    <col min="1799" max="1799" width="8" bestFit="1" customWidth="1"/>
    <col min="1800" max="1800" width="7" bestFit="1" customWidth="1"/>
    <col min="1801" max="1928" width="5" bestFit="1" customWidth="1"/>
    <col min="2049" max="2049" width="19" bestFit="1" customWidth="1"/>
    <col min="2050" max="2050" width="9" bestFit="1" customWidth="1"/>
    <col min="2051" max="2051" width="45" bestFit="1" customWidth="1"/>
    <col min="2052" max="2052" width="11" bestFit="1" customWidth="1"/>
    <col min="2053" max="2054" width="7" bestFit="1" customWidth="1"/>
    <col min="2055" max="2055" width="8" bestFit="1" customWidth="1"/>
    <col min="2056" max="2056" width="7" bestFit="1" customWidth="1"/>
    <col min="2057" max="2184" width="5" bestFit="1" customWidth="1"/>
    <col min="2305" max="2305" width="19" bestFit="1" customWidth="1"/>
    <col min="2306" max="2306" width="9" bestFit="1" customWidth="1"/>
    <col min="2307" max="2307" width="45" bestFit="1" customWidth="1"/>
    <col min="2308" max="2308" width="11" bestFit="1" customWidth="1"/>
    <col min="2309" max="2310" width="7" bestFit="1" customWidth="1"/>
    <col min="2311" max="2311" width="8" bestFit="1" customWidth="1"/>
    <col min="2312" max="2312" width="7" bestFit="1" customWidth="1"/>
    <col min="2313" max="2440" width="5" bestFit="1" customWidth="1"/>
    <col min="2561" max="2561" width="19" bestFit="1" customWidth="1"/>
    <col min="2562" max="2562" width="9" bestFit="1" customWidth="1"/>
    <col min="2563" max="2563" width="45" bestFit="1" customWidth="1"/>
    <col min="2564" max="2564" width="11" bestFit="1" customWidth="1"/>
    <col min="2565" max="2566" width="7" bestFit="1" customWidth="1"/>
    <col min="2567" max="2567" width="8" bestFit="1" customWidth="1"/>
    <col min="2568" max="2568" width="7" bestFit="1" customWidth="1"/>
    <col min="2569" max="2696" width="5" bestFit="1" customWidth="1"/>
    <col min="2817" max="2817" width="19" bestFit="1" customWidth="1"/>
    <col min="2818" max="2818" width="9" bestFit="1" customWidth="1"/>
    <col min="2819" max="2819" width="45" bestFit="1" customWidth="1"/>
    <col min="2820" max="2820" width="11" bestFit="1" customWidth="1"/>
    <col min="2821" max="2822" width="7" bestFit="1" customWidth="1"/>
    <col min="2823" max="2823" width="8" bestFit="1" customWidth="1"/>
    <col min="2824" max="2824" width="7" bestFit="1" customWidth="1"/>
    <col min="2825" max="2952" width="5" bestFit="1" customWidth="1"/>
    <col min="3073" max="3073" width="19" bestFit="1" customWidth="1"/>
    <col min="3074" max="3074" width="9" bestFit="1" customWidth="1"/>
    <col min="3075" max="3075" width="45" bestFit="1" customWidth="1"/>
    <col min="3076" max="3076" width="11" bestFit="1" customWidth="1"/>
    <col min="3077" max="3078" width="7" bestFit="1" customWidth="1"/>
    <col min="3079" max="3079" width="8" bestFit="1" customWidth="1"/>
    <col min="3080" max="3080" width="7" bestFit="1" customWidth="1"/>
    <col min="3081" max="3208" width="5" bestFit="1" customWidth="1"/>
    <col min="3329" max="3329" width="19" bestFit="1" customWidth="1"/>
    <col min="3330" max="3330" width="9" bestFit="1" customWidth="1"/>
    <col min="3331" max="3331" width="45" bestFit="1" customWidth="1"/>
    <col min="3332" max="3332" width="11" bestFit="1" customWidth="1"/>
    <col min="3333" max="3334" width="7" bestFit="1" customWidth="1"/>
    <col min="3335" max="3335" width="8" bestFit="1" customWidth="1"/>
    <col min="3336" max="3336" width="7" bestFit="1" customWidth="1"/>
    <col min="3337" max="3464" width="5" bestFit="1" customWidth="1"/>
    <col min="3585" max="3585" width="19" bestFit="1" customWidth="1"/>
    <col min="3586" max="3586" width="9" bestFit="1" customWidth="1"/>
    <col min="3587" max="3587" width="45" bestFit="1" customWidth="1"/>
    <col min="3588" max="3588" width="11" bestFit="1" customWidth="1"/>
    <col min="3589" max="3590" width="7" bestFit="1" customWidth="1"/>
    <col min="3591" max="3591" width="8" bestFit="1" customWidth="1"/>
    <col min="3592" max="3592" width="7" bestFit="1" customWidth="1"/>
    <col min="3593" max="3720" width="5" bestFit="1" customWidth="1"/>
    <col min="3841" max="3841" width="19" bestFit="1" customWidth="1"/>
    <col min="3842" max="3842" width="9" bestFit="1" customWidth="1"/>
    <col min="3843" max="3843" width="45" bestFit="1" customWidth="1"/>
    <col min="3844" max="3844" width="11" bestFit="1" customWidth="1"/>
    <col min="3845" max="3846" width="7" bestFit="1" customWidth="1"/>
    <col min="3847" max="3847" width="8" bestFit="1" customWidth="1"/>
    <col min="3848" max="3848" width="7" bestFit="1" customWidth="1"/>
    <col min="3849" max="3976" width="5" bestFit="1" customWidth="1"/>
    <col min="4097" max="4097" width="19" bestFit="1" customWidth="1"/>
    <col min="4098" max="4098" width="9" bestFit="1" customWidth="1"/>
    <col min="4099" max="4099" width="45" bestFit="1" customWidth="1"/>
    <col min="4100" max="4100" width="11" bestFit="1" customWidth="1"/>
    <col min="4101" max="4102" width="7" bestFit="1" customWidth="1"/>
    <col min="4103" max="4103" width="8" bestFit="1" customWidth="1"/>
    <col min="4104" max="4104" width="7" bestFit="1" customWidth="1"/>
    <col min="4105" max="4232" width="5" bestFit="1" customWidth="1"/>
    <col min="4353" max="4353" width="19" bestFit="1" customWidth="1"/>
    <col min="4354" max="4354" width="9" bestFit="1" customWidth="1"/>
    <col min="4355" max="4355" width="45" bestFit="1" customWidth="1"/>
    <col min="4356" max="4356" width="11" bestFit="1" customWidth="1"/>
    <col min="4357" max="4358" width="7" bestFit="1" customWidth="1"/>
    <col min="4359" max="4359" width="8" bestFit="1" customWidth="1"/>
    <col min="4360" max="4360" width="7" bestFit="1" customWidth="1"/>
    <col min="4361" max="4488" width="5" bestFit="1" customWidth="1"/>
    <col min="4609" max="4609" width="19" bestFit="1" customWidth="1"/>
    <col min="4610" max="4610" width="9" bestFit="1" customWidth="1"/>
    <col min="4611" max="4611" width="45" bestFit="1" customWidth="1"/>
    <col min="4612" max="4612" width="11" bestFit="1" customWidth="1"/>
    <col min="4613" max="4614" width="7" bestFit="1" customWidth="1"/>
    <col min="4615" max="4615" width="8" bestFit="1" customWidth="1"/>
    <col min="4616" max="4616" width="7" bestFit="1" customWidth="1"/>
    <col min="4617" max="4744" width="5" bestFit="1" customWidth="1"/>
    <col min="4865" max="4865" width="19" bestFit="1" customWidth="1"/>
    <col min="4866" max="4866" width="9" bestFit="1" customWidth="1"/>
    <col min="4867" max="4867" width="45" bestFit="1" customWidth="1"/>
    <col min="4868" max="4868" width="11" bestFit="1" customWidth="1"/>
    <col min="4869" max="4870" width="7" bestFit="1" customWidth="1"/>
    <col min="4871" max="4871" width="8" bestFit="1" customWidth="1"/>
    <col min="4872" max="4872" width="7" bestFit="1" customWidth="1"/>
    <col min="4873" max="5000" width="5" bestFit="1" customWidth="1"/>
    <col min="5121" max="5121" width="19" bestFit="1" customWidth="1"/>
    <col min="5122" max="5122" width="9" bestFit="1" customWidth="1"/>
    <col min="5123" max="5123" width="45" bestFit="1" customWidth="1"/>
    <col min="5124" max="5124" width="11" bestFit="1" customWidth="1"/>
    <col min="5125" max="5126" width="7" bestFit="1" customWidth="1"/>
    <col min="5127" max="5127" width="8" bestFit="1" customWidth="1"/>
    <col min="5128" max="5128" width="7" bestFit="1" customWidth="1"/>
    <col min="5129" max="5256" width="5" bestFit="1" customWidth="1"/>
    <col min="5377" max="5377" width="19" bestFit="1" customWidth="1"/>
    <col min="5378" max="5378" width="9" bestFit="1" customWidth="1"/>
    <col min="5379" max="5379" width="45" bestFit="1" customWidth="1"/>
    <col min="5380" max="5380" width="11" bestFit="1" customWidth="1"/>
    <col min="5381" max="5382" width="7" bestFit="1" customWidth="1"/>
    <col min="5383" max="5383" width="8" bestFit="1" customWidth="1"/>
    <col min="5384" max="5384" width="7" bestFit="1" customWidth="1"/>
    <col min="5385" max="5512" width="5" bestFit="1" customWidth="1"/>
    <col min="5633" max="5633" width="19" bestFit="1" customWidth="1"/>
    <col min="5634" max="5634" width="9" bestFit="1" customWidth="1"/>
    <col min="5635" max="5635" width="45" bestFit="1" customWidth="1"/>
    <col min="5636" max="5636" width="11" bestFit="1" customWidth="1"/>
    <col min="5637" max="5638" width="7" bestFit="1" customWidth="1"/>
    <col min="5639" max="5639" width="8" bestFit="1" customWidth="1"/>
    <col min="5640" max="5640" width="7" bestFit="1" customWidth="1"/>
    <col min="5641" max="5768" width="5" bestFit="1" customWidth="1"/>
    <col min="5889" max="5889" width="19" bestFit="1" customWidth="1"/>
    <col min="5890" max="5890" width="9" bestFit="1" customWidth="1"/>
    <col min="5891" max="5891" width="45" bestFit="1" customWidth="1"/>
    <col min="5892" max="5892" width="11" bestFit="1" customWidth="1"/>
    <col min="5893" max="5894" width="7" bestFit="1" customWidth="1"/>
    <col min="5895" max="5895" width="8" bestFit="1" customWidth="1"/>
    <col min="5896" max="5896" width="7" bestFit="1" customWidth="1"/>
    <col min="5897" max="6024" width="5" bestFit="1" customWidth="1"/>
    <col min="6145" max="6145" width="19" bestFit="1" customWidth="1"/>
    <col min="6146" max="6146" width="9" bestFit="1" customWidth="1"/>
    <col min="6147" max="6147" width="45" bestFit="1" customWidth="1"/>
    <col min="6148" max="6148" width="11" bestFit="1" customWidth="1"/>
    <col min="6149" max="6150" width="7" bestFit="1" customWidth="1"/>
    <col min="6151" max="6151" width="8" bestFit="1" customWidth="1"/>
    <col min="6152" max="6152" width="7" bestFit="1" customWidth="1"/>
    <col min="6153" max="6280" width="5" bestFit="1" customWidth="1"/>
    <col min="6401" max="6401" width="19" bestFit="1" customWidth="1"/>
    <col min="6402" max="6402" width="9" bestFit="1" customWidth="1"/>
    <col min="6403" max="6403" width="45" bestFit="1" customWidth="1"/>
    <col min="6404" max="6404" width="11" bestFit="1" customWidth="1"/>
    <col min="6405" max="6406" width="7" bestFit="1" customWidth="1"/>
    <col min="6407" max="6407" width="8" bestFit="1" customWidth="1"/>
    <col min="6408" max="6408" width="7" bestFit="1" customWidth="1"/>
    <col min="6409" max="6536" width="5" bestFit="1" customWidth="1"/>
    <col min="6657" max="6657" width="19" bestFit="1" customWidth="1"/>
    <col min="6658" max="6658" width="9" bestFit="1" customWidth="1"/>
    <col min="6659" max="6659" width="45" bestFit="1" customWidth="1"/>
    <col min="6660" max="6660" width="11" bestFit="1" customWidth="1"/>
    <col min="6661" max="6662" width="7" bestFit="1" customWidth="1"/>
    <col min="6663" max="6663" width="8" bestFit="1" customWidth="1"/>
    <col min="6664" max="6664" width="7" bestFit="1" customWidth="1"/>
    <col min="6665" max="6792" width="5" bestFit="1" customWidth="1"/>
    <col min="6913" max="6913" width="19" bestFit="1" customWidth="1"/>
    <col min="6914" max="6914" width="9" bestFit="1" customWidth="1"/>
    <col min="6915" max="6915" width="45" bestFit="1" customWidth="1"/>
    <col min="6916" max="6916" width="11" bestFit="1" customWidth="1"/>
    <col min="6917" max="6918" width="7" bestFit="1" customWidth="1"/>
    <col min="6919" max="6919" width="8" bestFit="1" customWidth="1"/>
    <col min="6920" max="6920" width="7" bestFit="1" customWidth="1"/>
    <col min="6921" max="7048" width="5" bestFit="1" customWidth="1"/>
    <col min="7169" max="7169" width="19" bestFit="1" customWidth="1"/>
    <col min="7170" max="7170" width="9" bestFit="1" customWidth="1"/>
    <col min="7171" max="7171" width="45" bestFit="1" customWidth="1"/>
    <col min="7172" max="7172" width="11" bestFit="1" customWidth="1"/>
    <col min="7173" max="7174" width="7" bestFit="1" customWidth="1"/>
    <col min="7175" max="7175" width="8" bestFit="1" customWidth="1"/>
    <col min="7176" max="7176" width="7" bestFit="1" customWidth="1"/>
    <col min="7177" max="7304" width="5" bestFit="1" customWidth="1"/>
    <col min="7425" max="7425" width="19" bestFit="1" customWidth="1"/>
    <col min="7426" max="7426" width="9" bestFit="1" customWidth="1"/>
    <col min="7427" max="7427" width="45" bestFit="1" customWidth="1"/>
    <col min="7428" max="7428" width="11" bestFit="1" customWidth="1"/>
    <col min="7429" max="7430" width="7" bestFit="1" customWidth="1"/>
    <col min="7431" max="7431" width="8" bestFit="1" customWidth="1"/>
    <col min="7432" max="7432" width="7" bestFit="1" customWidth="1"/>
    <col min="7433" max="7560" width="5" bestFit="1" customWidth="1"/>
    <col min="7681" max="7681" width="19" bestFit="1" customWidth="1"/>
    <col min="7682" max="7682" width="9" bestFit="1" customWidth="1"/>
    <col min="7683" max="7683" width="45" bestFit="1" customWidth="1"/>
    <col min="7684" max="7684" width="11" bestFit="1" customWidth="1"/>
    <col min="7685" max="7686" width="7" bestFit="1" customWidth="1"/>
    <col min="7687" max="7687" width="8" bestFit="1" customWidth="1"/>
    <col min="7688" max="7688" width="7" bestFit="1" customWidth="1"/>
    <col min="7689" max="7816" width="5" bestFit="1" customWidth="1"/>
    <col min="7937" max="7937" width="19" bestFit="1" customWidth="1"/>
    <col min="7938" max="7938" width="9" bestFit="1" customWidth="1"/>
    <col min="7939" max="7939" width="45" bestFit="1" customWidth="1"/>
    <col min="7940" max="7940" width="11" bestFit="1" customWidth="1"/>
    <col min="7941" max="7942" width="7" bestFit="1" customWidth="1"/>
    <col min="7943" max="7943" width="8" bestFit="1" customWidth="1"/>
    <col min="7944" max="7944" width="7" bestFit="1" customWidth="1"/>
    <col min="7945" max="8072" width="5" bestFit="1" customWidth="1"/>
    <col min="8193" max="8193" width="19" bestFit="1" customWidth="1"/>
    <col min="8194" max="8194" width="9" bestFit="1" customWidth="1"/>
    <col min="8195" max="8195" width="45" bestFit="1" customWidth="1"/>
    <col min="8196" max="8196" width="11" bestFit="1" customWidth="1"/>
    <col min="8197" max="8198" width="7" bestFit="1" customWidth="1"/>
    <col min="8199" max="8199" width="8" bestFit="1" customWidth="1"/>
    <col min="8200" max="8200" width="7" bestFit="1" customWidth="1"/>
    <col min="8201" max="8328" width="5" bestFit="1" customWidth="1"/>
    <col min="8449" max="8449" width="19" bestFit="1" customWidth="1"/>
    <col min="8450" max="8450" width="9" bestFit="1" customWidth="1"/>
    <col min="8451" max="8451" width="45" bestFit="1" customWidth="1"/>
    <col min="8452" max="8452" width="11" bestFit="1" customWidth="1"/>
    <col min="8453" max="8454" width="7" bestFit="1" customWidth="1"/>
    <col min="8455" max="8455" width="8" bestFit="1" customWidth="1"/>
    <col min="8456" max="8456" width="7" bestFit="1" customWidth="1"/>
    <col min="8457" max="8584" width="5" bestFit="1" customWidth="1"/>
    <col min="8705" max="8705" width="19" bestFit="1" customWidth="1"/>
    <col min="8706" max="8706" width="9" bestFit="1" customWidth="1"/>
    <col min="8707" max="8707" width="45" bestFit="1" customWidth="1"/>
    <col min="8708" max="8708" width="11" bestFit="1" customWidth="1"/>
    <col min="8709" max="8710" width="7" bestFit="1" customWidth="1"/>
    <col min="8711" max="8711" width="8" bestFit="1" customWidth="1"/>
    <col min="8712" max="8712" width="7" bestFit="1" customWidth="1"/>
    <col min="8713" max="8840" width="5" bestFit="1" customWidth="1"/>
    <col min="8961" max="8961" width="19" bestFit="1" customWidth="1"/>
    <col min="8962" max="8962" width="9" bestFit="1" customWidth="1"/>
    <col min="8963" max="8963" width="45" bestFit="1" customWidth="1"/>
    <col min="8964" max="8964" width="11" bestFit="1" customWidth="1"/>
    <col min="8965" max="8966" width="7" bestFit="1" customWidth="1"/>
    <col min="8967" max="8967" width="8" bestFit="1" customWidth="1"/>
    <col min="8968" max="8968" width="7" bestFit="1" customWidth="1"/>
    <col min="8969" max="9096" width="5" bestFit="1" customWidth="1"/>
    <col min="9217" max="9217" width="19" bestFit="1" customWidth="1"/>
    <col min="9218" max="9218" width="9" bestFit="1" customWidth="1"/>
    <col min="9219" max="9219" width="45" bestFit="1" customWidth="1"/>
    <col min="9220" max="9220" width="11" bestFit="1" customWidth="1"/>
    <col min="9221" max="9222" width="7" bestFit="1" customWidth="1"/>
    <col min="9223" max="9223" width="8" bestFit="1" customWidth="1"/>
    <col min="9224" max="9224" width="7" bestFit="1" customWidth="1"/>
    <col min="9225" max="9352" width="5" bestFit="1" customWidth="1"/>
    <col min="9473" max="9473" width="19" bestFit="1" customWidth="1"/>
    <col min="9474" max="9474" width="9" bestFit="1" customWidth="1"/>
    <col min="9475" max="9475" width="45" bestFit="1" customWidth="1"/>
    <col min="9476" max="9476" width="11" bestFit="1" customWidth="1"/>
    <col min="9477" max="9478" width="7" bestFit="1" customWidth="1"/>
    <col min="9479" max="9479" width="8" bestFit="1" customWidth="1"/>
    <col min="9480" max="9480" width="7" bestFit="1" customWidth="1"/>
    <col min="9481" max="9608" width="5" bestFit="1" customWidth="1"/>
    <col min="9729" max="9729" width="19" bestFit="1" customWidth="1"/>
    <col min="9730" max="9730" width="9" bestFit="1" customWidth="1"/>
    <col min="9731" max="9731" width="45" bestFit="1" customWidth="1"/>
    <col min="9732" max="9732" width="11" bestFit="1" customWidth="1"/>
    <col min="9733" max="9734" width="7" bestFit="1" customWidth="1"/>
    <col min="9735" max="9735" width="8" bestFit="1" customWidth="1"/>
    <col min="9736" max="9736" width="7" bestFit="1" customWidth="1"/>
    <col min="9737" max="9864" width="5" bestFit="1" customWidth="1"/>
    <col min="9985" max="9985" width="19" bestFit="1" customWidth="1"/>
    <col min="9986" max="9986" width="9" bestFit="1" customWidth="1"/>
    <col min="9987" max="9987" width="45" bestFit="1" customWidth="1"/>
    <col min="9988" max="9988" width="11" bestFit="1" customWidth="1"/>
    <col min="9989" max="9990" width="7" bestFit="1" customWidth="1"/>
    <col min="9991" max="9991" width="8" bestFit="1" customWidth="1"/>
    <col min="9992" max="9992" width="7" bestFit="1" customWidth="1"/>
    <col min="9993" max="10120" width="5" bestFit="1" customWidth="1"/>
    <col min="10241" max="10241" width="19" bestFit="1" customWidth="1"/>
    <col min="10242" max="10242" width="9" bestFit="1" customWidth="1"/>
    <col min="10243" max="10243" width="45" bestFit="1" customWidth="1"/>
    <col min="10244" max="10244" width="11" bestFit="1" customWidth="1"/>
    <col min="10245" max="10246" width="7" bestFit="1" customWidth="1"/>
    <col min="10247" max="10247" width="8" bestFit="1" customWidth="1"/>
    <col min="10248" max="10248" width="7" bestFit="1" customWidth="1"/>
    <col min="10249" max="10376" width="5" bestFit="1" customWidth="1"/>
    <col min="10497" max="10497" width="19" bestFit="1" customWidth="1"/>
    <col min="10498" max="10498" width="9" bestFit="1" customWidth="1"/>
    <col min="10499" max="10499" width="45" bestFit="1" customWidth="1"/>
    <col min="10500" max="10500" width="11" bestFit="1" customWidth="1"/>
    <col min="10501" max="10502" width="7" bestFit="1" customWidth="1"/>
    <col min="10503" max="10503" width="8" bestFit="1" customWidth="1"/>
    <col min="10504" max="10504" width="7" bestFit="1" customWidth="1"/>
    <col min="10505" max="10632" width="5" bestFit="1" customWidth="1"/>
    <col min="10753" max="10753" width="19" bestFit="1" customWidth="1"/>
    <col min="10754" max="10754" width="9" bestFit="1" customWidth="1"/>
    <col min="10755" max="10755" width="45" bestFit="1" customWidth="1"/>
    <col min="10756" max="10756" width="11" bestFit="1" customWidth="1"/>
    <col min="10757" max="10758" width="7" bestFit="1" customWidth="1"/>
    <col min="10759" max="10759" width="8" bestFit="1" customWidth="1"/>
    <col min="10760" max="10760" width="7" bestFit="1" customWidth="1"/>
    <col min="10761" max="10888" width="5" bestFit="1" customWidth="1"/>
    <col min="11009" max="11009" width="19" bestFit="1" customWidth="1"/>
    <col min="11010" max="11010" width="9" bestFit="1" customWidth="1"/>
    <col min="11011" max="11011" width="45" bestFit="1" customWidth="1"/>
    <col min="11012" max="11012" width="11" bestFit="1" customWidth="1"/>
    <col min="11013" max="11014" width="7" bestFit="1" customWidth="1"/>
    <col min="11015" max="11015" width="8" bestFit="1" customWidth="1"/>
    <col min="11016" max="11016" width="7" bestFit="1" customWidth="1"/>
    <col min="11017" max="11144" width="5" bestFit="1" customWidth="1"/>
    <col min="11265" max="11265" width="19" bestFit="1" customWidth="1"/>
    <col min="11266" max="11266" width="9" bestFit="1" customWidth="1"/>
    <col min="11267" max="11267" width="45" bestFit="1" customWidth="1"/>
    <col min="11268" max="11268" width="11" bestFit="1" customWidth="1"/>
    <col min="11269" max="11270" width="7" bestFit="1" customWidth="1"/>
    <col min="11271" max="11271" width="8" bestFit="1" customWidth="1"/>
    <col min="11272" max="11272" width="7" bestFit="1" customWidth="1"/>
    <col min="11273" max="11400" width="5" bestFit="1" customWidth="1"/>
    <col min="11521" max="11521" width="19" bestFit="1" customWidth="1"/>
    <col min="11522" max="11522" width="9" bestFit="1" customWidth="1"/>
    <col min="11523" max="11523" width="45" bestFit="1" customWidth="1"/>
    <col min="11524" max="11524" width="11" bestFit="1" customWidth="1"/>
    <col min="11525" max="11526" width="7" bestFit="1" customWidth="1"/>
    <col min="11527" max="11527" width="8" bestFit="1" customWidth="1"/>
    <col min="11528" max="11528" width="7" bestFit="1" customWidth="1"/>
    <col min="11529" max="11656" width="5" bestFit="1" customWidth="1"/>
    <col min="11777" max="11777" width="19" bestFit="1" customWidth="1"/>
    <col min="11778" max="11778" width="9" bestFit="1" customWidth="1"/>
    <col min="11779" max="11779" width="45" bestFit="1" customWidth="1"/>
    <col min="11780" max="11780" width="11" bestFit="1" customWidth="1"/>
    <col min="11781" max="11782" width="7" bestFit="1" customWidth="1"/>
    <col min="11783" max="11783" width="8" bestFit="1" customWidth="1"/>
    <col min="11784" max="11784" width="7" bestFit="1" customWidth="1"/>
    <col min="11785" max="11912" width="5" bestFit="1" customWidth="1"/>
    <col min="12033" max="12033" width="19" bestFit="1" customWidth="1"/>
    <col min="12034" max="12034" width="9" bestFit="1" customWidth="1"/>
    <col min="12035" max="12035" width="45" bestFit="1" customWidth="1"/>
    <col min="12036" max="12036" width="11" bestFit="1" customWidth="1"/>
    <col min="12037" max="12038" width="7" bestFit="1" customWidth="1"/>
    <col min="12039" max="12039" width="8" bestFit="1" customWidth="1"/>
    <col min="12040" max="12040" width="7" bestFit="1" customWidth="1"/>
    <col min="12041" max="12168" width="5" bestFit="1" customWidth="1"/>
    <col min="12289" max="12289" width="19" bestFit="1" customWidth="1"/>
    <col min="12290" max="12290" width="9" bestFit="1" customWidth="1"/>
    <col min="12291" max="12291" width="45" bestFit="1" customWidth="1"/>
    <col min="12292" max="12292" width="11" bestFit="1" customWidth="1"/>
    <col min="12293" max="12294" width="7" bestFit="1" customWidth="1"/>
    <col min="12295" max="12295" width="8" bestFit="1" customWidth="1"/>
    <col min="12296" max="12296" width="7" bestFit="1" customWidth="1"/>
    <col min="12297" max="12424" width="5" bestFit="1" customWidth="1"/>
    <col min="12545" max="12545" width="19" bestFit="1" customWidth="1"/>
    <col min="12546" max="12546" width="9" bestFit="1" customWidth="1"/>
    <col min="12547" max="12547" width="45" bestFit="1" customWidth="1"/>
    <col min="12548" max="12548" width="11" bestFit="1" customWidth="1"/>
    <col min="12549" max="12550" width="7" bestFit="1" customWidth="1"/>
    <col min="12551" max="12551" width="8" bestFit="1" customWidth="1"/>
    <col min="12552" max="12552" width="7" bestFit="1" customWidth="1"/>
    <col min="12553" max="12680" width="5" bestFit="1" customWidth="1"/>
    <col min="12801" max="12801" width="19" bestFit="1" customWidth="1"/>
    <col min="12802" max="12802" width="9" bestFit="1" customWidth="1"/>
    <col min="12803" max="12803" width="45" bestFit="1" customWidth="1"/>
    <col min="12804" max="12804" width="11" bestFit="1" customWidth="1"/>
    <col min="12805" max="12806" width="7" bestFit="1" customWidth="1"/>
    <col min="12807" max="12807" width="8" bestFit="1" customWidth="1"/>
    <col min="12808" max="12808" width="7" bestFit="1" customWidth="1"/>
    <col min="12809" max="12936" width="5" bestFit="1" customWidth="1"/>
    <col min="13057" max="13057" width="19" bestFit="1" customWidth="1"/>
    <col min="13058" max="13058" width="9" bestFit="1" customWidth="1"/>
    <col min="13059" max="13059" width="45" bestFit="1" customWidth="1"/>
    <col min="13060" max="13060" width="11" bestFit="1" customWidth="1"/>
    <col min="13061" max="13062" width="7" bestFit="1" customWidth="1"/>
    <col min="13063" max="13063" width="8" bestFit="1" customWidth="1"/>
    <col min="13064" max="13064" width="7" bestFit="1" customWidth="1"/>
    <col min="13065" max="13192" width="5" bestFit="1" customWidth="1"/>
    <col min="13313" max="13313" width="19" bestFit="1" customWidth="1"/>
    <col min="13314" max="13314" width="9" bestFit="1" customWidth="1"/>
    <col min="13315" max="13315" width="45" bestFit="1" customWidth="1"/>
    <col min="13316" max="13316" width="11" bestFit="1" customWidth="1"/>
    <col min="13317" max="13318" width="7" bestFit="1" customWidth="1"/>
    <col min="13319" max="13319" width="8" bestFit="1" customWidth="1"/>
    <col min="13320" max="13320" width="7" bestFit="1" customWidth="1"/>
    <col min="13321" max="13448" width="5" bestFit="1" customWidth="1"/>
    <col min="13569" max="13569" width="19" bestFit="1" customWidth="1"/>
    <col min="13570" max="13570" width="9" bestFit="1" customWidth="1"/>
    <col min="13571" max="13571" width="45" bestFit="1" customWidth="1"/>
    <col min="13572" max="13572" width="11" bestFit="1" customWidth="1"/>
    <col min="13573" max="13574" width="7" bestFit="1" customWidth="1"/>
    <col min="13575" max="13575" width="8" bestFit="1" customWidth="1"/>
    <col min="13576" max="13576" width="7" bestFit="1" customWidth="1"/>
    <col min="13577" max="13704" width="5" bestFit="1" customWidth="1"/>
    <col min="13825" max="13825" width="19" bestFit="1" customWidth="1"/>
    <col min="13826" max="13826" width="9" bestFit="1" customWidth="1"/>
    <col min="13827" max="13827" width="45" bestFit="1" customWidth="1"/>
    <col min="13828" max="13828" width="11" bestFit="1" customWidth="1"/>
    <col min="13829" max="13830" width="7" bestFit="1" customWidth="1"/>
    <col min="13831" max="13831" width="8" bestFit="1" customWidth="1"/>
    <col min="13832" max="13832" width="7" bestFit="1" customWidth="1"/>
    <col min="13833" max="13960" width="5" bestFit="1" customWidth="1"/>
    <col min="14081" max="14081" width="19" bestFit="1" customWidth="1"/>
    <col min="14082" max="14082" width="9" bestFit="1" customWidth="1"/>
    <col min="14083" max="14083" width="45" bestFit="1" customWidth="1"/>
    <col min="14084" max="14084" width="11" bestFit="1" customWidth="1"/>
    <col min="14085" max="14086" width="7" bestFit="1" customWidth="1"/>
    <col min="14087" max="14087" width="8" bestFit="1" customWidth="1"/>
    <col min="14088" max="14088" width="7" bestFit="1" customWidth="1"/>
    <col min="14089" max="14216" width="5" bestFit="1" customWidth="1"/>
    <col min="14337" max="14337" width="19" bestFit="1" customWidth="1"/>
    <col min="14338" max="14338" width="9" bestFit="1" customWidth="1"/>
    <col min="14339" max="14339" width="45" bestFit="1" customWidth="1"/>
    <col min="14340" max="14340" width="11" bestFit="1" customWidth="1"/>
    <col min="14341" max="14342" width="7" bestFit="1" customWidth="1"/>
    <col min="14343" max="14343" width="8" bestFit="1" customWidth="1"/>
    <col min="14344" max="14344" width="7" bestFit="1" customWidth="1"/>
    <col min="14345" max="14472" width="5" bestFit="1" customWidth="1"/>
    <col min="14593" max="14593" width="19" bestFit="1" customWidth="1"/>
    <col min="14594" max="14594" width="9" bestFit="1" customWidth="1"/>
    <col min="14595" max="14595" width="45" bestFit="1" customWidth="1"/>
    <col min="14596" max="14596" width="11" bestFit="1" customWidth="1"/>
    <col min="14597" max="14598" width="7" bestFit="1" customWidth="1"/>
    <col min="14599" max="14599" width="8" bestFit="1" customWidth="1"/>
    <col min="14600" max="14600" width="7" bestFit="1" customWidth="1"/>
    <col min="14601" max="14728" width="5" bestFit="1" customWidth="1"/>
    <col min="14849" max="14849" width="19" bestFit="1" customWidth="1"/>
    <col min="14850" max="14850" width="9" bestFit="1" customWidth="1"/>
    <col min="14851" max="14851" width="45" bestFit="1" customWidth="1"/>
    <col min="14852" max="14852" width="11" bestFit="1" customWidth="1"/>
    <col min="14853" max="14854" width="7" bestFit="1" customWidth="1"/>
    <col min="14855" max="14855" width="8" bestFit="1" customWidth="1"/>
    <col min="14856" max="14856" width="7" bestFit="1" customWidth="1"/>
    <col min="14857" max="14984" width="5" bestFit="1" customWidth="1"/>
    <col min="15105" max="15105" width="19" bestFit="1" customWidth="1"/>
    <col min="15106" max="15106" width="9" bestFit="1" customWidth="1"/>
    <col min="15107" max="15107" width="45" bestFit="1" customWidth="1"/>
    <col min="15108" max="15108" width="11" bestFit="1" customWidth="1"/>
    <col min="15109" max="15110" width="7" bestFit="1" customWidth="1"/>
    <col min="15111" max="15111" width="8" bestFit="1" customWidth="1"/>
    <col min="15112" max="15112" width="7" bestFit="1" customWidth="1"/>
    <col min="15113" max="15240" width="5" bestFit="1" customWidth="1"/>
    <col min="15361" max="15361" width="19" bestFit="1" customWidth="1"/>
    <col min="15362" max="15362" width="9" bestFit="1" customWidth="1"/>
    <col min="15363" max="15363" width="45" bestFit="1" customWidth="1"/>
    <col min="15364" max="15364" width="11" bestFit="1" customWidth="1"/>
    <col min="15365" max="15366" width="7" bestFit="1" customWidth="1"/>
    <col min="15367" max="15367" width="8" bestFit="1" customWidth="1"/>
    <col min="15368" max="15368" width="7" bestFit="1" customWidth="1"/>
    <col min="15369" max="15496" width="5" bestFit="1" customWidth="1"/>
    <col min="15617" max="15617" width="19" bestFit="1" customWidth="1"/>
    <col min="15618" max="15618" width="9" bestFit="1" customWidth="1"/>
    <col min="15619" max="15619" width="45" bestFit="1" customWidth="1"/>
    <col min="15620" max="15620" width="11" bestFit="1" customWidth="1"/>
    <col min="15621" max="15622" width="7" bestFit="1" customWidth="1"/>
    <col min="15623" max="15623" width="8" bestFit="1" customWidth="1"/>
    <col min="15624" max="15624" width="7" bestFit="1" customWidth="1"/>
    <col min="15625" max="15752" width="5" bestFit="1" customWidth="1"/>
    <col min="15873" max="15873" width="19" bestFit="1" customWidth="1"/>
    <col min="15874" max="15874" width="9" bestFit="1" customWidth="1"/>
    <col min="15875" max="15875" width="45" bestFit="1" customWidth="1"/>
    <col min="15876" max="15876" width="11" bestFit="1" customWidth="1"/>
    <col min="15877" max="15878" width="7" bestFit="1" customWidth="1"/>
    <col min="15879" max="15879" width="8" bestFit="1" customWidth="1"/>
    <col min="15880" max="15880" width="7" bestFit="1" customWidth="1"/>
    <col min="15881" max="16008" width="5" bestFit="1" customWidth="1"/>
    <col min="16129" max="16129" width="19" bestFit="1" customWidth="1"/>
    <col min="16130" max="16130" width="9" bestFit="1" customWidth="1"/>
    <col min="16131" max="16131" width="45" bestFit="1" customWidth="1"/>
    <col min="16132" max="16132" width="11" bestFit="1" customWidth="1"/>
    <col min="16133" max="16134" width="7" bestFit="1" customWidth="1"/>
    <col min="16135" max="16135" width="8" bestFit="1" customWidth="1"/>
    <col min="16136" max="16136" width="7" bestFit="1" customWidth="1"/>
    <col min="16137" max="16264" width="5" bestFit="1" customWidth="1"/>
  </cols>
  <sheetData>
    <row r="1" spans="1:142" ht="26.4" customHeight="1" x14ac:dyDescent="0.3">
      <c r="A1" s="218" t="s">
        <v>266</v>
      </c>
      <c r="B1" s="244" t="s">
        <v>4</v>
      </c>
      <c r="C1" s="245" t="s">
        <v>267</v>
      </c>
      <c r="D1" s="245" t="s">
        <v>268</v>
      </c>
      <c r="E1" s="246" t="s">
        <v>269</v>
      </c>
      <c r="F1" s="247" t="s">
        <v>270</v>
      </c>
      <c r="G1" s="259" t="s">
        <v>271</v>
      </c>
      <c r="H1" s="258" t="s">
        <v>272</v>
      </c>
      <c r="I1" s="246" t="s">
        <v>494</v>
      </c>
      <c r="J1" s="247" t="s">
        <v>270</v>
      </c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0"/>
      <c r="CV1" s="130"/>
      <c r="CW1" s="130"/>
      <c r="CX1" s="130"/>
      <c r="CY1" s="130"/>
      <c r="CZ1" s="130"/>
      <c r="DA1" s="130"/>
      <c r="DB1" s="130"/>
      <c r="DC1" s="130"/>
      <c r="DD1" s="130"/>
      <c r="DE1" s="130"/>
      <c r="DF1" s="130"/>
      <c r="DG1" s="130"/>
      <c r="DH1" s="130"/>
      <c r="DI1" s="130"/>
      <c r="DJ1" s="130"/>
      <c r="DK1" s="130"/>
      <c r="DL1" s="130"/>
      <c r="DM1" s="130"/>
      <c r="DN1" s="130"/>
      <c r="DO1" s="130"/>
      <c r="DP1" s="130"/>
      <c r="DQ1" s="130"/>
      <c r="DR1" s="130"/>
      <c r="DS1" s="130"/>
      <c r="DT1" s="130"/>
      <c r="DU1" s="130"/>
      <c r="DV1" s="130"/>
      <c r="DW1" s="130"/>
      <c r="DX1" s="130"/>
      <c r="DY1" s="130"/>
      <c r="DZ1" s="130"/>
      <c r="EA1" s="130"/>
      <c r="EB1" s="130"/>
      <c r="EC1" s="130"/>
      <c r="ED1" s="130"/>
      <c r="EE1" s="130"/>
      <c r="EF1" s="130"/>
    </row>
    <row r="2" spans="1:142" ht="15.6" customHeight="1" x14ac:dyDescent="0.3">
      <c r="A2" s="219" t="s">
        <v>273</v>
      </c>
      <c r="B2" s="248" t="s">
        <v>274</v>
      </c>
      <c r="C2" s="249" t="s">
        <v>172</v>
      </c>
      <c r="D2" s="250" t="s">
        <v>171</v>
      </c>
      <c r="E2" s="260">
        <v>2025121601</v>
      </c>
      <c r="F2" s="252">
        <v>6372</v>
      </c>
      <c r="G2" s="130">
        <v>659</v>
      </c>
      <c r="H2" s="271">
        <f>F2-G2</f>
        <v>5713</v>
      </c>
      <c r="I2" s="290">
        <v>2026012701</v>
      </c>
      <c r="J2" s="291">
        <v>4861</v>
      </c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</row>
    <row r="3" spans="1:142" ht="15.6" customHeight="1" x14ac:dyDescent="0.3">
      <c r="A3" s="219" t="s">
        <v>275</v>
      </c>
      <c r="B3" s="248" t="s">
        <v>276</v>
      </c>
      <c r="C3" s="249" t="s">
        <v>172</v>
      </c>
      <c r="D3" s="250" t="s">
        <v>180</v>
      </c>
      <c r="E3" s="260">
        <v>2025121601</v>
      </c>
      <c r="F3" s="252">
        <v>741</v>
      </c>
      <c r="G3" s="130">
        <v>152</v>
      </c>
      <c r="H3" s="271">
        <f>F3-G3</f>
        <v>589</v>
      </c>
      <c r="I3" s="290">
        <v>2026012701</v>
      </c>
      <c r="J3" s="291">
        <v>677</v>
      </c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  <c r="CK3" s="130"/>
      <c r="CL3" s="130"/>
      <c r="CM3" s="130"/>
      <c r="CN3" s="130"/>
      <c r="CO3" s="130"/>
      <c r="CP3" s="130"/>
      <c r="CQ3" s="130"/>
      <c r="CR3" s="130"/>
      <c r="CS3" s="130"/>
      <c r="CT3" s="130"/>
      <c r="CU3" s="130"/>
      <c r="CV3" s="130"/>
      <c r="CW3" s="130"/>
      <c r="CX3" s="130"/>
      <c r="CY3" s="130"/>
      <c r="CZ3" s="130"/>
      <c r="DA3" s="130"/>
      <c r="DB3" s="130"/>
      <c r="DC3" s="130"/>
      <c r="DD3" s="130"/>
      <c r="DE3" s="130"/>
      <c r="DF3" s="130"/>
      <c r="DG3" s="130"/>
      <c r="DH3" s="130"/>
      <c r="DI3" s="130"/>
      <c r="DJ3" s="130"/>
      <c r="DK3" s="130"/>
      <c r="DL3" s="130"/>
      <c r="DM3" s="130"/>
      <c r="DN3" s="130"/>
      <c r="DO3" s="130"/>
      <c r="DP3" s="130"/>
      <c r="DQ3" s="130"/>
      <c r="DR3" s="130"/>
      <c r="DS3" s="130"/>
      <c r="DT3" s="130"/>
      <c r="DU3" s="130"/>
      <c r="DV3" s="130"/>
      <c r="DW3" s="130"/>
      <c r="DX3" s="130"/>
      <c r="DY3" s="130"/>
      <c r="DZ3" s="130"/>
      <c r="EA3" s="130"/>
      <c r="EB3" s="130"/>
      <c r="EC3" s="130"/>
      <c r="ED3" s="130"/>
      <c r="EE3" s="130"/>
      <c r="EF3" s="130"/>
    </row>
    <row r="4" spans="1:142" ht="15.6" customHeight="1" x14ac:dyDescent="0.3">
      <c r="A4" s="219" t="s">
        <v>277</v>
      </c>
      <c r="B4" s="248" t="s">
        <v>278</v>
      </c>
      <c r="C4" s="249" t="s">
        <v>172</v>
      </c>
      <c r="D4" s="250" t="s">
        <v>182</v>
      </c>
      <c r="E4" s="260">
        <v>2025121601</v>
      </c>
      <c r="F4" s="252">
        <v>1407</v>
      </c>
      <c r="G4" s="130">
        <v>140</v>
      </c>
      <c r="H4" s="271">
        <f>F4-G4</f>
        <v>1267</v>
      </c>
      <c r="I4" s="290">
        <v>2026012701</v>
      </c>
      <c r="J4" s="291">
        <v>1258</v>
      </c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  <c r="CK4" s="130"/>
      <c r="CL4" s="130"/>
      <c r="CM4" s="130"/>
      <c r="CN4" s="130"/>
      <c r="CO4" s="130"/>
      <c r="CP4" s="130"/>
      <c r="CQ4" s="130"/>
      <c r="CR4" s="130"/>
      <c r="CS4" s="130"/>
      <c r="CT4" s="130"/>
      <c r="CU4" s="130"/>
      <c r="CV4" s="130"/>
      <c r="CW4" s="130"/>
      <c r="CX4" s="130"/>
      <c r="CY4" s="130"/>
      <c r="CZ4" s="130"/>
      <c r="DA4" s="130"/>
      <c r="DB4" s="130"/>
      <c r="DC4" s="130"/>
      <c r="DD4" s="130"/>
      <c r="DE4" s="130"/>
      <c r="DF4" s="130"/>
      <c r="DG4" s="130"/>
      <c r="DH4" s="130"/>
      <c r="DI4" s="130"/>
      <c r="DJ4" s="130"/>
      <c r="DK4" s="130"/>
      <c r="DL4" s="130"/>
      <c r="DM4" s="130"/>
      <c r="DN4" s="130"/>
      <c r="DO4" s="130"/>
      <c r="DP4" s="130"/>
      <c r="DQ4" s="130"/>
      <c r="DR4" s="130"/>
      <c r="DS4" s="130"/>
      <c r="DT4" s="130"/>
      <c r="DU4" s="130"/>
      <c r="DV4" s="130"/>
      <c r="DW4" s="130"/>
      <c r="DX4" s="130"/>
      <c r="DY4" s="130"/>
      <c r="DZ4" s="130"/>
      <c r="EA4" s="130"/>
      <c r="EB4" s="130"/>
      <c r="EC4" s="130"/>
      <c r="ED4" s="130"/>
      <c r="EE4" s="130"/>
      <c r="EF4" s="130"/>
    </row>
    <row r="5" spans="1:142" ht="15.6" customHeight="1" x14ac:dyDescent="0.3">
      <c r="A5" s="219" t="s">
        <v>279</v>
      </c>
      <c r="B5" s="248" t="s">
        <v>280</v>
      </c>
      <c r="C5" s="249" t="s">
        <v>172</v>
      </c>
      <c r="D5" s="250" t="s">
        <v>188</v>
      </c>
      <c r="E5" s="260">
        <v>2025121601</v>
      </c>
      <c r="F5" s="252">
        <v>2911</v>
      </c>
      <c r="G5" s="130">
        <v>289</v>
      </c>
      <c r="H5" s="271">
        <f>F5-G5</f>
        <v>2622</v>
      </c>
      <c r="I5" s="290">
        <v>2026012701</v>
      </c>
      <c r="J5" s="291">
        <v>1851</v>
      </c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  <c r="CK5" s="130"/>
      <c r="CL5" s="130"/>
      <c r="CM5" s="130"/>
      <c r="CN5" s="130"/>
      <c r="CO5" s="130"/>
      <c r="CP5" s="130"/>
      <c r="CQ5" s="130"/>
      <c r="CR5" s="130"/>
      <c r="CS5" s="130"/>
      <c r="CT5" s="130"/>
      <c r="CU5" s="130"/>
      <c r="CV5" s="130"/>
      <c r="CW5" s="130"/>
      <c r="CX5" s="130"/>
      <c r="CY5" s="130"/>
      <c r="CZ5" s="130"/>
      <c r="DA5" s="130"/>
      <c r="DB5" s="130"/>
      <c r="DC5" s="130"/>
      <c r="DD5" s="130"/>
      <c r="DE5" s="130"/>
      <c r="DF5" s="130"/>
      <c r="DG5" s="130"/>
      <c r="DH5" s="130"/>
      <c r="DI5" s="130"/>
      <c r="DJ5" s="130"/>
      <c r="DK5" s="130"/>
      <c r="DL5" s="130"/>
      <c r="DM5" s="130"/>
      <c r="DN5" s="130"/>
      <c r="DO5" s="130"/>
      <c r="DP5" s="130"/>
      <c r="DQ5" s="130"/>
      <c r="DR5" s="130"/>
      <c r="DS5" s="130"/>
      <c r="DT5" s="130"/>
      <c r="DU5" s="130"/>
      <c r="DV5" s="130"/>
      <c r="DW5" s="130"/>
      <c r="DX5" s="130"/>
      <c r="DY5" s="130"/>
      <c r="DZ5" s="130"/>
      <c r="EA5" s="130"/>
      <c r="EB5" s="130"/>
      <c r="EC5" s="130"/>
      <c r="ED5" s="130"/>
      <c r="EE5" s="130"/>
      <c r="EF5" s="130"/>
    </row>
    <row r="6" spans="1:142" hidden="1" x14ac:dyDescent="0.3">
      <c r="A6" s="219" t="s">
        <v>281</v>
      </c>
      <c r="B6" s="133" t="s">
        <v>282</v>
      </c>
      <c r="C6" s="251"/>
      <c r="D6" s="251"/>
      <c r="E6" s="251"/>
      <c r="F6" s="251"/>
      <c r="G6" s="251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  <c r="CK6" s="130"/>
      <c r="CL6" s="130"/>
      <c r="CM6" s="130"/>
      <c r="CN6" s="130"/>
      <c r="CO6" s="130"/>
      <c r="CP6" s="130"/>
      <c r="CQ6" s="130"/>
      <c r="CR6" s="130"/>
      <c r="CS6" s="130"/>
      <c r="CT6" s="130"/>
      <c r="CU6" s="130"/>
      <c r="CV6" s="130"/>
      <c r="CW6" s="130"/>
      <c r="CX6" s="130"/>
      <c r="CY6" s="130"/>
      <c r="CZ6" s="130"/>
      <c r="DA6" s="130"/>
      <c r="DB6" s="130"/>
      <c r="DC6" s="130"/>
      <c r="DD6" s="130"/>
      <c r="DE6" s="130"/>
      <c r="DF6" s="130"/>
      <c r="DG6" s="130"/>
      <c r="DH6" s="130"/>
      <c r="DI6" s="130"/>
      <c r="DJ6" s="130"/>
      <c r="DK6" s="130"/>
      <c r="DL6" s="130"/>
      <c r="DM6" s="130"/>
      <c r="DN6" s="130"/>
      <c r="DO6" s="130"/>
      <c r="DP6" s="130"/>
      <c r="DQ6" s="130"/>
      <c r="DR6" s="130"/>
      <c r="DS6" s="130"/>
      <c r="DT6" s="130"/>
      <c r="DU6" s="130"/>
      <c r="DV6" s="130"/>
      <c r="DW6" s="130"/>
      <c r="DX6" s="130"/>
      <c r="DY6" s="130"/>
      <c r="DZ6" s="130"/>
      <c r="EA6" s="130"/>
      <c r="EB6" s="130"/>
      <c r="EC6" s="130"/>
      <c r="ED6" s="130"/>
      <c r="EE6" s="130"/>
      <c r="EF6" s="130"/>
    </row>
    <row r="7" spans="1:142" hidden="1" x14ac:dyDescent="0.3">
      <c r="A7" s="219" t="s">
        <v>283</v>
      </c>
      <c r="B7" s="133" t="s">
        <v>284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  <c r="CK7" s="130"/>
      <c r="CL7" s="130"/>
      <c r="CM7" s="130"/>
      <c r="CN7" s="130"/>
      <c r="CO7" s="130"/>
      <c r="CP7" s="130"/>
      <c r="CQ7" s="130"/>
      <c r="CR7" s="130"/>
      <c r="CS7" s="130"/>
      <c r="CT7" s="130"/>
      <c r="CU7" s="130"/>
      <c r="CV7" s="130"/>
      <c r="CW7" s="130"/>
      <c r="CX7" s="130"/>
      <c r="CY7" s="130"/>
      <c r="CZ7" s="130"/>
      <c r="DA7" s="130"/>
      <c r="DB7" s="130"/>
      <c r="DC7" s="130"/>
      <c r="DD7" s="130"/>
      <c r="DE7" s="130"/>
      <c r="DF7" s="130"/>
      <c r="DG7" s="130"/>
      <c r="DH7" s="130"/>
      <c r="DI7" s="130"/>
      <c r="DJ7" s="130"/>
      <c r="DK7" s="130"/>
      <c r="DL7" s="130"/>
      <c r="DM7" s="130"/>
      <c r="DN7" s="130"/>
      <c r="DO7" s="130"/>
      <c r="DP7" s="130"/>
      <c r="DQ7" s="130"/>
      <c r="DR7" s="130"/>
      <c r="DS7" s="130"/>
      <c r="DT7" s="130"/>
      <c r="DU7" s="130"/>
      <c r="DV7" s="130"/>
      <c r="DW7" s="130"/>
      <c r="DX7" s="130"/>
      <c r="DY7" s="130"/>
      <c r="DZ7" s="130"/>
      <c r="EA7" s="130"/>
      <c r="EB7" s="130"/>
      <c r="EC7" s="130"/>
      <c r="ED7" s="130"/>
      <c r="EE7" s="130"/>
      <c r="EF7" s="130"/>
    </row>
    <row r="8" spans="1:142" hidden="1" x14ac:dyDescent="0.3">
      <c r="A8" s="219" t="s">
        <v>285</v>
      </c>
      <c r="B8" s="133" t="s">
        <v>286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  <c r="CK8" s="130"/>
      <c r="CL8" s="130"/>
      <c r="CM8" s="130"/>
      <c r="CN8" s="130"/>
      <c r="CO8" s="130"/>
      <c r="CP8" s="130"/>
      <c r="CQ8" s="130"/>
      <c r="CR8" s="130"/>
      <c r="CS8" s="130"/>
      <c r="CT8" s="130"/>
      <c r="CU8" s="130"/>
      <c r="CV8" s="130"/>
      <c r="CW8" s="130"/>
      <c r="CX8" s="130"/>
      <c r="CY8" s="130"/>
      <c r="CZ8" s="130"/>
      <c r="DA8" s="130"/>
      <c r="DB8" s="130"/>
      <c r="DC8" s="130"/>
      <c r="DD8" s="130"/>
      <c r="DE8" s="130"/>
      <c r="DF8" s="130"/>
      <c r="DG8" s="130"/>
      <c r="DH8" s="130"/>
      <c r="DI8" s="130"/>
      <c r="DJ8" s="130"/>
      <c r="DK8" s="130"/>
      <c r="DL8" s="130"/>
      <c r="DM8" s="130"/>
      <c r="DN8" s="130"/>
      <c r="DO8" s="130"/>
      <c r="DP8" s="130"/>
      <c r="DQ8" s="130"/>
      <c r="DR8" s="130"/>
      <c r="DS8" s="130"/>
      <c r="DT8" s="130"/>
      <c r="DU8" s="130"/>
      <c r="DV8" s="130"/>
      <c r="DW8" s="130"/>
      <c r="DX8" s="130"/>
      <c r="DY8" s="130"/>
      <c r="DZ8" s="130"/>
      <c r="EA8" s="130"/>
      <c r="EB8" s="130"/>
      <c r="EC8" s="130"/>
      <c r="ED8" s="130"/>
      <c r="EE8" s="130"/>
      <c r="EF8" s="130"/>
    </row>
    <row r="9" spans="1:142" hidden="1" x14ac:dyDescent="0.3">
      <c r="A9" s="219" t="s">
        <v>287</v>
      </c>
      <c r="B9" s="133" t="s">
        <v>288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  <c r="CK9" s="130"/>
      <c r="CL9" s="130"/>
      <c r="CM9" s="130"/>
      <c r="CN9" s="130"/>
      <c r="CO9" s="130"/>
      <c r="CP9" s="130"/>
      <c r="CQ9" s="130"/>
      <c r="CR9" s="130"/>
      <c r="CS9" s="130"/>
      <c r="CT9" s="130"/>
      <c r="CU9" s="130"/>
      <c r="CV9" s="130"/>
      <c r="CW9" s="130"/>
      <c r="CX9" s="130"/>
      <c r="CY9" s="130"/>
      <c r="CZ9" s="130"/>
      <c r="DA9" s="130"/>
      <c r="DB9" s="130"/>
      <c r="DC9" s="130"/>
      <c r="DD9" s="130"/>
      <c r="DE9" s="130"/>
      <c r="DF9" s="130"/>
      <c r="DG9" s="130"/>
      <c r="DH9" s="130"/>
      <c r="DI9" s="130"/>
      <c r="DJ9" s="130"/>
      <c r="DK9" s="130"/>
      <c r="DL9" s="130"/>
      <c r="DM9" s="130"/>
      <c r="DN9" s="130"/>
      <c r="DO9" s="130"/>
      <c r="DP9" s="130"/>
      <c r="DQ9" s="130"/>
      <c r="DR9" s="130"/>
      <c r="DS9" s="130"/>
      <c r="DT9" s="130"/>
      <c r="DU9" s="130"/>
      <c r="DV9" s="130"/>
      <c r="DW9" s="130"/>
      <c r="DX9" s="130"/>
      <c r="DY9" s="130"/>
      <c r="DZ9" s="130"/>
      <c r="EA9" s="130"/>
      <c r="EB9" s="130"/>
      <c r="EC9" s="130"/>
      <c r="ED9" s="130"/>
      <c r="EE9" s="130"/>
      <c r="EF9" s="130"/>
    </row>
    <row r="10" spans="1:142" hidden="1" x14ac:dyDescent="0.3">
      <c r="A10" s="219" t="s">
        <v>289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  <c r="CK10" s="130"/>
      <c r="CL10" s="130"/>
      <c r="CM10" s="130"/>
      <c r="CN10" s="130"/>
      <c r="CO10" s="130"/>
      <c r="CP10" s="130"/>
      <c r="CQ10" s="130"/>
      <c r="CR10" s="130"/>
      <c r="CS10" s="130"/>
      <c r="CT10" s="130"/>
      <c r="CU10" s="130"/>
      <c r="CV10" s="130"/>
      <c r="CW10" s="130"/>
      <c r="CX10" s="130"/>
      <c r="CY10" s="130"/>
      <c r="CZ10" s="130"/>
      <c r="DA10" s="130"/>
      <c r="DB10" s="130"/>
      <c r="DC10" s="130"/>
      <c r="DD10" s="130"/>
      <c r="DE10" s="130"/>
      <c r="DF10" s="130"/>
      <c r="DG10" s="130"/>
      <c r="DH10" s="130"/>
      <c r="DI10" s="130"/>
      <c r="DJ10" s="130"/>
      <c r="DK10" s="130"/>
      <c r="DL10" s="130"/>
      <c r="DM10" s="130"/>
      <c r="DN10" s="130"/>
      <c r="DO10" s="130"/>
      <c r="DP10" s="130"/>
      <c r="DQ10" s="130"/>
      <c r="DR10" s="130"/>
      <c r="DS10" s="130"/>
      <c r="DT10" s="130"/>
      <c r="DU10" s="130"/>
      <c r="DV10" s="130"/>
      <c r="DW10" s="130"/>
      <c r="DX10" s="130"/>
      <c r="DY10" s="130"/>
      <c r="DZ10" s="130"/>
      <c r="EA10" s="130"/>
      <c r="EB10" s="130"/>
      <c r="EC10" s="130"/>
      <c r="ED10" s="130"/>
      <c r="EE10" s="130"/>
      <c r="EF10" s="130"/>
    </row>
    <row r="11" spans="1:142" hidden="1" x14ac:dyDescent="0.3">
      <c r="A11" s="218" t="s">
        <v>290</v>
      </c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  <c r="CK11" s="130"/>
      <c r="CL11" s="130"/>
      <c r="CM11" s="130"/>
      <c r="CN11" s="130"/>
      <c r="CO11" s="130"/>
      <c r="CP11" s="130"/>
      <c r="CQ11" s="130"/>
      <c r="CR11" s="130"/>
      <c r="CS11" s="130"/>
      <c r="CT11" s="130"/>
      <c r="CU11" s="130"/>
      <c r="CV11" s="130"/>
      <c r="CW11" s="130"/>
      <c r="CX11" s="130"/>
      <c r="CY11" s="130"/>
      <c r="CZ11" s="130"/>
      <c r="DA11" s="130"/>
      <c r="DB11" s="130"/>
      <c r="DC11" s="130"/>
      <c r="DD11" s="130"/>
      <c r="DE11" s="130"/>
      <c r="DF11" s="130"/>
      <c r="DG11" s="130"/>
      <c r="DH11" s="130"/>
      <c r="DI11" s="130"/>
      <c r="DJ11" s="130"/>
      <c r="DK11" s="130"/>
      <c r="DL11" s="130"/>
      <c r="DM11" s="130"/>
      <c r="DN11" s="130"/>
      <c r="DO11" s="130"/>
      <c r="DP11" s="130"/>
      <c r="DQ11" s="130"/>
      <c r="DR11" s="130"/>
      <c r="DS11" s="130"/>
      <c r="DT11" s="130"/>
      <c r="DU11" s="130"/>
      <c r="DV11" s="130"/>
      <c r="DW11" s="130"/>
      <c r="DX11" s="130"/>
      <c r="DY11" s="130"/>
      <c r="DZ11" s="130"/>
      <c r="EA11" s="130"/>
      <c r="EB11" s="130"/>
      <c r="EC11" s="130"/>
      <c r="ED11" s="130"/>
      <c r="EE11" s="130"/>
      <c r="EF11" s="130"/>
    </row>
    <row r="12" spans="1:142" x14ac:dyDescent="0.3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1" t="s">
        <v>291</v>
      </c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1" t="s">
        <v>140</v>
      </c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  <c r="CK12" s="131" t="s">
        <v>141</v>
      </c>
      <c r="CL12" s="130"/>
      <c r="CM12" s="130"/>
      <c r="CN12" s="130"/>
      <c r="CO12" s="130"/>
      <c r="CP12" s="130"/>
      <c r="CQ12" s="130"/>
      <c r="CR12" s="130"/>
      <c r="CS12" s="130"/>
      <c r="CT12" s="130"/>
      <c r="CU12" s="130"/>
      <c r="CV12" s="130"/>
      <c r="CW12" s="130"/>
      <c r="CX12" s="130"/>
      <c r="CY12" s="130"/>
      <c r="CZ12" s="130"/>
      <c r="DA12" s="130"/>
      <c r="DB12" s="130"/>
      <c r="DC12" s="130"/>
      <c r="DD12" s="130"/>
      <c r="DE12" s="130"/>
      <c r="DF12" s="130"/>
      <c r="DG12" s="130"/>
      <c r="DH12" s="130"/>
      <c r="DI12" s="130"/>
      <c r="DJ12" s="130"/>
      <c r="DK12" s="130"/>
      <c r="DL12" s="130"/>
      <c r="DM12" s="130"/>
      <c r="DN12" s="130"/>
      <c r="DO12" s="130"/>
      <c r="DP12" s="130"/>
      <c r="DQ12" s="131" t="s">
        <v>142</v>
      </c>
      <c r="DR12" s="130"/>
      <c r="DS12" s="130"/>
      <c r="DT12" s="130"/>
      <c r="DU12" s="130"/>
      <c r="DV12" s="130"/>
      <c r="DW12" s="130"/>
      <c r="DX12" s="130"/>
      <c r="DY12" s="130"/>
      <c r="DZ12" s="130"/>
      <c r="EA12" s="130"/>
      <c r="EB12" s="130"/>
      <c r="EC12" s="130"/>
      <c r="ED12" s="130"/>
      <c r="EE12" s="130"/>
      <c r="EF12" s="130"/>
    </row>
    <row r="13" spans="1:142" x14ac:dyDescent="0.3">
      <c r="A13" s="158" t="s">
        <v>292</v>
      </c>
      <c r="B13" s="158" t="s">
        <v>293</v>
      </c>
      <c r="C13" s="158" t="s">
        <v>294</v>
      </c>
      <c r="D13" s="158" t="s">
        <v>295</v>
      </c>
      <c r="E13" s="158" t="s">
        <v>296</v>
      </c>
      <c r="F13" s="158" t="s">
        <v>297</v>
      </c>
      <c r="G13" s="158" t="s">
        <v>298</v>
      </c>
      <c r="H13" s="158" t="s">
        <v>299</v>
      </c>
      <c r="I13" s="158" t="s">
        <v>300</v>
      </c>
      <c r="J13" s="158" t="s">
        <v>301</v>
      </c>
      <c r="K13" s="158" t="s">
        <v>302</v>
      </c>
      <c r="L13" s="158" t="s">
        <v>303</v>
      </c>
      <c r="M13" s="158" t="s">
        <v>304</v>
      </c>
      <c r="N13" s="158" t="s">
        <v>305</v>
      </c>
      <c r="O13" s="158" t="s">
        <v>306</v>
      </c>
      <c r="P13" s="158" t="s">
        <v>307</v>
      </c>
      <c r="Q13" s="158" t="s">
        <v>308</v>
      </c>
      <c r="R13" s="158" t="s">
        <v>309</v>
      </c>
      <c r="S13" s="158" t="s">
        <v>310</v>
      </c>
      <c r="T13" s="158" t="s">
        <v>311</v>
      </c>
      <c r="U13" s="158" t="s">
        <v>312</v>
      </c>
      <c r="V13" s="158" t="s">
        <v>313</v>
      </c>
      <c r="W13" s="158" t="s">
        <v>314</v>
      </c>
      <c r="X13" s="158" t="s">
        <v>315</v>
      </c>
      <c r="Y13" s="158" t="s">
        <v>316</v>
      </c>
      <c r="Z13" s="158" t="s">
        <v>317</v>
      </c>
      <c r="AA13" s="158" t="s">
        <v>318</v>
      </c>
      <c r="AB13" s="158" t="s">
        <v>319</v>
      </c>
      <c r="AC13" s="158" t="s">
        <v>320</v>
      </c>
      <c r="AD13" s="158" t="s">
        <v>321</v>
      </c>
      <c r="AE13" s="158" t="s">
        <v>322</v>
      </c>
      <c r="AF13" s="158" t="s">
        <v>323</v>
      </c>
      <c r="AG13" s="158" t="s">
        <v>324</v>
      </c>
      <c r="AH13" s="158" t="s">
        <v>325</v>
      </c>
      <c r="AI13" s="158" t="s">
        <v>326</v>
      </c>
      <c r="AJ13" s="158" t="s">
        <v>327</v>
      </c>
      <c r="AK13" s="158" t="s">
        <v>328</v>
      </c>
      <c r="AL13" s="158" t="s">
        <v>329</v>
      </c>
      <c r="AM13" s="158" t="s">
        <v>330</v>
      </c>
      <c r="AN13" s="158" t="s">
        <v>291</v>
      </c>
      <c r="AO13" s="158" t="s">
        <v>300</v>
      </c>
      <c r="AP13" s="158" t="s">
        <v>301</v>
      </c>
      <c r="AQ13" s="158" t="s">
        <v>302</v>
      </c>
      <c r="AR13" s="158" t="s">
        <v>303</v>
      </c>
      <c r="AS13" s="158" t="s">
        <v>304</v>
      </c>
      <c r="AT13" s="158" t="s">
        <v>305</v>
      </c>
      <c r="AU13" s="158" t="s">
        <v>306</v>
      </c>
      <c r="AV13" s="158" t="s">
        <v>307</v>
      </c>
      <c r="AW13" s="158" t="s">
        <v>308</v>
      </c>
      <c r="AX13" s="158" t="s">
        <v>309</v>
      </c>
      <c r="AY13" s="158" t="s">
        <v>310</v>
      </c>
      <c r="AZ13" s="158" t="s">
        <v>311</v>
      </c>
      <c r="BA13" s="158" t="s">
        <v>312</v>
      </c>
      <c r="BB13" s="158" t="s">
        <v>313</v>
      </c>
      <c r="BC13" s="158" t="s">
        <v>314</v>
      </c>
      <c r="BD13" s="158" t="s">
        <v>315</v>
      </c>
      <c r="BE13" s="158" t="s">
        <v>316</v>
      </c>
      <c r="BF13" s="158" t="s">
        <v>317</v>
      </c>
      <c r="BG13" s="158" t="s">
        <v>318</v>
      </c>
      <c r="BH13" s="158" t="s">
        <v>319</v>
      </c>
      <c r="BI13" s="158" t="s">
        <v>320</v>
      </c>
      <c r="BJ13" s="158" t="s">
        <v>321</v>
      </c>
      <c r="BK13" s="158" t="s">
        <v>322</v>
      </c>
      <c r="BL13" s="158" t="s">
        <v>323</v>
      </c>
      <c r="BM13" s="158" t="s">
        <v>324</v>
      </c>
      <c r="BN13" s="158" t="s">
        <v>325</v>
      </c>
      <c r="BO13" s="158" t="s">
        <v>326</v>
      </c>
      <c r="BP13" s="158" t="s">
        <v>327</v>
      </c>
      <c r="BQ13" s="158" t="s">
        <v>328</v>
      </c>
      <c r="BR13" s="158" t="s">
        <v>329</v>
      </c>
      <c r="BS13" s="158" t="s">
        <v>330</v>
      </c>
      <c r="BT13" s="158" t="s">
        <v>140</v>
      </c>
      <c r="BU13" s="158" t="s">
        <v>300</v>
      </c>
      <c r="BV13" s="158" t="s">
        <v>301</v>
      </c>
      <c r="BW13" s="158" t="s">
        <v>302</v>
      </c>
      <c r="BX13" s="158" t="s">
        <v>303</v>
      </c>
      <c r="BY13" s="158" t="s">
        <v>304</v>
      </c>
      <c r="BZ13" s="158" t="s">
        <v>305</v>
      </c>
      <c r="CA13" s="158" t="s">
        <v>306</v>
      </c>
      <c r="CB13" s="158" t="s">
        <v>307</v>
      </c>
      <c r="CC13" s="158" t="s">
        <v>308</v>
      </c>
      <c r="CD13" s="158" t="s">
        <v>309</v>
      </c>
      <c r="CE13" s="158" t="s">
        <v>310</v>
      </c>
      <c r="CF13" s="158" t="s">
        <v>311</v>
      </c>
      <c r="CG13" s="158" t="s">
        <v>312</v>
      </c>
      <c r="CH13" s="158" t="s">
        <v>313</v>
      </c>
      <c r="CI13" s="158" t="s">
        <v>314</v>
      </c>
      <c r="CJ13" s="158" t="s">
        <v>315</v>
      </c>
      <c r="CK13" s="158" t="s">
        <v>316</v>
      </c>
      <c r="CL13" s="158" t="s">
        <v>317</v>
      </c>
      <c r="CM13" s="158" t="s">
        <v>318</v>
      </c>
      <c r="CN13" s="158" t="s">
        <v>319</v>
      </c>
      <c r="CO13" s="158" t="s">
        <v>320</v>
      </c>
      <c r="CP13" s="158" t="s">
        <v>321</v>
      </c>
      <c r="CQ13" s="158" t="s">
        <v>322</v>
      </c>
      <c r="CR13" s="158" t="s">
        <v>323</v>
      </c>
      <c r="CS13" s="158" t="s">
        <v>324</v>
      </c>
      <c r="CT13" s="158" t="s">
        <v>325</v>
      </c>
      <c r="CU13" s="158" t="s">
        <v>326</v>
      </c>
      <c r="CV13" s="158" t="s">
        <v>327</v>
      </c>
      <c r="CW13" s="158" t="s">
        <v>328</v>
      </c>
      <c r="CX13" s="158" t="s">
        <v>329</v>
      </c>
      <c r="CY13" s="158" t="s">
        <v>330</v>
      </c>
      <c r="CZ13" s="158" t="s">
        <v>141</v>
      </c>
      <c r="DA13" s="158" t="s">
        <v>300</v>
      </c>
      <c r="DB13" s="158" t="s">
        <v>301</v>
      </c>
      <c r="DC13" s="158" t="s">
        <v>302</v>
      </c>
      <c r="DD13" s="158" t="s">
        <v>303</v>
      </c>
      <c r="DE13" s="158" t="s">
        <v>304</v>
      </c>
      <c r="DF13" s="158" t="s">
        <v>305</v>
      </c>
      <c r="DG13" s="158" t="s">
        <v>306</v>
      </c>
      <c r="DH13" s="158" t="s">
        <v>307</v>
      </c>
      <c r="DI13" s="158" t="s">
        <v>308</v>
      </c>
      <c r="DJ13" s="158" t="s">
        <v>309</v>
      </c>
      <c r="DK13" s="158" t="s">
        <v>310</v>
      </c>
      <c r="DL13" s="158" t="s">
        <v>311</v>
      </c>
      <c r="DM13" s="158" t="s">
        <v>312</v>
      </c>
      <c r="DN13" s="158" t="s">
        <v>313</v>
      </c>
      <c r="DO13" s="158" t="s">
        <v>314</v>
      </c>
      <c r="DP13" s="158" t="s">
        <v>315</v>
      </c>
      <c r="DQ13" s="158" t="s">
        <v>316</v>
      </c>
      <c r="DR13" s="158" t="s">
        <v>317</v>
      </c>
      <c r="DS13" s="158" t="s">
        <v>318</v>
      </c>
      <c r="DT13" s="158" t="s">
        <v>319</v>
      </c>
      <c r="DU13" s="158" t="s">
        <v>320</v>
      </c>
      <c r="DV13" s="158" t="s">
        <v>321</v>
      </c>
      <c r="DW13" s="158" t="s">
        <v>322</v>
      </c>
      <c r="DX13" s="158" t="s">
        <v>323</v>
      </c>
      <c r="DY13" s="158" t="s">
        <v>324</v>
      </c>
      <c r="DZ13" s="158" t="s">
        <v>325</v>
      </c>
      <c r="EA13" s="158" t="s">
        <v>326</v>
      </c>
      <c r="EB13" s="158" t="s">
        <v>327</v>
      </c>
      <c r="EC13" s="158" t="s">
        <v>328</v>
      </c>
      <c r="ED13" s="158" t="s">
        <v>329</v>
      </c>
      <c r="EE13" s="158" t="s">
        <v>330</v>
      </c>
      <c r="EF13" s="158" t="s">
        <v>142</v>
      </c>
    </row>
    <row r="14" spans="1:142" x14ac:dyDescent="0.3">
      <c r="A14" s="115" t="s">
        <v>149</v>
      </c>
      <c r="B14" s="115" t="s">
        <v>171</v>
      </c>
      <c r="C14" s="115" t="s">
        <v>172</v>
      </c>
      <c r="D14" s="115" t="s">
        <v>331</v>
      </c>
      <c r="E14" s="115" t="s">
        <v>332</v>
      </c>
      <c r="F14" s="115" t="s">
        <v>173</v>
      </c>
      <c r="G14" s="115" t="s">
        <v>153</v>
      </c>
      <c r="H14" s="116">
        <v>25</v>
      </c>
      <c r="I14" s="116">
        <v>0</v>
      </c>
      <c r="J14" s="116">
        <v>87</v>
      </c>
      <c r="K14" s="116">
        <v>85</v>
      </c>
      <c r="L14" s="116">
        <v>79</v>
      </c>
      <c r="M14" s="116">
        <v>83</v>
      </c>
      <c r="N14" s="116">
        <v>83</v>
      </c>
      <c r="O14" s="116">
        <v>0</v>
      </c>
      <c r="P14" s="116">
        <v>0</v>
      </c>
      <c r="Q14" s="116">
        <v>88</v>
      </c>
      <c r="R14" s="116">
        <v>89</v>
      </c>
      <c r="S14" s="116">
        <v>88</v>
      </c>
      <c r="T14" s="116">
        <v>92</v>
      </c>
      <c r="U14" s="116">
        <v>90</v>
      </c>
      <c r="V14" s="116">
        <v>77</v>
      </c>
      <c r="W14" s="116">
        <v>0</v>
      </c>
      <c r="X14" s="116">
        <v>91</v>
      </c>
      <c r="Y14" s="116">
        <v>91</v>
      </c>
      <c r="Z14" s="116">
        <v>88</v>
      </c>
      <c r="AA14" s="116">
        <v>93</v>
      </c>
      <c r="AB14" s="116">
        <v>85</v>
      </c>
      <c r="AC14" s="116">
        <v>0</v>
      </c>
      <c r="AD14" s="116">
        <v>0</v>
      </c>
      <c r="AE14" s="116">
        <v>85</v>
      </c>
      <c r="AF14" s="116">
        <v>89</v>
      </c>
      <c r="AG14" s="116">
        <v>76</v>
      </c>
      <c r="AH14" s="116">
        <v>84</v>
      </c>
      <c r="AI14" s="116">
        <v>84</v>
      </c>
      <c r="AJ14" s="116">
        <v>84</v>
      </c>
      <c r="AK14" s="116">
        <v>0</v>
      </c>
      <c r="AL14" s="116">
        <v>0</v>
      </c>
      <c r="AM14" s="116">
        <v>0</v>
      </c>
      <c r="AN14" s="116">
        <v>1891</v>
      </c>
      <c r="AO14" s="116">
        <v>0</v>
      </c>
      <c r="AP14" s="116">
        <v>0</v>
      </c>
      <c r="AQ14" s="116">
        <v>0</v>
      </c>
      <c r="AR14" s="116">
        <v>83</v>
      </c>
      <c r="AS14" s="116">
        <v>84</v>
      </c>
      <c r="AT14" s="116">
        <v>83</v>
      </c>
      <c r="AU14" s="116">
        <v>39</v>
      </c>
      <c r="AV14" s="116">
        <v>0</v>
      </c>
      <c r="AW14" s="116">
        <v>79</v>
      </c>
      <c r="AX14" s="116">
        <v>79</v>
      </c>
      <c r="AY14" s="116">
        <v>79</v>
      </c>
      <c r="AZ14" s="116">
        <v>80</v>
      </c>
      <c r="BA14" s="116">
        <v>70</v>
      </c>
      <c r="BB14" s="116">
        <v>65</v>
      </c>
      <c r="BC14" s="116">
        <v>0</v>
      </c>
      <c r="BD14" s="116">
        <v>77</v>
      </c>
      <c r="BE14" s="116">
        <v>80</v>
      </c>
      <c r="BF14" s="116">
        <v>67</v>
      </c>
      <c r="BG14" s="116">
        <v>77</v>
      </c>
      <c r="BH14" s="116">
        <v>76</v>
      </c>
      <c r="BI14" s="116">
        <v>73</v>
      </c>
      <c r="BJ14" s="116">
        <v>0</v>
      </c>
      <c r="BK14" s="116">
        <v>72</v>
      </c>
      <c r="BL14" s="116">
        <v>69</v>
      </c>
      <c r="BM14" s="116">
        <v>55</v>
      </c>
      <c r="BN14" s="116">
        <v>68</v>
      </c>
      <c r="BO14" s="116">
        <v>61</v>
      </c>
      <c r="BP14" s="116">
        <v>49</v>
      </c>
      <c r="BQ14" s="116">
        <v>0</v>
      </c>
      <c r="BR14" s="116">
        <v>61</v>
      </c>
      <c r="BS14" s="116">
        <v>51</v>
      </c>
      <c r="BT14" s="116">
        <v>1677</v>
      </c>
      <c r="BU14" s="116">
        <v>50</v>
      </c>
      <c r="BV14" s="116">
        <v>50</v>
      </c>
      <c r="BW14" s="116">
        <v>50</v>
      </c>
      <c r="BX14" s="116">
        <v>25</v>
      </c>
      <c r="BY14" s="116">
        <v>0</v>
      </c>
      <c r="BZ14" s="116">
        <v>50</v>
      </c>
      <c r="CA14" s="116">
        <v>50</v>
      </c>
      <c r="CB14" s="116">
        <v>50</v>
      </c>
      <c r="CC14" s="116">
        <v>50</v>
      </c>
      <c r="CD14" s="116">
        <v>49</v>
      </c>
      <c r="CE14" s="116">
        <v>0</v>
      </c>
      <c r="CF14" s="116">
        <v>0</v>
      </c>
      <c r="CG14" s="116">
        <v>0</v>
      </c>
      <c r="CH14" s="116">
        <v>0</v>
      </c>
      <c r="CI14" s="116">
        <v>0</v>
      </c>
      <c r="CJ14" s="116">
        <v>0</v>
      </c>
      <c r="CK14" s="116">
        <v>0</v>
      </c>
      <c r="CL14" s="116">
        <v>0</v>
      </c>
      <c r="CM14" s="116">
        <v>0</v>
      </c>
      <c r="CN14" s="116">
        <v>50</v>
      </c>
      <c r="CO14" s="116">
        <v>49</v>
      </c>
      <c r="CP14" s="116">
        <v>50</v>
      </c>
      <c r="CQ14" s="116">
        <v>49</v>
      </c>
      <c r="CR14" s="116">
        <v>50</v>
      </c>
      <c r="CS14" s="116">
        <v>49</v>
      </c>
      <c r="CT14" s="116">
        <v>0</v>
      </c>
      <c r="CU14" s="116">
        <v>50</v>
      </c>
      <c r="CV14" s="116">
        <v>49</v>
      </c>
      <c r="CW14" s="116">
        <v>50</v>
      </c>
      <c r="CX14" s="116">
        <v>49</v>
      </c>
      <c r="CY14" s="116">
        <v>0</v>
      </c>
      <c r="CZ14" s="116">
        <v>919</v>
      </c>
      <c r="DA14" s="243">
        <v>0</v>
      </c>
      <c r="DB14" s="243">
        <v>0</v>
      </c>
      <c r="DC14" s="243">
        <v>0</v>
      </c>
      <c r="DD14" s="243">
        <v>0</v>
      </c>
      <c r="DE14" s="243">
        <v>0</v>
      </c>
      <c r="DF14" s="243">
        <v>0</v>
      </c>
      <c r="DG14" s="243">
        <v>0</v>
      </c>
      <c r="DH14" s="243">
        <v>0</v>
      </c>
      <c r="DI14" s="243">
        <v>0</v>
      </c>
      <c r="DJ14" s="243">
        <v>0</v>
      </c>
      <c r="DK14" s="243">
        <v>0</v>
      </c>
      <c r="DL14" s="243">
        <v>0</v>
      </c>
      <c r="DM14" s="243">
        <v>0</v>
      </c>
      <c r="DN14" s="243">
        <v>0</v>
      </c>
      <c r="DO14" s="243">
        <v>0</v>
      </c>
      <c r="DP14" s="243">
        <v>0</v>
      </c>
      <c r="DQ14" s="243">
        <v>0</v>
      </c>
      <c r="DR14" s="243">
        <v>0</v>
      </c>
      <c r="DS14" s="243">
        <v>0</v>
      </c>
      <c r="DT14" s="243">
        <v>0</v>
      </c>
      <c r="DU14" s="243">
        <v>0</v>
      </c>
      <c r="DV14" s="243">
        <v>0</v>
      </c>
      <c r="DW14" s="243">
        <v>0</v>
      </c>
      <c r="DX14" s="243">
        <v>0</v>
      </c>
      <c r="DY14" s="243">
        <v>0</v>
      </c>
      <c r="DZ14" s="243">
        <v>0</v>
      </c>
      <c r="EA14" s="243">
        <v>0</v>
      </c>
      <c r="EB14" s="243">
        <v>0</v>
      </c>
      <c r="EC14" s="243">
        <v>0</v>
      </c>
      <c r="ED14" s="243">
        <v>0</v>
      </c>
      <c r="EE14" s="243">
        <v>0</v>
      </c>
      <c r="EF14" s="243">
        <v>0</v>
      </c>
      <c r="EI14" t="s">
        <v>333</v>
      </c>
      <c r="EJ14" s="73" t="s">
        <v>149</v>
      </c>
      <c r="EL14" t="b">
        <f t="shared" ref="EL14:EL21" si="0">EJ14=A14</f>
        <v>1</v>
      </c>
    </row>
    <row r="15" spans="1:142" x14ac:dyDescent="0.3">
      <c r="A15" s="115" t="s">
        <v>22</v>
      </c>
      <c r="B15" s="115" t="s">
        <v>177</v>
      </c>
      <c r="C15" s="115" t="s">
        <v>172</v>
      </c>
      <c r="D15" s="115" t="s">
        <v>331</v>
      </c>
      <c r="E15" s="115" t="s">
        <v>332</v>
      </c>
      <c r="F15" s="115" t="s">
        <v>173</v>
      </c>
      <c r="G15" s="115" t="s">
        <v>153</v>
      </c>
      <c r="H15" s="116">
        <v>42</v>
      </c>
      <c r="I15" s="116">
        <v>0</v>
      </c>
      <c r="J15" s="116">
        <v>12</v>
      </c>
      <c r="K15" s="116">
        <v>15</v>
      </c>
      <c r="L15" s="116">
        <v>12</v>
      </c>
      <c r="M15" s="116">
        <v>12</v>
      </c>
      <c r="N15" s="116">
        <v>12</v>
      </c>
      <c r="O15" s="116">
        <v>0</v>
      </c>
      <c r="P15" s="116">
        <v>0</v>
      </c>
      <c r="Q15" s="116">
        <v>17</v>
      </c>
      <c r="R15" s="116">
        <v>15</v>
      </c>
      <c r="S15" s="116">
        <v>13</v>
      </c>
      <c r="T15" s="116">
        <v>12</v>
      </c>
      <c r="U15" s="116">
        <v>15</v>
      </c>
      <c r="V15" s="116">
        <v>13</v>
      </c>
      <c r="W15" s="116">
        <v>0</v>
      </c>
      <c r="X15" s="116">
        <v>17</v>
      </c>
      <c r="Y15" s="116">
        <v>14</v>
      </c>
      <c r="Z15" s="116">
        <v>13</v>
      </c>
      <c r="AA15" s="116">
        <v>14</v>
      </c>
      <c r="AB15" s="116">
        <v>14</v>
      </c>
      <c r="AC15" s="116">
        <v>0</v>
      </c>
      <c r="AD15" s="116">
        <v>0</v>
      </c>
      <c r="AE15" s="116">
        <v>16</v>
      </c>
      <c r="AF15" s="116">
        <v>12</v>
      </c>
      <c r="AG15" s="116">
        <v>12</v>
      </c>
      <c r="AH15" s="116">
        <v>13</v>
      </c>
      <c r="AI15" s="116">
        <v>14</v>
      </c>
      <c r="AJ15" s="116">
        <v>12</v>
      </c>
      <c r="AK15" s="116">
        <v>0</v>
      </c>
      <c r="AL15" s="116">
        <v>0</v>
      </c>
      <c r="AM15" s="116">
        <v>0</v>
      </c>
      <c r="AN15" s="116">
        <v>299</v>
      </c>
      <c r="AO15" s="116">
        <v>0</v>
      </c>
      <c r="AP15" s="116">
        <v>0</v>
      </c>
      <c r="AQ15" s="116">
        <v>0</v>
      </c>
      <c r="AR15" s="116">
        <v>3</v>
      </c>
      <c r="AS15" s="116">
        <v>5</v>
      </c>
      <c r="AT15" s="116">
        <v>2</v>
      </c>
      <c r="AU15" s="116">
        <v>2</v>
      </c>
      <c r="AV15" s="116">
        <v>0</v>
      </c>
      <c r="AW15" s="116">
        <v>3</v>
      </c>
      <c r="AX15" s="116">
        <v>4</v>
      </c>
      <c r="AY15" s="116">
        <v>2</v>
      </c>
      <c r="AZ15" s="116">
        <v>3</v>
      </c>
      <c r="BA15" s="116">
        <v>3</v>
      </c>
      <c r="BB15" s="116">
        <v>3</v>
      </c>
      <c r="BC15" s="116">
        <v>0</v>
      </c>
      <c r="BD15" s="116">
        <v>5</v>
      </c>
      <c r="BE15" s="116">
        <v>1</v>
      </c>
      <c r="BF15" s="116">
        <v>4</v>
      </c>
      <c r="BG15" s="116">
        <v>2</v>
      </c>
      <c r="BH15" s="116">
        <v>3</v>
      </c>
      <c r="BI15" s="116">
        <v>3</v>
      </c>
      <c r="BJ15" s="116">
        <v>0</v>
      </c>
      <c r="BK15" s="116">
        <v>3</v>
      </c>
      <c r="BL15" s="116">
        <v>3</v>
      </c>
      <c r="BM15" s="116">
        <v>2</v>
      </c>
      <c r="BN15" s="116">
        <v>3</v>
      </c>
      <c r="BO15" s="116">
        <v>2</v>
      </c>
      <c r="BP15" s="116">
        <v>2</v>
      </c>
      <c r="BQ15" s="116">
        <v>0</v>
      </c>
      <c r="BR15" s="116">
        <v>3</v>
      </c>
      <c r="BS15" s="116">
        <v>1</v>
      </c>
      <c r="BT15" s="116">
        <v>67</v>
      </c>
      <c r="BU15" s="116">
        <v>0</v>
      </c>
      <c r="BV15" s="116">
        <v>0</v>
      </c>
      <c r="BW15" s="116">
        <v>0</v>
      </c>
      <c r="BX15" s="116">
        <v>0</v>
      </c>
      <c r="BY15" s="116">
        <v>0</v>
      </c>
      <c r="BZ15" s="116">
        <v>0</v>
      </c>
      <c r="CA15" s="116">
        <v>0</v>
      </c>
      <c r="CB15" s="116">
        <v>0</v>
      </c>
      <c r="CC15" s="116">
        <v>0</v>
      </c>
      <c r="CD15" s="116">
        <v>0</v>
      </c>
      <c r="CE15" s="116">
        <v>0</v>
      </c>
      <c r="CF15" s="116">
        <v>0</v>
      </c>
      <c r="CG15" s="116">
        <v>0</v>
      </c>
      <c r="CH15" s="116">
        <v>0</v>
      </c>
      <c r="CI15" s="116">
        <v>0</v>
      </c>
      <c r="CJ15" s="116">
        <v>0</v>
      </c>
      <c r="CK15" s="116">
        <v>0</v>
      </c>
      <c r="CL15" s="116">
        <v>0</v>
      </c>
      <c r="CM15" s="116">
        <v>0</v>
      </c>
      <c r="CN15" s="116">
        <v>0</v>
      </c>
      <c r="CO15" s="116">
        <v>0</v>
      </c>
      <c r="CP15" s="116">
        <v>0</v>
      </c>
      <c r="CQ15" s="116">
        <v>0</v>
      </c>
      <c r="CR15" s="116">
        <v>0</v>
      </c>
      <c r="CS15" s="116">
        <v>0</v>
      </c>
      <c r="CT15" s="116">
        <v>0</v>
      </c>
      <c r="CU15" s="116">
        <v>0</v>
      </c>
      <c r="CV15" s="116">
        <v>0</v>
      </c>
      <c r="CW15" s="116">
        <v>0</v>
      </c>
      <c r="CX15" s="116">
        <v>0</v>
      </c>
      <c r="CY15" s="116">
        <v>0</v>
      </c>
      <c r="CZ15" s="116">
        <v>0</v>
      </c>
      <c r="DA15" s="116">
        <v>0</v>
      </c>
      <c r="DB15" s="116">
        <v>0</v>
      </c>
      <c r="DC15" s="116">
        <v>0</v>
      </c>
      <c r="DD15" s="116">
        <v>0</v>
      </c>
      <c r="DE15" s="116">
        <v>0</v>
      </c>
      <c r="DF15" s="116">
        <v>0</v>
      </c>
      <c r="DG15" s="116">
        <v>0</v>
      </c>
      <c r="DH15" s="116">
        <v>0</v>
      </c>
      <c r="DI15" s="116">
        <v>0</v>
      </c>
      <c r="DJ15" s="116">
        <v>0</v>
      </c>
      <c r="DK15" s="116">
        <v>0</v>
      </c>
      <c r="DL15" s="116">
        <v>0</v>
      </c>
      <c r="DM15" s="116">
        <v>0</v>
      </c>
      <c r="DN15" s="116">
        <v>0</v>
      </c>
      <c r="DO15" s="116">
        <v>0</v>
      </c>
      <c r="DP15" s="116">
        <v>0</v>
      </c>
      <c r="DQ15" s="116">
        <v>0</v>
      </c>
      <c r="DR15" s="116">
        <v>0</v>
      </c>
      <c r="DS15" s="116">
        <v>0</v>
      </c>
      <c r="DT15" s="116">
        <v>0</v>
      </c>
      <c r="DU15" s="116">
        <v>0</v>
      </c>
      <c r="DV15" s="116">
        <v>0</v>
      </c>
      <c r="DW15" s="116">
        <v>0</v>
      </c>
      <c r="DX15" s="116">
        <v>0</v>
      </c>
      <c r="DY15" s="116">
        <v>0</v>
      </c>
      <c r="DZ15" s="116">
        <v>0</v>
      </c>
      <c r="EA15" s="116">
        <v>0</v>
      </c>
      <c r="EB15" s="116">
        <v>0</v>
      </c>
      <c r="EC15" s="116">
        <v>0</v>
      </c>
      <c r="ED15" s="116">
        <v>0</v>
      </c>
      <c r="EE15" s="116">
        <v>0</v>
      </c>
      <c r="EF15" s="116">
        <v>0</v>
      </c>
      <c r="EI15" t="s">
        <v>333</v>
      </c>
      <c r="EJ15" s="105" t="s">
        <v>22</v>
      </c>
      <c r="EL15" t="b">
        <f t="shared" si="0"/>
        <v>1</v>
      </c>
    </row>
    <row r="16" spans="1:142" x14ac:dyDescent="0.3">
      <c r="A16" s="115" t="s">
        <v>23</v>
      </c>
      <c r="B16" s="115" t="s">
        <v>179</v>
      </c>
      <c r="C16" s="115" t="s">
        <v>172</v>
      </c>
      <c r="D16" s="115" t="s">
        <v>331</v>
      </c>
      <c r="E16" s="115" t="s">
        <v>332</v>
      </c>
      <c r="F16" s="115" t="s">
        <v>173</v>
      </c>
      <c r="G16" s="115" t="s">
        <v>153</v>
      </c>
      <c r="H16" s="116">
        <v>18</v>
      </c>
      <c r="I16" s="116">
        <v>0</v>
      </c>
      <c r="J16" s="116">
        <v>54</v>
      </c>
      <c r="K16" s="116">
        <v>54</v>
      </c>
      <c r="L16" s="116">
        <v>51</v>
      </c>
      <c r="M16" s="116">
        <v>54</v>
      </c>
      <c r="N16" s="116">
        <v>49</v>
      </c>
      <c r="O16" s="116">
        <v>0</v>
      </c>
      <c r="P16" s="116">
        <v>0</v>
      </c>
      <c r="Q16" s="116">
        <v>58</v>
      </c>
      <c r="R16" s="116">
        <v>60</v>
      </c>
      <c r="S16" s="116">
        <v>54</v>
      </c>
      <c r="T16" s="116">
        <v>58</v>
      </c>
      <c r="U16" s="116">
        <v>56</v>
      </c>
      <c r="V16" s="116">
        <v>49</v>
      </c>
      <c r="W16" s="116">
        <v>0</v>
      </c>
      <c r="X16" s="116">
        <v>60</v>
      </c>
      <c r="Y16" s="116">
        <v>55</v>
      </c>
      <c r="Z16" s="116">
        <v>56</v>
      </c>
      <c r="AA16" s="116">
        <v>57</v>
      </c>
      <c r="AB16" s="116">
        <v>57</v>
      </c>
      <c r="AC16" s="116">
        <v>0</v>
      </c>
      <c r="AD16" s="116">
        <v>0</v>
      </c>
      <c r="AE16" s="116">
        <v>56</v>
      </c>
      <c r="AF16" s="116">
        <v>52</v>
      </c>
      <c r="AG16" s="116">
        <v>51</v>
      </c>
      <c r="AH16" s="116">
        <v>54</v>
      </c>
      <c r="AI16" s="116">
        <v>54</v>
      </c>
      <c r="AJ16" s="116">
        <v>52</v>
      </c>
      <c r="AK16" s="116">
        <v>0</v>
      </c>
      <c r="AL16" s="116">
        <v>0</v>
      </c>
      <c r="AM16" s="116">
        <v>0</v>
      </c>
      <c r="AN16" s="116">
        <v>1201</v>
      </c>
      <c r="AO16" s="116">
        <v>0</v>
      </c>
      <c r="AP16" s="116">
        <v>0</v>
      </c>
      <c r="AQ16" s="116">
        <v>0</v>
      </c>
      <c r="AR16" s="116">
        <v>49</v>
      </c>
      <c r="AS16" s="116">
        <v>48</v>
      </c>
      <c r="AT16" s="116">
        <v>49</v>
      </c>
      <c r="AU16" s="116">
        <v>20</v>
      </c>
      <c r="AV16" s="116">
        <v>0</v>
      </c>
      <c r="AW16" s="116">
        <v>44</v>
      </c>
      <c r="AX16" s="116">
        <v>43</v>
      </c>
      <c r="AY16" s="116">
        <v>48</v>
      </c>
      <c r="AZ16" s="116">
        <v>42</v>
      </c>
      <c r="BA16" s="116">
        <v>41</v>
      </c>
      <c r="BB16" s="116">
        <v>38</v>
      </c>
      <c r="BC16" s="116">
        <v>0</v>
      </c>
      <c r="BD16" s="116">
        <v>43</v>
      </c>
      <c r="BE16" s="116">
        <v>44</v>
      </c>
      <c r="BF16" s="116">
        <v>38</v>
      </c>
      <c r="BG16" s="116">
        <v>47</v>
      </c>
      <c r="BH16" s="116">
        <v>38</v>
      </c>
      <c r="BI16" s="116">
        <v>43</v>
      </c>
      <c r="BJ16" s="116">
        <v>0</v>
      </c>
      <c r="BK16" s="116">
        <v>43</v>
      </c>
      <c r="BL16" s="116">
        <v>38</v>
      </c>
      <c r="BM16" s="116">
        <v>31</v>
      </c>
      <c r="BN16" s="116">
        <v>39</v>
      </c>
      <c r="BO16" s="116">
        <v>37</v>
      </c>
      <c r="BP16" s="116">
        <v>28</v>
      </c>
      <c r="BQ16" s="116">
        <v>0</v>
      </c>
      <c r="BR16" s="116">
        <v>36</v>
      </c>
      <c r="BS16" s="116">
        <v>31</v>
      </c>
      <c r="BT16" s="116">
        <v>958</v>
      </c>
      <c r="BU16" s="116">
        <v>30</v>
      </c>
      <c r="BV16" s="116">
        <v>30</v>
      </c>
      <c r="BW16" s="116">
        <v>30</v>
      </c>
      <c r="BX16" s="116">
        <v>15</v>
      </c>
      <c r="BY16" s="116">
        <v>0</v>
      </c>
      <c r="BZ16" s="116">
        <v>29</v>
      </c>
      <c r="CA16" s="116">
        <v>30</v>
      </c>
      <c r="CB16" s="116">
        <v>29</v>
      </c>
      <c r="CC16" s="116">
        <v>30</v>
      </c>
      <c r="CD16" s="116">
        <v>29</v>
      </c>
      <c r="CE16" s="116">
        <v>0</v>
      </c>
      <c r="CF16" s="116">
        <v>0</v>
      </c>
      <c r="CG16" s="116">
        <v>0</v>
      </c>
      <c r="CH16" s="116">
        <v>0</v>
      </c>
      <c r="CI16" s="116">
        <v>0</v>
      </c>
      <c r="CJ16" s="116">
        <v>0</v>
      </c>
      <c r="CK16" s="116">
        <v>0</v>
      </c>
      <c r="CL16" s="116">
        <v>0</v>
      </c>
      <c r="CM16" s="116">
        <v>0</v>
      </c>
      <c r="CN16" s="116">
        <v>30</v>
      </c>
      <c r="CO16" s="116">
        <v>29</v>
      </c>
      <c r="CP16" s="116">
        <v>30</v>
      </c>
      <c r="CQ16" s="116">
        <v>29</v>
      </c>
      <c r="CR16" s="116">
        <v>30</v>
      </c>
      <c r="CS16" s="116">
        <v>29</v>
      </c>
      <c r="CT16" s="116">
        <v>0</v>
      </c>
      <c r="CU16" s="116">
        <v>30</v>
      </c>
      <c r="CV16" s="116">
        <v>29</v>
      </c>
      <c r="CW16" s="116">
        <v>30</v>
      </c>
      <c r="CX16" s="116">
        <v>29</v>
      </c>
      <c r="CY16" s="116">
        <v>0</v>
      </c>
      <c r="CZ16" s="116">
        <v>547</v>
      </c>
      <c r="DA16" s="116">
        <v>0</v>
      </c>
      <c r="DB16" s="116">
        <v>0</v>
      </c>
      <c r="DC16" s="116">
        <v>0</v>
      </c>
      <c r="DD16" s="116">
        <v>53</v>
      </c>
      <c r="DE16" s="116">
        <v>53</v>
      </c>
      <c r="DF16" s="116">
        <v>53</v>
      </c>
      <c r="DG16" s="116">
        <v>53</v>
      </c>
      <c r="DH16" s="116">
        <v>53</v>
      </c>
      <c r="DI16" s="116">
        <v>53</v>
      </c>
      <c r="DJ16" s="116">
        <v>0</v>
      </c>
      <c r="DK16" s="116">
        <v>53</v>
      </c>
      <c r="DL16" s="116">
        <v>53</v>
      </c>
      <c r="DM16" s="116">
        <v>52</v>
      </c>
      <c r="DN16" s="116">
        <v>53</v>
      </c>
      <c r="DO16" s="116">
        <v>52</v>
      </c>
      <c r="DP16" s="116">
        <v>26</v>
      </c>
      <c r="DQ16" s="116">
        <v>0</v>
      </c>
      <c r="DR16" s="116">
        <v>53</v>
      </c>
      <c r="DS16" s="116">
        <v>53</v>
      </c>
      <c r="DT16" s="116">
        <v>52</v>
      </c>
      <c r="DU16" s="116">
        <v>53</v>
      </c>
      <c r="DV16" s="116">
        <v>52</v>
      </c>
      <c r="DW16" s="116">
        <v>53</v>
      </c>
      <c r="DX16" s="116">
        <v>0</v>
      </c>
      <c r="DY16" s="116">
        <v>52</v>
      </c>
      <c r="DZ16" s="116">
        <v>53</v>
      </c>
      <c r="EA16" s="116">
        <v>52</v>
      </c>
      <c r="EB16" s="116">
        <v>53</v>
      </c>
      <c r="EC16" s="116">
        <v>52</v>
      </c>
      <c r="ED16" s="116">
        <v>0</v>
      </c>
      <c r="EE16" s="116">
        <v>0</v>
      </c>
      <c r="EF16" s="116">
        <v>1185</v>
      </c>
      <c r="EI16" t="s">
        <v>333</v>
      </c>
      <c r="EJ16" s="105" t="s">
        <v>23</v>
      </c>
      <c r="EL16" t="b">
        <f t="shared" si="0"/>
        <v>1</v>
      </c>
    </row>
    <row r="17" spans="1:142" x14ac:dyDescent="0.3">
      <c r="A17" s="115" t="s">
        <v>160</v>
      </c>
      <c r="B17" s="115" t="s">
        <v>180</v>
      </c>
      <c r="C17" s="115" t="s">
        <v>172</v>
      </c>
      <c r="D17" s="115" t="s">
        <v>331</v>
      </c>
      <c r="E17" s="115" t="s">
        <v>332</v>
      </c>
      <c r="F17" s="115" t="s">
        <v>173</v>
      </c>
      <c r="G17" s="115" t="s">
        <v>153</v>
      </c>
      <c r="H17" s="116">
        <v>8</v>
      </c>
      <c r="I17" s="116">
        <v>0</v>
      </c>
      <c r="J17" s="116">
        <v>11</v>
      </c>
      <c r="K17" s="116">
        <v>10</v>
      </c>
      <c r="L17" s="116">
        <v>10</v>
      </c>
      <c r="M17" s="116">
        <v>11</v>
      </c>
      <c r="N17" s="116">
        <v>10</v>
      </c>
      <c r="O17" s="116">
        <v>0</v>
      </c>
      <c r="P17" s="116">
        <v>0</v>
      </c>
      <c r="Q17" s="116">
        <v>9</v>
      </c>
      <c r="R17" s="116">
        <v>12</v>
      </c>
      <c r="S17" s="116">
        <v>9</v>
      </c>
      <c r="T17" s="116">
        <v>12</v>
      </c>
      <c r="U17" s="116">
        <v>10</v>
      </c>
      <c r="V17" s="116">
        <v>11</v>
      </c>
      <c r="W17" s="116">
        <v>0</v>
      </c>
      <c r="X17" s="116">
        <v>13</v>
      </c>
      <c r="Y17" s="116">
        <v>11</v>
      </c>
      <c r="Z17" s="116">
        <v>11</v>
      </c>
      <c r="AA17" s="116">
        <v>10</v>
      </c>
      <c r="AB17" s="116">
        <v>11</v>
      </c>
      <c r="AC17" s="116">
        <v>0</v>
      </c>
      <c r="AD17" s="116">
        <v>0</v>
      </c>
      <c r="AE17" s="116">
        <v>8</v>
      </c>
      <c r="AF17" s="116">
        <v>12</v>
      </c>
      <c r="AG17" s="116">
        <v>10</v>
      </c>
      <c r="AH17" s="116">
        <v>10</v>
      </c>
      <c r="AI17" s="116">
        <v>10</v>
      </c>
      <c r="AJ17" s="116">
        <v>11</v>
      </c>
      <c r="AK17" s="116">
        <v>0</v>
      </c>
      <c r="AL17" s="116">
        <v>0</v>
      </c>
      <c r="AM17" s="116">
        <v>0</v>
      </c>
      <c r="AN17" s="116">
        <v>232</v>
      </c>
      <c r="AO17" s="116">
        <v>0</v>
      </c>
      <c r="AP17" s="116">
        <v>0</v>
      </c>
      <c r="AQ17" s="116">
        <v>0</v>
      </c>
      <c r="AR17" s="116">
        <v>16</v>
      </c>
      <c r="AS17" s="116">
        <v>18</v>
      </c>
      <c r="AT17" s="116">
        <v>17</v>
      </c>
      <c r="AU17" s="116">
        <v>8</v>
      </c>
      <c r="AV17" s="116">
        <v>0</v>
      </c>
      <c r="AW17" s="116">
        <v>16</v>
      </c>
      <c r="AX17" s="116">
        <v>16</v>
      </c>
      <c r="AY17" s="116">
        <v>17</v>
      </c>
      <c r="AZ17" s="116">
        <v>16</v>
      </c>
      <c r="BA17" s="116">
        <v>14</v>
      </c>
      <c r="BB17" s="116">
        <v>13</v>
      </c>
      <c r="BC17" s="116">
        <v>0</v>
      </c>
      <c r="BD17" s="116">
        <v>16</v>
      </c>
      <c r="BE17" s="116">
        <v>15</v>
      </c>
      <c r="BF17" s="116">
        <v>13</v>
      </c>
      <c r="BG17" s="116">
        <v>16</v>
      </c>
      <c r="BH17" s="116">
        <v>15</v>
      </c>
      <c r="BI17" s="116">
        <v>15</v>
      </c>
      <c r="BJ17" s="116">
        <v>0</v>
      </c>
      <c r="BK17" s="116">
        <v>14</v>
      </c>
      <c r="BL17" s="116">
        <v>13</v>
      </c>
      <c r="BM17" s="116">
        <v>10</v>
      </c>
      <c r="BN17" s="116">
        <v>13</v>
      </c>
      <c r="BO17" s="116">
        <v>13</v>
      </c>
      <c r="BP17" s="116">
        <v>9</v>
      </c>
      <c r="BQ17" s="116">
        <v>0</v>
      </c>
      <c r="BR17" s="116">
        <v>13</v>
      </c>
      <c r="BS17" s="116">
        <v>10</v>
      </c>
      <c r="BT17" s="116">
        <v>336</v>
      </c>
      <c r="BU17" s="116">
        <v>3</v>
      </c>
      <c r="BV17" s="116">
        <v>3</v>
      </c>
      <c r="BW17" s="116">
        <v>3</v>
      </c>
      <c r="BX17" s="116">
        <v>2</v>
      </c>
      <c r="BY17" s="116">
        <v>0</v>
      </c>
      <c r="BZ17" s="116">
        <v>3</v>
      </c>
      <c r="CA17" s="116">
        <v>3</v>
      </c>
      <c r="CB17" s="116">
        <v>3</v>
      </c>
      <c r="CC17" s="116">
        <v>3</v>
      </c>
      <c r="CD17" s="116">
        <v>3</v>
      </c>
      <c r="CE17" s="116">
        <v>0</v>
      </c>
      <c r="CF17" s="116">
        <v>0</v>
      </c>
      <c r="CG17" s="116">
        <v>0</v>
      </c>
      <c r="CH17" s="116">
        <v>0</v>
      </c>
      <c r="CI17" s="116">
        <v>0</v>
      </c>
      <c r="CJ17" s="116">
        <v>0</v>
      </c>
      <c r="CK17" s="116">
        <v>0</v>
      </c>
      <c r="CL17" s="116">
        <v>0</v>
      </c>
      <c r="CM17" s="116">
        <v>0</v>
      </c>
      <c r="CN17" s="116">
        <v>3</v>
      </c>
      <c r="CO17" s="116">
        <v>3</v>
      </c>
      <c r="CP17" s="116">
        <v>3</v>
      </c>
      <c r="CQ17" s="116">
        <v>3</v>
      </c>
      <c r="CR17" s="116">
        <v>4</v>
      </c>
      <c r="CS17" s="116">
        <v>3</v>
      </c>
      <c r="CT17" s="116">
        <v>0</v>
      </c>
      <c r="CU17" s="116">
        <v>4</v>
      </c>
      <c r="CV17" s="116">
        <v>3</v>
      </c>
      <c r="CW17" s="116">
        <v>4</v>
      </c>
      <c r="CX17" s="116">
        <v>3</v>
      </c>
      <c r="CY17" s="116">
        <v>0</v>
      </c>
      <c r="CZ17" s="243">
        <v>59</v>
      </c>
      <c r="DA17" s="116">
        <v>0</v>
      </c>
      <c r="DB17" s="116">
        <v>0</v>
      </c>
      <c r="DC17" s="116">
        <v>0</v>
      </c>
      <c r="DD17" s="116">
        <v>0</v>
      </c>
      <c r="DE17" s="116">
        <v>0</v>
      </c>
      <c r="DF17" s="116">
        <v>0</v>
      </c>
      <c r="DG17" s="116">
        <v>0</v>
      </c>
      <c r="DH17" s="116">
        <v>0</v>
      </c>
      <c r="DI17" s="116">
        <v>0</v>
      </c>
      <c r="DJ17" s="116">
        <v>0</v>
      </c>
      <c r="DK17" s="116">
        <v>0</v>
      </c>
      <c r="DL17" s="116">
        <v>0</v>
      </c>
      <c r="DM17" s="116">
        <v>0</v>
      </c>
      <c r="DN17" s="116">
        <v>0</v>
      </c>
      <c r="DO17" s="116">
        <v>0</v>
      </c>
      <c r="DP17" s="116">
        <v>0</v>
      </c>
      <c r="DQ17" s="116">
        <v>0</v>
      </c>
      <c r="DR17" s="116">
        <v>0</v>
      </c>
      <c r="DS17" s="116">
        <v>0</v>
      </c>
      <c r="DT17" s="116">
        <v>0</v>
      </c>
      <c r="DU17" s="116">
        <v>0</v>
      </c>
      <c r="DV17" s="116">
        <v>0</v>
      </c>
      <c r="DW17" s="116">
        <v>0</v>
      </c>
      <c r="DX17" s="116">
        <v>0</v>
      </c>
      <c r="DY17" s="116">
        <v>0</v>
      </c>
      <c r="DZ17" s="116">
        <v>0</v>
      </c>
      <c r="EA17" s="116">
        <v>0</v>
      </c>
      <c r="EB17" s="116">
        <v>0</v>
      </c>
      <c r="EC17" s="116">
        <v>0</v>
      </c>
      <c r="ED17" s="116">
        <v>0</v>
      </c>
      <c r="EE17" s="116">
        <v>0</v>
      </c>
      <c r="EF17" s="243">
        <v>0</v>
      </c>
      <c r="EI17" t="s">
        <v>333</v>
      </c>
      <c r="EJ17" s="105" t="s">
        <v>160</v>
      </c>
      <c r="EL17" t="b">
        <f t="shared" si="0"/>
        <v>1</v>
      </c>
    </row>
    <row r="18" spans="1:142" x14ac:dyDescent="0.3">
      <c r="A18" s="115" t="s">
        <v>162</v>
      </c>
      <c r="B18" s="115" t="s">
        <v>182</v>
      </c>
      <c r="C18" s="115" t="s">
        <v>172</v>
      </c>
      <c r="D18" s="115" t="s">
        <v>331</v>
      </c>
      <c r="E18" s="115" t="s">
        <v>332</v>
      </c>
      <c r="F18" s="115" t="s">
        <v>173</v>
      </c>
      <c r="G18" s="115" t="s">
        <v>153</v>
      </c>
      <c r="H18" s="116">
        <v>8</v>
      </c>
      <c r="I18" s="116">
        <v>0</v>
      </c>
      <c r="J18" s="116">
        <v>20</v>
      </c>
      <c r="K18" s="116">
        <v>21</v>
      </c>
      <c r="L18" s="116">
        <v>22</v>
      </c>
      <c r="M18" s="116">
        <v>19</v>
      </c>
      <c r="N18" s="116">
        <v>21</v>
      </c>
      <c r="O18" s="116">
        <v>0</v>
      </c>
      <c r="P18" s="116">
        <v>0</v>
      </c>
      <c r="Q18" s="116">
        <v>28</v>
      </c>
      <c r="R18" s="116">
        <v>23</v>
      </c>
      <c r="S18" s="116">
        <v>23</v>
      </c>
      <c r="T18" s="116">
        <v>21</v>
      </c>
      <c r="U18" s="116">
        <v>22</v>
      </c>
      <c r="V18" s="116">
        <v>22</v>
      </c>
      <c r="W18" s="116">
        <v>0</v>
      </c>
      <c r="X18" s="116">
        <v>24</v>
      </c>
      <c r="Y18" s="116">
        <v>22</v>
      </c>
      <c r="Z18" s="116">
        <v>22</v>
      </c>
      <c r="AA18" s="116">
        <v>24</v>
      </c>
      <c r="AB18" s="116">
        <v>20</v>
      </c>
      <c r="AC18" s="116">
        <v>0</v>
      </c>
      <c r="AD18" s="116">
        <v>0</v>
      </c>
      <c r="AE18" s="116">
        <v>28</v>
      </c>
      <c r="AF18" s="116">
        <v>22</v>
      </c>
      <c r="AG18" s="116">
        <v>17</v>
      </c>
      <c r="AH18" s="116">
        <v>23</v>
      </c>
      <c r="AI18" s="116">
        <v>21</v>
      </c>
      <c r="AJ18" s="116">
        <v>20</v>
      </c>
      <c r="AK18" s="116">
        <v>0</v>
      </c>
      <c r="AL18" s="116">
        <v>0</v>
      </c>
      <c r="AM18" s="116">
        <v>0</v>
      </c>
      <c r="AN18" s="116">
        <v>485</v>
      </c>
      <c r="AO18" s="116">
        <v>0</v>
      </c>
      <c r="AP18" s="116">
        <v>0</v>
      </c>
      <c r="AQ18" s="116">
        <v>0</v>
      </c>
      <c r="AR18" s="116">
        <v>17</v>
      </c>
      <c r="AS18" s="116">
        <v>20</v>
      </c>
      <c r="AT18" s="116">
        <v>19</v>
      </c>
      <c r="AU18" s="116">
        <v>10</v>
      </c>
      <c r="AV18" s="116">
        <v>0</v>
      </c>
      <c r="AW18" s="116">
        <v>19</v>
      </c>
      <c r="AX18" s="116">
        <v>20</v>
      </c>
      <c r="AY18" s="116">
        <v>16</v>
      </c>
      <c r="AZ18" s="116">
        <v>22</v>
      </c>
      <c r="BA18" s="116">
        <v>15</v>
      </c>
      <c r="BB18" s="116">
        <v>17</v>
      </c>
      <c r="BC18" s="116">
        <v>0</v>
      </c>
      <c r="BD18" s="116">
        <v>18</v>
      </c>
      <c r="BE18" s="116">
        <v>22</v>
      </c>
      <c r="BF18" s="116">
        <v>16</v>
      </c>
      <c r="BG18" s="116">
        <v>18</v>
      </c>
      <c r="BH18" s="116">
        <v>18</v>
      </c>
      <c r="BI18" s="116">
        <v>17</v>
      </c>
      <c r="BJ18" s="116">
        <v>0</v>
      </c>
      <c r="BK18" s="116">
        <v>19</v>
      </c>
      <c r="BL18" s="116">
        <v>17</v>
      </c>
      <c r="BM18" s="116">
        <v>14</v>
      </c>
      <c r="BN18" s="116">
        <v>18</v>
      </c>
      <c r="BO18" s="116">
        <v>12</v>
      </c>
      <c r="BP18" s="116">
        <v>13</v>
      </c>
      <c r="BQ18" s="116">
        <v>0</v>
      </c>
      <c r="BR18" s="116">
        <v>12</v>
      </c>
      <c r="BS18" s="116">
        <v>13</v>
      </c>
      <c r="BT18" s="116">
        <v>402</v>
      </c>
      <c r="BU18" s="116">
        <v>16</v>
      </c>
      <c r="BV18" s="116">
        <v>16</v>
      </c>
      <c r="BW18" s="116">
        <v>16</v>
      </c>
      <c r="BX18" s="116">
        <v>8</v>
      </c>
      <c r="BY18" s="116">
        <v>0</v>
      </c>
      <c r="BZ18" s="116">
        <v>16</v>
      </c>
      <c r="CA18" s="116">
        <v>16</v>
      </c>
      <c r="CB18" s="116">
        <v>16</v>
      </c>
      <c r="CC18" s="116">
        <v>16</v>
      </c>
      <c r="CD18" s="116">
        <v>16</v>
      </c>
      <c r="CE18" s="116">
        <v>0</v>
      </c>
      <c r="CF18" s="116">
        <v>0</v>
      </c>
      <c r="CG18" s="116">
        <v>0</v>
      </c>
      <c r="CH18" s="116">
        <v>0</v>
      </c>
      <c r="CI18" s="116">
        <v>0</v>
      </c>
      <c r="CJ18" s="116">
        <v>0</v>
      </c>
      <c r="CK18" s="116">
        <v>0</v>
      </c>
      <c r="CL18" s="116">
        <v>0</v>
      </c>
      <c r="CM18" s="116">
        <v>0</v>
      </c>
      <c r="CN18" s="116">
        <v>16</v>
      </c>
      <c r="CO18" s="116">
        <v>16</v>
      </c>
      <c r="CP18" s="116">
        <v>16</v>
      </c>
      <c r="CQ18" s="116">
        <v>16</v>
      </c>
      <c r="CR18" s="116">
        <v>17</v>
      </c>
      <c r="CS18" s="116">
        <v>16</v>
      </c>
      <c r="CT18" s="116">
        <v>0</v>
      </c>
      <c r="CU18" s="116">
        <v>17</v>
      </c>
      <c r="CV18" s="116">
        <v>16</v>
      </c>
      <c r="CW18" s="116">
        <v>17</v>
      </c>
      <c r="CX18" s="116">
        <v>16</v>
      </c>
      <c r="CY18" s="116">
        <v>0</v>
      </c>
      <c r="CZ18" s="116">
        <v>299</v>
      </c>
      <c r="DA18" s="116">
        <v>0</v>
      </c>
      <c r="DB18" s="116">
        <v>0</v>
      </c>
      <c r="DC18" s="116">
        <v>0</v>
      </c>
      <c r="DD18" s="116">
        <v>0</v>
      </c>
      <c r="DE18" s="116">
        <v>0</v>
      </c>
      <c r="DF18" s="116">
        <v>0</v>
      </c>
      <c r="DG18" s="116">
        <v>0</v>
      </c>
      <c r="DH18" s="116">
        <v>0</v>
      </c>
      <c r="DI18" s="116">
        <v>0</v>
      </c>
      <c r="DJ18" s="116">
        <v>0</v>
      </c>
      <c r="DK18" s="116">
        <v>0</v>
      </c>
      <c r="DL18" s="116">
        <v>0</v>
      </c>
      <c r="DM18" s="116">
        <v>0</v>
      </c>
      <c r="DN18" s="116">
        <v>0</v>
      </c>
      <c r="DO18" s="116">
        <v>0</v>
      </c>
      <c r="DP18" s="116">
        <v>0</v>
      </c>
      <c r="DQ18" s="116">
        <v>0</v>
      </c>
      <c r="DR18" s="116">
        <v>0</v>
      </c>
      <c r="DS18" s="116">
        <v>0</v>
      </c>
      <c r="DT18" s="116">
        <v>0</v>
      </c>
      <c r="DU18" s="116">
        <v>0</v>
      </c>
      <c r="DV18" s="116">
        <v>0</v>
      </c>
      <c r="DW18" s="116">
        <v>0</v>
      </c>
      <c r="DX18" s="116">
        <v>0</v>
      </c>
      <c r="DY18" s="116">
        <v>0</v>
      </c>
      <c r="DZ18" s="116">
        <v>0</v>
      </c>
      <c r="EA18" s="116">
        <v>0</v>
      </c>
      <c r="EB18" s="116">
        <v>0</v>
      </c>
      <c r="EC18" s="116">
        <v>0</v>
      </c>
      <c r="ED18" s="116">
        <v>0</v>
      </c>
      <c r="EE18" s="116">
        <v>0</v>
      </c>
      <c r="EF18" s="243">
        <v>0</v>
      </c>
      <c r="EI18" t="s">
        <v>333</v>
      </c>
      <c r="EJ18" s="105" t="s">
        <v>162</v>
      </c>
      <c r="EL18" t="b">
        <f t="shared" si="0"/>
        <v>1</v>
      </c>
    </row>
    <row r="19" spans="1:142" x14ac:dyDescent="0.3">
      <c r="A19" s="115" t="s">
        <v>183</v>
      </c>
      <c r="B19" s="115" t="s">
        <v>184</v>
      </c>
      <c r="C19" s="115" t="s">
        <v>172</v>
      </c>
      <c r="D19" s="115" t="s">
        <v>331</v>
      </c>
      <c r="E19" s="115" t="s">
        <v>332</v>
      </c>
      <c r="F19" s="115" t="s">
        <v>173</v>
      </c>
      <c r="G19" s="115" t="s">
        <v>153</v>
      </c>
      <c r="H19" s="116">
        <v>8</v>
      </c>
      <c r="I19" s="116">
        <v>0</v>
      </c>
      <c r="J19" s="116">
        <v>4</v>
      </c>
      <c r="K19" s="116">
        <v>3</v>
      </c>
      <c r="L19" s="116">
        <v>2</v>
      </c>
      <c r="M19" s="116">
        <v>4</v>
      </c>
      <c r="N19" s="116">
        <v>3</v>
      </c>
      <c r="O19" s="116">
        <v>0</v>
      </c>
      <c r="P19" s="116">
        <v>0</v>
      </c>
      <c r="Q19" s="116">
        <v>3</v>
      </c>
      <c r="R19" s="116">
        <v>4</v>
      </c>
      <c r="S19" s="116">
        <v>3</v>
      </c>
      <c r="T19" s="116">
        <v>3</v>
      </c>
      <c r="U19" s="116">
        <v>3</v>
      </c>
      <c r="V19" s="116">
        <v>3</v>
      </c>
      <c r="W19" s="116">
        <v>0</v>
      </c>
      <c r="X19" s="116">
        <v>3</v>
      </c>
      <c r="Y19" s="116">
        <v>3</v>
      </c>
      <c r="Z19" s="116">
        <v>3</v>
      </c>
      <c r="AA19" s="116">
        <v>4</v>
      </c>
      <c r="AB19" s="116">
        <v>4</v>
      </c>
      <c r="AC19" s="116">
        <v>0</v>
      </c>
      <c r="AD19" s="116">
        <v>0</v>
      </c>
      <c r="AE19" s="116">
        <v>2</v>
      </c>
      <c r="AF19" s="116">
        <v>3</v>
      </c>
      <c r="AG19" s="116">
        <v>4</v>
      </c>
      <c r="AH19" s="116">
        <v>3</v>
      </c>
      <c r="AI19" s="116">
        <v>2</v>
      </c>
      <c r="AJ19" s="116">
        <v>4</v>
      </c>
      <c r="AK19" s="116">
        <v>0</v>
      </c>
      <c r="AL19" s="116">
        <v>0</v>
      </c>
      <c r="AM19" s="116">
        <v>0</v>
      </c>
      <c r="AN19" s="116">
        <v>70</v>
      </c>
      <c r="AO19" s="116">
        <v>0</v>
      </c>
      <c r="AP19" s="116">
        <v>0</v>
      </c>
      <c r="AQ19" s="116">
        <v>0</v>
      </c>
      <c r="AR19" s="116">
        <v>0</v>
      </c>
      <c r="AS19" s="116">
        <v>0</v>
      </c>
      <c r="AT19" s="116">
        <v>1</v>
      </c>
      <c r="AU19" s="116">
        <v>0</v>
      </c>
      <c r="AV19" s="116">
        <v>0</v>
      </c>
      <c r="AW19" s="116">
        <v>0</v>
      </c>
      <c r="AX19" s="116">
        <v>0</v>
      </c>
      <c r="AY19" s="116">
        <v>1</v>
      </c>
      <c r="AZ19" s="116">
        <v>0</v>
      </c>
      <c r="BA19" s="116">
        <v>0</v>
      </c>
      <c r="BB19" s="116">
        <v>0</v>
      </c>
      <c r="BC19" s="116">
        <v>0</v>
      </c>
      <c r="BD19" s="116">
        <v>0</v>
      </c>
      <c r="BE19" s="116">
        <v>1</v>
      </c>
      <c r="BF19" s="116">
        <v>0</v>
      </c>
      <c r="BG19" s="116">
        <v>0</v>
      </c>
      <c r="BH19" s="116">
        <v>0</v>
      </c>
      <c r="BI19" s="116">
        <v>0</v>
      </c>
      <c r="BJ19" s="116">
        <v>0</v>
      </c>
      <c r="BK19" s="116">
        <v>0</v>
      </c>
      <c r="BL19" s="116">
        <v>1</v>
      </c>
      <c r="BM19" s="116">
        <v>0</v>
      </c>
      <c r="BN19" s="116">
        <v>0</v>
      </c>
      <c r="BO19" s="116">
        <v>0</v>
      </c>
      <c r="BP19" s="116">
        <v>0</v>
      </c>
      <c r="BQ19" s="116">
        <v>0</v>
      </c>
      <c r="BR19" s="116">
        <v>0</v>
      </c>
      <c r="BS19" s="116">
        <v>0</v>
      </c>
      <c r="BT19" s="116">
        <v>4</v>
      </c>
      <c r="BU19" s="116">
        <v>0</v>
      </c>
      <c r="BV19" s="116">
        <v>0</v>
      </c>
      <c r="BW19" s="116">
        <v>0</v>
      </c>
      <c r="BX19" s="116">
        <v>0</v>
      </c>
      <c r="BY19" s="116">
        <v>0</v>
      </c>
      <c r="BZ19" s="116">
        <v>0</v>
      </c>
      <c r="CA19" s="116">
        <v>0</v>
      </c>
      <c r="CB19" s="116">
        <v>0</v>
      </c>
      <c r="CC19" s="116">
        <v>0</v>
      </c>
      <c r="CD19" s="116">
        <v>0</v>
      </c>
      <c r="CE19" s="116">
        <v>0</v>
      </c>
      <c r="CF19" s="116">
        <v>0</v>
      </c>
      <c r="CG19" s="116">
        <v>0</v>
      </c>
      <c r="CH19" s="116">
        <v>0</v>
      </c>
      <c r="CI19" s="116">
        <v>0</v>
      </c>
      <c r="CJ19" s="116">
        <v>0</v>
      </c>
      <c r="CK19" s="116">
        <v>0</v>
      </c>
      <c r="CL19" s="116">
        <v>0</v>
      </c>
      <c r="CM19" s="116">
        <v>0</v>
      </c>
      <c r="CN19" s="116">
        <v>0</v>
      </c>
      <c r="CO19" s="116">
        <v>0</v>
      </c>
      <c r="CP19" s="116">
        <v>0</v>
      </c>
      <c r="CQ19" s="116">
        <v>0</v>
      </c>
      <c r="CR19" s="116">
        <v>0</v>
      </c>
      <c r="CS19" s="116">
        <v>0</v>
      </c>
      <c r="CT19" s="116">
        <v>0</v>
      </c>
      <c r="CU19" s="116">
        <v>1</v>
      </c>
      <c r="CV19" s="116">
        <v>0</v>
      </c>
      <c r="CW19" s="116">
        <v>1</v>
      </c>
      <c r="CX19" s="116">
        <v>0</v>
      </c>
      <c r="CY19" s="116">
        <v>0</v>
      </c>
      <c r="CZ19" s="116">
        <v>2</v>
      </c>
      <c r="DA19" s="116">
        <v>0</v>
      </c>
      <c r="DB19" s="116">
        <v>0</v>
      </c>
      <c r="DC19" s="116">
        <v>0</v>
      </c>
      <c r="DD19" s="116">
        <v>1</v>
      </c>
      <c r="DE19" s="116">
        <v>1</v>
      </c>
      <c r="DF19" s="116">
        <v>1</v>
      </c>
      <c r="DG19" s="116">
        <v>1</v>
      </c>
      <c r="DH19" s="116">
        <v>1</v>
      </c>
      <c r="DI19" s="116">
        <v>1</v>
      </c>
      <c r="DJ19" s="116">
        <v>0</v>
      </c>
      <c r="DK19" s="116">
        <v>1</v>
      </c>
      <c r="DL19" s="116">
        <v>1</v>
      </c>
      <c r="DM19" s="116">
        <v>0</v>
      </c>
      <c r="DN19" s="116">
        <v>1</v>
      </c>
      <c r="DO19" s="116">
        <v>0</v>
      </c>
      <c r="DP19" s="116">
        <v>0</v>
      </c>
      <c r="DQ19" s="116">
        <v>0</v>
      </c>
      <c r="DR19" s="116">
        <v>1</v>
      </c>
      <c r="DS19" s="116">
        <v>1</v>
      </c>
      <c r="DT19" s="116">
        <v>0</v>
      </c>
      <c r="DU19" s="116">
        <v>1</v>
      </c>
      <c r="DV19" s="116">
        <v>0</v>
      </c>
      <c r="DW19" s="116">
        <v>1</v>
      </c>
      <c r="DX19" s="116">
        <v>0</v>
      </c>
      <c r="DY19" s="116">
        <v>0</v>
      </c>
      <c r="DZ19" s="116">
        <v>1</v>
      </c>
      <c r="EA19" s="116">
        <v>0</v>
      </c>
      <c r="EB19" s="116">
        <v>1</v>
      </c>
      <c r="EC19" s="116">
        <v>0</v>
      </c>
      <c r="ED19" s="116">
        <v>0</v>
      </c>
      <c r="EE19" s="116">
        <v>0</v>
      </c>
      <c r="EF19" s="116">
        <v>15</v>
      </c>
      <c r="EI19" t="s">
        <v>333</v>
      </c>
      <c r="EJ19" s="105" t="s">
        <v>183</v>
      </c>
      <c r="EL19" t="b">
        <f t="shared" si="0"/>
        <v>1</v>
      </c>
    </row>
    <row r="20" spans="1:142" x14ac:dyDescent="0.3">
      <c r="A20" s="115" t="s">
        <v>185</v>
      </c>
      <c r="B20" s="115" t="s">
        <v>186</v>
      </c>
      <c r="C20" s="115" t="s">
        <v>172</v>
      </c>
      <c r="D20" s="115" t="s">
        <v>331</v>
      </c>
      <c r="E20" s="115" t="s">
        <v>332</v>
      </c>
      <c r="F20" s="115" t="s">
        <v>173</v>
      </c>
      <c r="G20" s="115" t="s">
        <v>153</v>
      </c>
      <c r="H20" s="116">
        <v>6</v>
      </c>
      <c r="I20" s="116">
        <v>0</v>
      </c>
      <c r="J20" s="116">
        <v>26</v>
      </c>
      <c r="K20" s="116">
        <v>29</v>
      </c>
      <c r="L20" s="116">
        <v>25</v>
      </c>
      <c r="M20" s="116">
        <v>26</v>
      </c>
      <c r="N20" s="116">
        <v>26</v>
      </c>
      <c r="O20" s="116">
        <v>0</v>
      </c>
      <c r="P20" s="116">
        <v>0</v>
      </c>
      <c r="Q20" s="116">
        <v>28</v>
      </c>
      <c r="R20" s="116">
        <v>29</v>
      </c>
      <c r="S20" s="116">
        <v>30</v>
      </c>
      <c r="T20" s="116">
        <v>28</v>
      </c>
      <c r="U20" s="116">
        <v>28</v>
      </c>
      <c r="V20" s="116">
        <v>25</v>
      </c>
      <c r="W20" s="116">
        <v>0</v>
      </c>
      <c r="X20" s="116">
        <v>30</v>
      </c>
      <c r="Y20" s="116">
        <v>28</v>
      </c>
      <c r="Z20" s="116">
        <v>27</v>
      </c>
      <c r="AA20" s="116">
        <v>31</v>
      </c>
      <c r="AB20" s="116">
        <v>27</v>
      </c>
      <c r="AC20" s="116">
        <v>0</v>
      </c>
      <c r="AD20" s="116">
        <v>0</v>
      </c>
      <c r="AE20" s="116">
        <v>27</v>
      </c>
      <c r="AF20" s="116">
        <v>29</v>
      </c>
      <c r="AG20" s="116">
        <v>23</v>
      </c>
      <c r="AH20" s="116">
        <v>27</v>
      </c>
      <c r="AI20" s="116">
        <v>29</v>
      </c>
      <c r="AJ20" s="116">
        <v>25</v>
      </c>
      <c r="AK20" s="116">
        <v>0</v>
      </c>
      <c r="AL20" s="116">
        <v>0</v>
      </c>
      <c r="AM20" s="116">
        <v>0</v>
      </c>
      <c r="AN20" s="116">
        <v>603</v>
      </c>
      <c r="AO20" s="116">
        <v>0</v>
      </c>
      <c r="AP20" s="116">
        <v>0</v>
      </c>
      <c r="AQ20" s="116">
        <v>0</v>
      </c>
      <c r="AR20" s="116">
        <v>37</v>
      </c>
      <c r="AS20" s="116">
        <v>35</v>
      </c>
      <c r="AT20" s="116">
        <v>34</v>
      </c>
      <c r="AU20" s="116">
        <v>16</v>
      </c>
      <c r="AV20" s="116">
        <v>0</v>
      </c>
      <c r="AW20" s="116">
        <v>33</v>
      </c>
      <c r="AX20" s="116">
        <v>32</v>
      </c>
      <c r="AY20" s="116">
        <v>35</v>
      </c>
      <c r="AZ20" s="116">
        <v>33</v>
      </c>
      <c r="BA20" s="116">
        <v>28</v>
      </c>
      <c r="BB20" s="116">
        <v>26</v>
      </c>
      <c r="BC20" s="116">
        <v>0</v>
      </c>
      <c r="BD20" s="116">
        <v>33</v>
      </c>
      <c r="BE20" s="116">
        <v>32</v>
      </c>
      <c r="BF20" s="116">
        <v>29</v>
      </c>
      <c r="BG20" s="116">
        <v>34</v>
      </c>
      <c r="BH20" s="116">
        <v>29</v>
      </c>
      <c r="BI20" s="116">
        <v>31</v>
      </c>
      <c r="BJ20" s="116">
        <v>0</v>
      </c>
      <c r="BK20" s="116">
        <v>32</v>
      </c>
      <c r="BL20" s="116">
        <v>26</v>
      </c>
      <c r="BM20" s="116">
        <v>23</v>
      </c>
      <c r="BN20" s="116">
        <v>29</v>
      </c>
      <c r="BO20" s="116">
        <v>25</v>
      </c>
      <c r="BP20" s="116">
        <v>18</v>
      </c>
      <c r="BQ20" s="116">
        <v>0</v>
      </c>
      <c r="BR20" s="116">
        <v>28</v>
      </c>
      <c r="BS20" s="116">
        <v>21</v>
      </c>
      <c r="BT20" s="116">
        <v>699</v>
      </c>
      <c r="BU20" s="116">
        <v>18</v>
      </c>
      <c r="BV20" s="116">
        <v>18</v>
      </c>
      <c r="BW20" s="116">
        <v>18</v>
      </c>
      <c r="BX20" s="116">
        <v>9</v>
      </c>
      <c r="BY20" s="116">
        <v>0</v>
      </c>
      <c r="BZ20" s="116">
        <v>18</v>
      </c>
      <c r="CA20" s="116">
        <v>18</v>
      </c>
      <c r="CB20" s="116">
        <v>18</v>
      </c>
      <c r="CC20" s="116">
        <v>18</v>
      </c>
      <c r="CD20" s="116">
        <v>18</v>
      </c>
      <c r="CE20" s="116">
        <v>0</v>
      </c>
      <c r="CF20" s="116">
        <v>0</v>
      </c>
      <c r="CG20" s="116">
        <v>0</v>
      </c>
      <c r="CH20" s="116">
        <v>0</v>
      </c>
      <c r="CI20" s="116">
        <v>0</v>
      </c>
      <c r="CJ20" s="116">
        <v>0</v>
      </c>
      <c r="CK20" s="116">
        <v>0</v>
      </c>
      <c r="CL20" s="116">
        <v>0</v>
      </c>
      <c r="CM20" s="116">
        <v>0</v>
      </c>
      <c r="CN20" s="116">
        <v>18</v>
      </c>
      <c r="CO20" s="116">
        <v>18</v>
      </c>
      <c r="CP20" s="116">
        <v>18</v>
      </c>
      <c r="CQ20" s="116">
        <v>18</v>
      </c>
      <c r="CR20" s="116">
        <v>18</v>
      </c>
      <c r="CS20" s="116">
        <v>18</v>
      </c>
      <c r="CT20" s="116">
        <v>0</v>
      </c>
      <c r="CU20" s="116">
        <v>18</v>
      </c>
      <c r="CV20" s="116">
        <v>18</v>
      </c>
      <c r="CW20" s="116">
        <v>18</v>
      </c>
      <c r="CX20" s="116">
        <v>17</v>
      </c>
      <c r="CY20" s="116">
        <v>0</v>
      </c>
      <c r="CZ20" s="116">
        <v>332</v>
      </c>
      <c r="DA20" s="116">
        <v>0</v>
      </c>
      <c r="DB20" s="116">
        <v>0</v>
      </c>
      <c r="DC20" s="116">
        <v>0</v>
      </c>
      <c r="DD20" s="116">
        <v>32</v>
      </c>
      <c r="DE20" s="116">
        <v>32</v>
      </c>
      <c r="DF20" s="116">
        <v>32</v>
      </c>
      <c r="DG20" s="116">
        <v>32</v>
      </c>
      <c r="DH20" s="116">
        <v>32</v>
      </c>
      <c r="DI20" s="116">
        <v>32</v>
      </c>
      <c r="DJ20" s="116">
        <v>0</v>
      </c>
      <c r="DK20" s="116">
        <v>32</v>
      </c>
      <c r="DL20" s="116">
        <v>33</v>
      </c>
      <c r="DM20" s="116">
        <v>32</v>
      </c>
      <c r="DN20" s="116">
        <v>33</v>
      </c>
      <c r="DO20" s="116">
        <v>32</v>
      </c>
      <c r="DP20" s="116">
        <v>16</v>
      </c>
      <c r="DQ20" s="116">
        <v>0</v>
      </c>
      <c r="DR20" s="116">
        <v>33</v>
      </c>
      <c r="DS20" s="116">
        <v>33</v>
      </c>
      <c r="DT20" s="116">
        <v>32</v>
      </c>
      <c r="DU20" s="116">
        <v>33</v>
      </c>
      <c r="DV20" s="116">
        <v>32</v>
      </c>
      <c r="DW20" s="116">
        <v>33</v>
      </c>
      <c r="DX20" s="116">
        <v>0</v>
      </c>
      <c r="DY20" s="116">
        <v>32</v>
      </c>
      <c r="DZ20" s="116">
        <v>33</v>
      </c>
      <c r="EA20" s="116">
        <v>32</v>
      </c>
      <c r="EB20" s="116">
        <v>33</v>
      </c>
      <c r="EC20" s="116">
        <v>32</v>
      </c>
      <c r="ED20" s="116">
        <v>0</v>
      </c>
      <c r="EE20" s="116">
        <v>0</v>
      </c>
      <c r="EF20" s="116">
        <v>728</v>
      </c>
      <c r="EI20" t="s">
        <v>333</v>
      </c>
      <c r="EJ20" s="105" t="s">
        <v>185</v>
      </c>
      <c r="EL20" t="b">
        <f t="shared" si="0"/>
        <v>1</v>
      </c>
    </row>
    <row r="21" spans="1:142" x14ac:dyDescent="0.3">
      <c r="A21" s="115" t="s">
        <v>187</v>
      </c>
      <c r="B21" s="115" t="s">
        <v>188</v>
      </c>
      <c r="C21" s="115" t="s">
        <v>172</v>
      </c>
      <c r="D21" s="115" t="s">
        <v>331</v>
      </c>
      <c r="E21" s="115" t="s">
        <v>332</v>
      </c>
      <c r="F21" s="115" t="s">
        <v>173</v>
      </c>
      <c r="G21" s="115" t="s">
        <v>153</v>
      </c>
      <c r="H21" s="116">
        <v>10</v>
      </c>
      <c r="I21" s="116">
        <v>0</v>
      </c>
      <c r="J21" s="116">
        <v>30</v>
      </c>
      <c r="K21" s="116">
        <v>30</v>
      </c>
      <c r="L21" s="116">
        <v>25</v>
      </c>
      <c r="M21" s="116">
        <v>27</v>
      </c>
      <c r="N21" s="116">
        <v>28</v>
      </c>
      <c r="O21" s="116">
        <v>0</v>
      </c>
      <c r="P21" s="116">
        <v>0</v>
      </c>
      <c r="Q21" s="116">
        <v>25</v>
      </c>
      <c r="R21" s="116">
        <v>29</v>
      </c>
      <c r="S21" s="116">
        <v>31</v>
      </c>
      <c r="T21" s="116">
        <v>31</v>
      </c>
      <c r="U21" s="116">
        <v>31</v>
      </c>
      <c r="V21" s="116">
        <v>17</v>
      </c>
      <c r="W21" s="116">
        <v>0</v>
      </c>
      <c r="X21" s="116">
        <v>26</v>
      </c>
      <c r="Y21" s="116">
        <v>33</v>
      </c>
      <c r="Z21" s="116">
        <v>29</v>
      </c>
      <c r="AA21" s="116">
        <v>34</v>
      </c>
      <c r="AB21" s="116">
        <v>29</v>
      </c>
      <c r="AC21" s="116">
        <v>0</v>
      </c>
      <c r="AD21" s="116">
        <v>0</v>
      </c>
      <c r="AE21" s="116">
        <v>24</v>
      </c>
      <c r="AF21" s="116">
        <v>30</v>
      </c>
      <c r="AG21" s="116">
        <v>24</v>
      </c>
      <c r="AH21" s="116">
        <v>26</v>
      </c>
      <c r="AI21" s="116">
        <v>31</v>
      </c>
      <c r="AJ21" s="116">
        <v>28</v>
      </c>
      <c r="AK21" s="116">
        <v>0</v>
      </c>
      <c r="AL21" s="116">
        <v>0</v>
      </c>
      <c r="AM21" s="116">
        <v>0</v>
      </c>
      <c r="AN21" s="116">
        <v>618</v>
      </c>
      <c r="AO21" s="116">
        <v>0</v>
      </c>
      <c r="AP21" s="116">
        <v>0</v>
      </c>
      <c r="AQ21" s="116">
        <v>0</v>
      </c>
      <c r="AR21" s="116">
        <v>40</v>
      </c>
      <c r="AS21" s="116">
        <v>36</v>
      </c>
      <c r="AT21" s="116">
        <v>37</v>
      </c>
      <c r="AU21" s="116">
        <v>15</v>
      </c>
      <c r="AV21" s="116">
        <v>0</v>
      </c>
      <c r="AW21" s="116">
        <v>35</v>
      </c>
      <c r="AX21" s="116">
        <v>34</v>
      </c>
      <c r="AY21" s="116">
        <v>36</v>
      </c>
      <c r="AZ21" s="116">
        <v>34</v>
      </c>
      <c r="BA21" s="116">
        <v>31</v>
      </c>
      <c r="BB21" s="116">
        <v>29</v>
      </c>
      <c r="BC21" s="116">
        <v>0</v>
      </c>
      <c r="BD21" s="116">
        <v>32</v>
      </c>
      <c r="BE21" s="116">
        <v>30</v>
      </c>
      <c r="BF21" s="116">
        <v>31</v>
      </c>
      <c r="BG21" s="116">
        <v>34</v>
      </c>
      <c r="BH21" s="116">
        <v>33</v>
      </c>
      <c r="BI21" s="116">
        <v>33</v>
      </c>
      <c r="BJ21" s="116">
        <v>0</v>
      </c>
      <c r="BK21" s="116">
        <v>31</v>
      </c>
      <c r="BL21" s="116">
        <v>28</v>
      </c>
      <c r="BM21" s="116">
        <v>26</v>
      </c>
      <c r="BN21" s="116">
        <v>29</v>
      </c>
      <c r="BO21" s="116">
        <v>26</v>
      </c>
      <c r="BP21" s="116">
        <v>21</v>
      </c>
      <c r="BQ21" s="116">
        <v>0</v>
      </c>
      <c r="BR21" s="116">
        <v>28</v>
      </c>
      <c r="BS21" s="116">
        <v>24</v>
      </c>
      <c r="BT21" s="116">
        <v>733</v>
      </c>
      <c r="BU21" s="116">
        <v>22</v>
      </c>
      <c r="BV21" s="116">
        <v>22</v>
      </c>
      <c r="BW21" s="116">
        <v>22</v>
      </c>
      <c r="BX21" s="116">
        <v>11</v>
      </c>
      <c r="BY21" s="116">
        <v>0</v>
      </c>
      <c r="BZ21" s="116">
        <v>22</v>
      </c>
      <c r="CA21" s="116">
        <v>22</v>
      </c>
      <c r="CB21" s="116">
        <v>22</v>
      </c>
      <c r="CC21" s="116">
        <v>22</v>
      </c>
      <c r="CD21" s="116">
        <v>22</v>
      </c>
      <c r="CE21" s="116">
        <v>0</v>
      </c>
      <c r="CF21" s="116">
        <v>0</v>
      </c>
      <c r="CG21" s="116">
        <v>0</v>
      </c>
      <c r="CH21" s="116">
        <v>0</v>
      </c>
      <c r="CI21" s="116">
        <v>0</v>
      </c>
      <c r="CJ21" s="116">
        <v>0</v>
      </c>
      <c r="CK21" s="116">
        <v>0</v>
      </c>
      <c r="CL21" s="116">
        <v>0</v>
      </c>
      <c r="CM21" s="116">
        <v>0</v>
      </c>
      <c r="CN21" s="116">
        <v>22</v>
      </c>
      <c r="CO21" s="116">
        <v>22</v>
      </c>
      <c r="CP21" s="116">
        <v>22</v>
      </c>
      <c r="CQ21" s="116">
        <v>22</v>
      </c>
      <c r="CR21" s="116">
        <v>22</v>
      </c>
      <c r="CS21" s="116">
        <v>22</v>
      </c>
      <c r="CT21" s="116">
        <v>0</v>
      </c>
      <c r="CU21" s="116">
        <v>22</v>
      </c>
      <c r="CV21" s="116">
        <v>22</v>
      </c>
      <c r="CW21" s="116">
        <v>22</v>
      </c>
      <c r="CX21" s="116">
        <v>21</v>
      </c>
      <c r="CY21" s="116">
        <v>0</v>
      </c>
      <c r="CZ21" s="116">
        <v>406</v>
      </c>
      <c r="DA21" s="116">
        <v>0</v>
      </c>
      <c r="DB21" s="116">
        <v>0</v>
      </c>
      <c r="DC21" s="116">
        <v>0</v>
      </c>
      <c r="DD21" s="116">
        <v>0</v>
      </c>
      <c r="DE21" s="116">
        <v>0</v>
      </c>
      <c r="DF21" s="116">
        <v>0</v>
      </c>
      <c r="DG21" s="116">
        <v>0</v>
      </c>
      <c r="DH21" s="116">
        <v>0</v>
      </c>
      <c r="DI21" s="116">
        <v>0</v>
      </c>
      <c r="DJ21" s="116">
        <v>0</v>
      </c>
      <c r="DK21" s="116">
        <v>0</v>
      </c>
      <c r="DL21" s="116">
        <v>0</v>
      </c>
      <c r="DM21" s="116">
        <v>0</v>
      </c>
      <c r="DN21" s="116">
        <v>0</v>
      </c>
      <c r="DO21" s="116">
        <v>0</v>
      </c>
      <c r="DP21" s="116">
        <v>0</v>
      </c>
      <c r="DQ21" s="116">
        <v>0</v>
      </c>
      <c r="DR21" s="116">
        <v>0</v>
      </c>
      <c r="DS21" s="116">
        <v>0</v>
      </c>
      <c r="DT21" s="116">
        <v>0</v>
      </c>
      <c r="DU21" s="116">
        <v>0</v>
      </c>
      <c r="DV21" s="116">
        <v>0</v>
      </c>
      <c r="DW21" s="116">
        <v>0</v>
      </c>
      <c r="DX21" s="116">
        <v>0</v>
      </c>
      <c r="DY21" s="116">
        <v>0</v>
      </c>
      <c r="DZ21" s="116">
        <v>0</v>
      </c>
      <c r="EA21" s="116">
        <v>0</v>
      </c>
      <c r="EB21" s="116">
        <v>0</v>
      </c>
      <c r="EC21" s="116">
        <v>0</v>
      </c>
      <c r="ED21" s="116">
        <v>0</v>
      </c>
      <c r="EE21" s="116">
        <v>0</v>
      </c>
      <c r="EF21" s="243">
        <v>0</v>
      </c>
      <c r="EI21" t="s">
        <v>333</v>
      </c>
      <c r="EJ21" s="105" t="s">
        <v>187</v>
      </c>
      <c r="EL21" t="b">
        <f t="shared" si="0"/>
        <v>1</v>
      </c>
    </row>
    <row r="22" spans="1:142" x14ac:dyDescent="0.3">
      <c r="A22" s="115" t="s">
        <v>166</v>
      </c>
      <c r="B22" s="115" t="s">
        <v>189</v>
      </c>
      <c r="C22" s="115" t="s">
        <v>172</v>
      </c>
      <c r="D22" s="115" t="s">
        <v>331</v>
      </c>
      <c r="E22" s="118"/>
      <c r="F22" s="240" t="s">
        <v>334</v>
      </c>
      <c r="G22" s="240" t="s">
        <v>191</v>
      </c>
      <c r="H22" s="116">
        <v>25</v>
      </c>
      <c r="I22" s="116">
        <v>0</v>
      </c>
      <c r="J22" s="116">
        <v>10</v>
      </c>
      <c r="K22" s="116">
        <v>9</v>
      </c>
      <c r="L22" s="116">
        <v>10</v>
      </c>
      <c r="M22" s="116">
        <v>11</v>
      </c>
      <c r="N22" s="116">
        <v>8</v>
      </c>
      <c r="O22" s="116">
        <v>0</v>
      </c>
      <c r="P22" s="116">
        <v>0</v>
      </c>
      <c r="Q22" s="116">
        <v>9</v>
      </c>
      <c r="R22" s="116">
        <v>9</v>
      </c>
      <c r="S22" s="116">
        <v>9</v>
      </c>
      <c r="T22" s="116">
        <v>11</v>
      </c>
      <c r="U22" s="116">
        <v>9</v>
      </c>
      <c r="V22" s="116">
        <v>8</v>
      </c>
      <c r="W22" s="116">
        <v>0</v>
      </c>
      <c r="X22" s="116">
        <v>10</v>
      </c>
      <c r="Y22" s="116">
        <v>10</v>
      </c>
      <c r="Z22" s="116">
        <v>10</v>
      </c>
      <c r="AA22" s="116">
        <v>9</v>
      </c>
      <c r="AB22" s="116">
        <v>10</v>
      </c>
      <c r="AC22" s="116">
        <v>0</v>
      </c>
      <c r="AD22" s="116">
        <v>0</v>
      </c>
      <c r="AE22" s="116">
        <v>7</v>
      </c>
      <c r="AF22" s="116">
        <v>8</v>
      </c>
      <c r="AG22" s="116">
        <v>8</v>
      </c>
      <c r="AH22" s="116">
        <v>10</v>
      </c>
      <c r="AI22" s="116">
        <v>7</v>
      </c>
      <c r="AJ22" s="116">
        <v>9</v>
      </c>
      <c r="AK22" s="116">
        <v>0</v>
      </c>
      <c r="AL22" s="116">
        <v>0</v>
      </c>
      <c r="AM22" s="116">
        <v>0</v>
      </c>
      <c r="AN22" s="116">
        <v>201</v>
      </c>
      <c r="AO22" s="116">
        <v>0</v>
      </c>
      <c r="AP22" s="116">
        <v>0</v>
      </c>
      <c r="AQ22" s="116">
        <v>0</v>
      </c>
      <c r="AR22" s="116">
        <v>8</v>
      </c>
      <c r="AS22" s="116">
        <v>6</v>
      </c>
      <c r="AT22" s="116">
        <v>7</v>
      </c>
      <c r="AU22" s="116">
        <v>0</v>
      </c>
      <c r="AV22" s="116">
        <v>0</v>
      </c>
      <c r="AW22" s="116">
        <v>7</v>
      </c>
      <c r="AX22" s="116">
        <v>6</v>
      </c>
      <c r="AY22" s="116">
        <v>6</v>
      </c>
      <c r="AZ22" s="116">
        <v>8</v>
      </c>
      <c r="BA22" s="116">
        <v>7</v>
      </c>
      <c r="BB22" s="116">
        <v>6</v>
      </c>
      <c r="BC22" s="116">
        <v>0</v>
      </c>
      <c r="BD22" s="116">
        <v>7</v>
      </c>
      <c r="BE22" s="116">
        <v>5</v>
      </c>
      <c r="BF22" s="116">
        <v>7</v>
      </c>
      <c r="BG22" s="116">
        <v>6</v>
      </c>
      <c r="BH22" s="116">
        <v>7</v>
      </c>
      <c r="BI22" s="116">
        <v>0</v>
      </c>
      <c r="BJ22" s="116">
        <v>0</v>
      </c>
      <c r="BK22" s="116">
        <v>6</v>
      </c>
      <c r="BL22" s="116">
        <v>6</v>
      </c>
      <c r="BM22" s="116">
        <v>7</v>
      </c>
      <c r="BN22" s="116">
        <v>6</v>
      </c>
      <c r="BO22" s="116">
        <v>7</v>
      </c>
      <c r="BP22" s="116">
        <v>6</v>
      </c>
      <c r="BQ22" s="116">
        <v>0</v>
      </c>
      <c r="BR22" s="116">
        <v>7</v>
      </c>
      <c r="BS22" s="116">
        <v>6</v>
      </c>
      <c r="BT22" s="116">
        <v>144</v>
      </c>
      <c r="BU22" s="116">
        <v>4</v>
      </c>
      <c r="BV22" s="116">
        <v>4</v>
      </c>
      <c r="BW22" s="116">
        <v>4</v>
      </c>
      <c r="BX22" s="116">
        <v>2</v>
      </c>
      <c r="BY22" s="116">
        <v>0</v>
      </c>
      <c r="BZ22" s="116">
        <v>4</v>
      </c>
      <c r="CA22" s="116">
        <v>4</v>
      </c>
      <c r="CB22" s="116">
        <v>4</v>
      </c>
      <c r="CC22" s="116">
        <v>4</v>
      </c>
      <c r="CD22" s="116">
        <v>4</v>
      </c>
      <c r="CE22" s="116">
        <v>0</v>
      </c>
      <c r="CF22" s="116">
        <v>0</v>
      </c>
      <c r="CG22" s="116">
        <v>0</v>
      </c>
      <c r="CH22" s="116">
        <v>0</v>
      </c>
      <c r="CI22" s="116">
        <v>0</v>
      </c>
      <c r="CJ22" s="116">
        <v>0</v>
      </c>
      <c r="CK22" s="116">
        <v>0</v>
      </c>
      <c r="CL22" s="116">
        <v>0</v>
      </c>
      <c r="CM22" s="116">
        <v>0</v>
      </c>
      <c r="CN22" s="116">
        <v>5</v>
      </c>
      <c r="CO22" s="116">
        <v>4</v>
      </c>
      <c r="CP22" s="116">
        <v>5</v>
      </c>
      <c r="CQ22" s="116">
        <v>4</v>
      </c>
      <c r="CR22" s="116">
        <v>5</v>
      </c>
      <c r="CS22" s="116">
        <v>4</v>
      </c>
      <c r="CT22" s="116">
        <v>0</v>
      </c>
      <c r="CU22" s="116">
        <v>5</v>
      </c>
      <c r="CV22" s="116">
        <v>4</v>
      </c>
      <c r="CW22" s="116">
        <v>5</v>
      </c>
      <c r="CX22" s="116">
        <v>4</v>
      </c>
      <c r="CY22" s="116">
        <v>0</v>
      </c>
      <c r="CZ22" s="116">
        <v>79</v>
      </c>
      <c r="DA22" s="116">
        <v>0</v>
      </c>
      <c r="DB22" s="116">
        <v>0</v>
      </c>
      <c r="DC22" s="116">
        <v>0</v>
      </c>
      <c r="DD22" s="116">
        <v>9</v>
      </c>
      <c r="DE22" s="116">
        <v>9</v>
      </c>
      <c r="DF22" s="116">
        <v>9</v>
      </c>
      <c r="DG22" s="116">
        <v>9</v>
      </c>
      <c r="DH22" s="116">
        <v>9</v>
      </c>
      <c r="DI22" s="116">
        <v>9</v>
      </c>
      <c r="DJ22" s="116">
        <v>0</v>
      </c>
      <c r="DK22" s="116">
        <v>9</v>
      </c>
      <c r="DL22" s="116">
        <v>9</v>
      </c>
      <c r="DM22" s="116">
        <v>9</v>
      </c>
      <c r="DN22" s="116">
        <v>9</v>
      </c>
      <c r="DO22" s="116">
        <v>9</v>
      </c>
      <c r="DP22" s="116">
        <v>4</v>
      </c>
      <c r="DQ22" s="116">
        <v>0</v>
      </c>
      <c r="DR22" s="116">
        <v>9</v>
      </c>
      <c r="DS22" s="116">
        <v>9</v>
      </c>
      <c r="DT22" s="116">
        <v>9</v>
      </c>
      <c r="DU22" s="116">
        <v>9</v>
      </c>
      <c r="DV22" s="116">
        <v>9</v>
      </c>
      <c r="DW22" s="116">
        <v>9</v>
      </c>
      <c r="DX22" s="116">
        <v>0</v>
      </c>
      <c r="DY22" s="116">
        <v>9</v>
      </c>
      <c r="DZ22" s="116">
        <v>9</v>
      </c>
      <c r="EA22" s="116">
        <v>8</v>
      </c>
      <c r="EB22" s="116">
        <v>9</v>
      </c>
      <c r="EC22" s="116">
        <v>8</v>
      </c>
      <c r="ED22" s="116">
        <v>0</v>
      </c>
      <c r="EE22" s="116">
        <v>0</v>
      </c>
      <c r="EF22" s="116">
        <v>200</v>
      </c>
      <c r="EJ22" s="105"/>
    </row>
    <row r="23" spans="1:142" x14ac:dyDescent="0.3">
      <c r="A23" s="115" t="s">
        <v>166</v>
      </c>
      <c r="B23" s="115" t="s">
        <v>189</v>
      </c>
      <c r="C23" s="115" t="s">
        <v>172</v>
      </c>
      <c r="D23" s="115" t="s">
        <v>331</v>
      </c>
      <c r="E23" s="115" t="s">
        <v>335</v>
      </c>
      <c r="F23" s="240" t="s">
        <v>173</v>
      </c>
      <c r="G23" s="240" t="s">
        <v>191</v>
      </c>
      <c r="H23" s="116">
        <v>25</v>
      </c>
      <c r="I23" s="116">
        <v>0</v>
      </c>
      <c r="J23" s="116">
        <v>110</v>
      </c>
      <c r="K23" s="116">
        <v>106</v>
      </c>
      <c r="L23" s="116">
        <v>101</v>
      </c>
      <c r="M23" s="116">
        <v>100</v>
      </c>
      <c r="N23" s="116">
        <v>92</v>
      </c>
      <c r="O23" s="116">
        <v>0</v>
      </c>
      <c r="P23" s="116">
        <v>0</v>
      </c>
      <c r="Q23" s="116">
        <v>107</v>
      </c>
      <c r="R23" s="116">
        <v>108</v>
      </c>
      <c r="S23" s="116">
        <v>100</v>
      </c>
      <c r="T23" s="116">
        <v>108</v>
      </c>
      <c r="U23" s="116">
        <v>99</v>
      </c>
      <c r="V23" s="116">
        <v>94</v>
      </c>
      <c r="W23" s="116">
        <v>0</v>
      </c>
      <c r="X23" s="116">
        <v>105</v>
      </c>
      <c r="Y23" s="116">
        <v>98</v>
      </c>
      <c r="Z23" s="116">
        <v>106</v>
      </c>
      <c r="AA23" s="116">
        <v>103</v>
      </c>
      <c r="AB23" s="116">
        <v>101</v>
      </c>
      <c r="AC23" s="116">
        <v>0</v>
      </c>
      <c r="AD23" s="116">
        <v>0</v>
      </c>
      <c r="AE23" s="116">
        <v>0</v>
      </c>
      <c r="AF23" s="116">
        <v>0</v>
      </c>
      <c r="AG23" s="116">
        <v>0</v>
      </c>
      <c r="AH23" s="116">
        <v>0</v>
      </c>
      <c r="AI23" s="116">
        <v>0</v>
      </c>
      <c r="AJ23" s="116">
        <v>1</v>
      </c>
      <c r="AK23" s="116">
        <v>0</v>
      </c>
      <c r="AL23" s="116">
        <v>0</v>
      </c>
      <c r="AM23" s="116">
        <v>0</v>
      </c>
      <c r="AN23" s="116">
        <v>1639</v>
      </c>
      <c r="AO23" s="116">
        <v>0</v>
      </c>
      <c r="AP23" s="116">
        <v>0</v>
      </c>
      <c r="AQ23" s="116">
        <v>0</v>
      </c>
      <c r="AR23" s="116">
        <v>121</v>
      </c>
      <c r="AS23" s="116">
        <v>122</v>
      </c>
      <c r="AT23" s="116">
        <v>116</v>
      </c>
      <c r="AU23" s="116">
        <v>50</v>
      </c>
      <c r="AV23" s="116">
        <v>0</v>
      </c>
      <c r="AW23" s="116">
        <v>116</v>
      </c>
      <c r="AX23" s="116">
        <v>115</v>
      </c>
      <c r="AY23" s="116">
        <v>121</v>
      </c>
      <c r="AZ23" s="116">
        <v>120</v>
      </c>
      <c r="BA23" s="116">
        <v>108</v>
      </c>
      <c r="BB23" s="116">
        <v>100</v>
      </c>
      <c r="BC23" s="116">
        <v>0</v>
      </c>
      <c r="BD23" s="116">
        <v>166</v>
      </c>
      <c r="BE23" s="116">
        <v>157</v>
      </c>
      <c r="BF23" s="116">
        <v>148</v>
      </c>
      <c r="BG23" s="116">
        <v>170</v>
      </c>
      <c r="BH23" s="116">
        <v>159</v>
      </c>
      <c r="BI23" s="116">
        <v>158</v>
      </c>
      <c r="BJ23" s="116">
        <v>0</v>
      </c>
      <c r="BK23" s="116">
        <v>170</v>
      </c>
      <c r="BL23" s="116">
        <v>165</v>
      </c>
      <c r="BM23" s="116">
        <v>143</v>
      </c>
      <c r="BN23" s="116">
        <v>173</v>
      </c>
      <c r="BO23" s="116">
        <v>154</v>
      </c>
      <c r="BP23" s="116">
        <v>143</v>
      </c>
      <c r="BQ23" s="116">
        <v>0</v>
      </c>
      <c r="BR23" s="116">
        <v>170</v>
      </c>
      <c r="BS23" s="116">
        <v>151</v>
      </c>
      <c r="BT23" s="116">
        <v>3316</v>
      </c>
      <c r="BU23" s="116">
        <v>118</v>
      </c>
      <c r="BV23" s="116">
        <v>118</v>
      </c>
      <c r="BW23" s="116">
        <v>118</v>
      </c>
      <c r="BX23" s="116">
        <v>59</v>
      </c>
      <c r="BY23" s="116">
        <v>0</v>
      </c>
      <c r="BZ23" s="116">
        <v>118</v>
      </c>
      <c r="CA23" s="116">
        <v>118</v>
      </c>
      <c r="CB23" s="116">
        <v>118</v>
      </c>
      <c r="CC23" s="116">
        <v>118</v>
      </c>
      <c r="CD23" s="116">
        <v>118</v>
      </c>
      <c r="CE23" s="116">
        <v>0</v>
      </c>
      <c r="CF23" s="116">
        <v>0</v>
      </c>
      <c r="CG23" s="116">
        <v>0</v>
      </c>
      <c r="CH23" s="116">
        <v>0</v>
      </c>
      <c r="CI23" s="116">
        <v>0</v>
      </c>
      <c r="CJ23" s="116">
        <v>0</v>
      </c>
      <c r="CK23" s="116">
        <v>0</v>
      </c>
      <c r="CL23" s="116">
        <v>0</v>
      </c>
      <c r="CM23" s="116">
        <v>0</v>
      </c>
      <c r="CN23" s="116">
        <v>118</v>
      </c>
      <c r="CO23" s="116">
        <v>118</v>
      </c>
      <c r="CP23" s="116">
        <v>118</v>
      </c>
      <c r="CQ23" s="116">
        <v>118</v>
      </c>
      <c r="CR23" s="116">
        <v>118</v>
      </c>
      <c r="CS23" s="116">
        <v>118</v>
      </c>
      <c r="CT23" s="116">
        <v>0</v>
      </c>
      <c r="CU23" s="116">
        <v>118</v>
      </c>
      <c r="CV23" s="116">
        <v>118</v>
      </c>
      <c r="CW23" s="116">
        <v>118</v>
      </c>
      <c r="CX23" s="116">
        <v>118</v>
      </c>
      <c r="CY23" s="116">
        <v>0</v>
      </c>
      <c r="CZ23" s="116">
        <v>2183</v>
      </c>
      <c r="DA23" s="116">
        <v>0</v>
      </c>
      <c r="DB23" s="116">
        <v>0</v>
      </c>
      <c r="DC23" s="116">
        <v>0</v>
      </c>
      <c r="DD23" s="116">
        <v>147</v>
      </c>
      <c r="DE23" s="116">
        <v>147</v>
      </c>
      <c r="DF23" s="116">
        <v>147</v>
      </c>
      <c r="DG23" s="116">
        <v>147</v>
      </c>
      <c r="DH23" s="116">
        <v>147</v>
      </c>
      <c r="DI23" s="116">
        <v>147</v>
      </c>
      <c r="DJ23" s="116">
        <v>0</v>
      </c>
      <c r="DK23" s="116">
        <v>147</v>
      </c>
      <c r="DL23" s="116">
        <v>147</v>
      </c>
      <c r="DM23" s="116">
        <v>147</v>
      </c>
      <c r="DN23" s="116">
        <v>147</v>
      </c>
      <c r="DO23" s="116">
        <v>147</v>
      </c>
      <c r="DP23" s="116">
        <v>74</v>
      </c>
      <c r="DQ23" s="116">
        <v>0</v>
      </c>
      <c r="DR23" s="116">
        <v>147</v>
      </c>
      <c r="DS23" s="116">
        <v>147</v>
      </c>
      <c r="DT23" s="116">
        <v>147</v>
      </c>
      <c r="DU23" s="116">
        <v>147</v>
      </c>
      <c r="DV23" s="116">
        <v>147</v>
      </c>
      <c r="DW23" s="116">
        <v>147</v>
      </c>
      <c r="DX23" s="116">
        <v>0</v>
      </c>
      <c r="DY23" s="116">
        <v>147</v>
      </c>
      <c r="DZ23" s="116">
        <v>147</v>
      </c>
      <c r="EA23" s="116">
        <v>147</v>
      </c>
      <c r="EB23" s="116">
        <v>147</v>
      </c>
      <c r="EC23" s="116">
        <v>147</v>
      </c>
      <c r="ED23" s="116">
        <v>0</v>
      </c>
      <c r="EE23" s="116">
        <v>0</v>
      </c>
      <c r="EF23" s="116">
        <v>3308</v>
      </c>
      <c r="EJ23" s="105"/>
    </row>
    <row r="24" spans="1:142" x14ac:dyDescent="0.3">
      <c r="A24" s="115" t="s">
        <v>168</v>
      </c>
      <c r="B24" s="115" t="s">
        <v>192</v>
      </c>
      <c r="C24" s="115" t="s">
        <v>172</v>
      </c>
      <c r="D24" s="115" t="s">
        <v>331</v>
      </c>
      <c r="E24" s="118"/>
      <c r="F24" s="240" t="s">
        <v>334</v>
      </c>
      <c r="G24" s="240" t="s">
        <v>191</v>
      </c>
      <c r="H24" s="116">
        <v>38</v>
      </c>
      <c r="I24" s="116">
        <v>0</v>
      </c>
      <c r="J24" s="116">
        <v>10</v>
      </c>
      <c r="K24" s="116">
        <v>9</v>
      </c>
      <c r="L24" s="116">
        <v>10</v>
      </c>
      <c r="M24" s="116">
        <v>11</v>
      </c>
      <c r="N24" s="116">
        <v>8</v>
      </c>
      <c r="O24" s="116">
        <v>0</v>
      </c>
      <c r="P24" s="116">
        <v>0</v>
      </c>
      <c r="Q24" s="116">
        <v>9</v>
      </c>
      <c r="R24" s="116">
        <v>9</v>
      </c>
      <c r="S24" s="116">
        <v>9</v>
      </c>
      <c r="T24" s="116">
        <v>11</v>
      </c>
      <c r="U24" s="116">
        <v>9</v>
      </c>
      <c r="V24" s="116">
        <v>8</v>
      </c>
      <c r="W24" s="116">
        <v>0</v>
      </c>
      <c r="X24" s="116">
        <v>10</v>
      </c>
      <c r="Y24" s="116">
        <v>10</v>
      </c>
      <c r="Z24" s="116">
        <v>10</v>
      </c>
      <c r="AA24" s="116">
        <v>9</v>
      </c>
      <c r="AB24" s="116">
        <v>10</v>
      </c>
      <c r="AC24" s="116">
        <v>0</v>
      </c>
      <c r="AD24" s="116">
        <v>0</v>
      </c>
      <c r="AE24" s="116">
        <v>7</v>
      </c>
      <c r="AF24" s="116">
        <v>8</v>
      </c>
      <c r="AG24" s="116">
        <v>8</v>
      </c>
      <c r="AH24" s="116">
        <v>10</v>
      </c>
      <c r="AI24" s="116">
        <v>7</v>
      </c>
      <c r="AJ24" s="116">
        <v>9</v>
      </c>
      <c r="AK24" s="116">
        <v>0</v>
      </c>
      <c r="AL24" s="116">
        <v>0</v>
      </c>
      <c r="AM24" s="116">
        <v>0</v>
      </c>
      <c r="AN24" s="116">
        <v>201</v>
      </c>
      <c r="AO24" s="116">
        <v>0</v>
      </c>
      <c r="AP24" s="116">
        <v>0</v>
      </c>
      <c r="AQ24" s="116">
        <v>0</v>
      </c>
      <c r="AR24" s="116">
        <v>8</v>
      </c>
      <c r="AS24" s="116">
        <v>6</v>
      </c>
      <c r="AT24" s="116">
        <v>7</v>
      </c>
      <c r="AU24" s="116">
        <v>0</v>
      </c>
      <c r="AV24" s="116">
        <v>0</v>
      </c>
      <c r="AW24" s="116">
        <v>7</v>
      </c>
      <c r="AX24" s="116">
        <v>6</v>
      </c>
      <c r="AY24" s="116">
        <v>6</v>
      </c>
      <c r="AZ24" s="116">
        <v>8</v>
      </c>
      <c r="BA24" s="116">
        <v>7</v>
      </c>
      <c r="BB24" s="116">
        <v>6</v>
      </c>
      <c r="BC24" s="116">
        <v>0</v>
      </c>
      <c r="BD24" s="116">
        <v>7</v>
      </c>
      <c r="BE24" s="116">
        <v>5</v>
      </c>
      <c r="BF24" s="116">
        <v>7</v>
      </c>
      <c r="BG24" s="116">
        <v>6</v>
      </c>
      <c r="BH24" s="116">
        <v>7</v>
      </c>
      <c r="BI24" s="116">
        <v>0</v>
      </c>
      <c r="BJ24" s="116">
        <v>0</v>
      </c>
      <c r="BK24" s="116">
        <v>6</v>
      </c>
      <c r="BL24" s="116">
        <v>6</v>
      </c>
      <c r="BM24" s="116">
        <v>7</v>
      </c>
      <c r="BN24" s="116">
        <v>6</v>
      </c>
      <c r="BO24" s="116">
        <v>7</v>
      </c>
      <c r="BP24" s="116">
        <v>6</v>
      </c>
      <c r="BQ24" s="116">
        <v>0</v>
      </c>
      <c r="BR24" s="116">
        <v>7</v>
      </c>
      <c r="BS24" s="116">
        <v>6</v>
      </c>
      <c r="BT24" s="116">
        <v>144</v>
      </c>
      <c r="BU24" s="116">
        <v>4</v>
      </c>
      <c r="BV24" s="116">
        <v>4</v>
      </c>
      <c r="BW24" s="116">
        <v>4</v>
      </c>
      <c r="BX24" s="116">
        <v>2</v>
      </c>
      <c r="BY24" s="116">
        <v>0</v>
      </c>
      <c r="BZ24" s="116">
        <v>4</v>
      </c>
      <c r="CA24" s="116">
        <v>4</v>
      </c>
      <c r="CB24" s="116">
        <v>4</v>
      </c>
      <c r="CC24" s="116">
        <v>4</v>
      </c>
      <c r="CD24" s="116">
        <v>4</v>
      </c>
      <c r="CE24" s="116">
        <v>0</v>
      </c>
      <c r="CF24" s="116">
        <v>0</v>
      </c>
      <c r="CG24" s="116">
        <v>0</v>
      </c>
      <c r="CH24" s="116">
        <v>0</v>
      </c>
      <c r="CI24" s="116">
        <v>0</v>
      </c>
      <c r="CJ24" s="116">
        <v>0</v>
      </c>
      <c r="CK24" s="116">
        <v>0</v>
      </c>
      <c r="CL24" s="116">
        <v>0</v>
      </c>
      <c r="CM24" s="116">
        <v>0</v>
      </c>
      <c r="CN24" s="116">
        <v>5</v>
      </c>
      <c r="CO24" s="116">
        <v>4</v>
      </c>
      <c r="CP24" s="116">
        <v>5</v>
      </c>
      <c r="CQ24" s="116">
        <v>4</v>
      </c>
      <c r="CR24" s="116">
        <v>5</v>
      </c>
      <c r="CS24" s="116">
        <v>4</v>
      </c>
      <c r="CT24" s="116">
        <v>0</v>
      </c>
      <c r="CU24" s="116">
        <v>5</v>
      </c>
      <c r="CV24" s="116">
        <v>4</v>
      </c>
      <c r="CW24" s="116">
        <v>5</v>
      </c>
      <c r="CX24" s="116">
        <v>4</v>
      </c>
      <c r="CY24" s="116">
        <v>0</v>
      </c>
      <c r="CZ24" s="116">
        <v>79</v>
      </c>
      <c r="DA24" s="116">
        <v>0</v>
      </c>
      <c r="DB24" s="116">
        <v>0</v>
      </c>
      <c r="DC24" s="116">
        <v>0</v>
      </c>
      <c r="DD24" s="116">
        <v>9</v>
      </c>
      <c r="DE24" s="116">
        <v>9</v>
      </c>
      <c r="DF24" s="116">
        <v>9</v>
      </c>
      <c r="DG24" s="116">
        <v>9</v>
      </c>
      <c r="DH24" s="116">
        <v>9</v>
      </c>
      <c r="DI24" s="116">
        <v>9</v>
      </c>
      <c r="DJ24" s="116">
        <v>0</v>
      </c>
      <c r="DK24" s="116">
        <v>9</v>
      </c>
      <c r="DL24" s="116">
        <v>9</v>
      </c>
      <c r="DM24" s="116">
        <v>9</v>
      </c>
      <c r="DN24" s="116">
        <v>9</v>
      </c>
      <c r="DO24" s="116">
        <v>9</v>
      </c>
      <c r="DP24" s="116">
        <v>4</v>
      </c>
      <c r="DQ24" s="116">
        <v>0</v>
      </c>
      <c r="DR24" s="116">
        <v>9</v>
      </c>
      <c r="DS24" s="116">
        <v>9</v>
      </c>
      <c r="DT24" s="116">
        <v>9</v>
      </c>
      <c r="DU24" s="116">
        <v>9</v>
      </c>
      <c r="DV24" s="116">
        <v>9</v>
      </c>
      <c r="DW24" s="116">
        <v>9</v>
      </c>
      <c r="DX24" s="116">
        <v>0</v>
      </c>
      <c r="DY24" s="116">
        <v>9</v>
      </c>
      <c r="DZ24" s="116">
        <v>9</v>
      </c>
      <c r="EA24" s="116">
        <v>8</v>
      </c>
      <c r="EB24" s="116">
        <v>9</v>
      </c>
      <c r="EC24" s="116">
        <v>8</v>
      </c>
      <c r="ED24" s="116">
        <v>0</v>
      </c>
      <c r="EE24" s="116">
        <v>0</v>
      </c>
      <c r="EF24" s="116">
        <v>200</v>
      </c>
      <c r="EJ24" s="105"/>
    </row>
    <row r="25" spans="1:142" x14ac:dyDescent="0.3">
      <c r="A25" s="115" t="s">
        <v>168</v>
      </c>
      <c r="B25" s="115" t="s">
        <v>192</v>
      </c>
      <c r="C25" s="115" t="s">
        <v>172</v>
      </c>
      <c r="D25" s="115" t="s">
        <v>331</v>
      </c>
      <c r="E25" s="115" t="s">
        <v>335</v>
      </c>
      <c r="F25" s="240" t="s">
        <v>173</v>
      </c>
      <c r="G25" s="240" t="s">
        <v>191</v>
      </c>
      <c r="H25" s="116">
        <v>38</v>
      </c>
      <c r="I25" s="116">
        <v>0</v>
      </c>
      <c r="J25" s="116">
        <v>110</v>
      </c>
      <c r="K25" s="116">
        <v>106</v>
      </c>
      <c r="L25" s="116">
        <v>101</v>
      </c>
      <c r="M25" s="116">
        <v>100</v>
      </c>
      <c r="N25" s="116">
        <v>92</v>
      </c>
      <c r="O25" s="116">
        <v>0</v>
      </c>
      <c r="P25" s="116">
        <v>0</v>
      </c>
      <c r="Q25" s="116">
        <v>107</v>
      </c>
      <c r="R25" s="116">
        <v>108</v>
      </c>
      <c r="S25" s="116">
        <v>100</v>
      </c>
      <c r="T25" s="116">
        <v>108</v>
      </c>
      <c r="U25" s="116">
        <v>99</v>
      </c>
      <c r="V25" s="116">
        <v>94</v>
      </c>
      <c r="W25" s="116">
        <v>0</v>
      </c>
      <c r="X25" s="116">
        <v>105</v>
      </c>
      <c r="Y25" s="116">
        <v>98</v>
      </c>
      <c r="Z25" s="116">
        <v>106</v>
      </c>
      <c r="AA25" s="116">
        <v>103</v>
      </c>
      <c r="AB25" s="116">
        <v>101</v>
      </c>
      <c r="AC25" s="116">
        <v>0</v>
      </c>
      <c r="AD25" s="116">
        <v>0</v>
      </c>
      <c r="AE25" s="116">
        <v>0</v>
      </c>
      <c r="AF25" s="116">
        <v>0</v>
      </c>
      <c r="AG25" s="116">
        <v>0</v>
      </c>
      <c r="AH25" s="116">
        <v>0</v>
      </c>
      <c r="AI25" s="116">
        <v>0</v>
      </c>
      <c r="AJ25" s="116">
        <v>1</v>
      </c>
      <c r="AK25" s="116">
        <v>0</v>
      </c>
      <c r="AL25" s="116">
        <v>0</v>
      </c>
      <c r="AM25" s="116">
        <v>0</v>
      </c>
      <c r="AN25" s="116">
        <v>1639</v>
      </c>
      <c r="AO25" s="116">
        <v>0</v>
      </c>
      <c r="AP25" s="116">
        <v>0</v>
      </c>
      <c r="AQ25" s="116">
        <v>0</v>
      </c>
      <c r="AR25" s="116">
        <v>121</v>
      </c>
      <c r="AS25" s="116">
        <v>122</v>
      </c>
      <c r="AT25" s="116">
        <v>116</v>
      </c>
      <c r="AU25" s="116">
        <v>50</v>
      </c>
      <c r="AV25" s="116">
        <v>0</v>
      </c>
      <c r="AW25" s="116">
        <v>116</v>
      </c>
      <c r="AX25" s="116">
        <v>115</v>
      </c>
      <c r="AY25" s="116">
        <v>121</v>
      </c>
      <c r="AZ25" s="116">
        <v>120</v>
      </c>
      <c r="BA25" s="116">
        <v>108</v>
      </c>
      <c r="BB25" s="116">
        <v>100</v>
      </c>
      <c r="BC25" s="116">
        <v>0</v>
      </c>
      <c r="BD25" s="116">
        <v>166</v>
      </c>
      <c r="BE25" s="116">
        <v>157</v>
      </c>
      <c r="BF25" s="116">
        <v>148</v>
      </c>
      <c r="BG25" s="116">
        <v>170</v>
      </c>
      <c r="BH25" s="116">
        <v>159</v>
      </c>
      <c r="BI25" s="116">
        <v>158</v>
      </c>
      <c r="BJ25" s="116">
        <v>0</v>
      </c>
      <c r="BK25" s="116">
        <v>170</v>
      </c>
      <c r="BL25" s="116">
        <v>165</v>
      </c>
      <c r="BM25" s="116">
        <v>143</v>
      </c>
      <c r="BN25" s="116">
        <v>173</v>
      </c>
      <c r="BO25" s="116">
        <v>154</v>
      </c>
      <c r="BP25" s="116">
        <v>143</v>
      </c>
      <c r="BQ25" s="116">
        <v>0</v>
      </c>
      <c r="BR25" s="116">
        <v>170</v>
      </c>
      <c r="BS25" s="116">
        <v>151</v>
      </c>
      <c r="BT25" s="116">
        <v>3316</v>
      </c>
      <c r="BU25" s="116">
        <v>118</v>
      </c>
      <c r="BV25" s="116">
        <v>118</v>
      </c>
      <c r="BW25" s="116">
        <v>118</v>
      </c>
      <c r="BX25" s="116">
        <v>59</v>
      </c>
      <c r="BY25" s="116">
        <v>0</v>
      </c>
      <c r="BZ25" s="116">
        <v>118</v>
      </c>
      <c r="CA25" s="116">
        <v>118</v>
      </c>
      <c r="CB25" s="116">
        <v>118</v>
      </c>
      <c r="CC25" s="116">
        <v>118</v>
      </c>
      <c r="CD25" s="116">
        <v>118</v>
      </c>
      <c r="CE25" s="116">
        <v>0</v>
      </c>
      <c r="CF25" s="116">
        <v>0</v>
      </c>
      <c r="CG25" s="116">
        <v>0</v>
      </c>
      <c r="CH25" s="116">
        <v>0</v>
      </c>
      <c r="CI25" s="116">
        <v>0</v>
      </c>
      <c r="CJ25" s="116">
        <v>0</v>
      </c>
      <c r="CK25" s="116">
        <v>0</v>
      </c>
      <c r="CL25" s="116">
        <v>0</v>
      </c>
      <c r="CM25" s="116">
        <v>0</v>
      </c>
      <c r="CN25" s="116">
        <v>118</v>
      </c>
      <c r="CO25" s="116">
        <v>118</v>
      </c>
      <c r="CP25" s="116">
        <v>118</v>
      </c>
      <c r="CQ25" s="116">
        <v>118</v>
      </c>
      <c r="CR25" s="116">
        <v>118</v>
      </c>
      <c r="CS25" s="116">
        <v>118</v>
      </c>
      <c r="CT25" s="116">
        <v>0</v>
      </c>
      <c r="CU25" s="116">
        <v>118</v>
      </c>
      <c r="CV25" s="116">
        <v>118</v>
      </c>
      <c r="CW25" s="116">
        <v>118</v>
      </c>
      <c r="CX25" s="116">
        <v>118</v>
      </c>
      <c r="CY25" s="116">
        <v>0</v>
      </c>
      <c r="CZ25" s="116">
        <v>2183</v>
      </c>
      <c r="DA25" s="116">
        <v>0</v>
      </c>
      <c r="DB25" s="116">
        <v>0</v>
      </c>
      <c r="DC25" s="116">
        <v>0</v>
      </c>
      <c r="DD25" s="116">
        <v>147</v>
      </c>
      <c r="DE25" s="116">
        <v>147</v>
      </c>
      <c r="DF25" s="116">
        <v>147</v>
      </c>
      <c r="DG25" s="116">
        <v>147</v>
      </c>
      <c r="DH25" s="116">
        <v>147</v>
      </c>
      <c r="DI25" s="116">
        <v>147</v>
      </c>
      <c r="DJ25" s="116">
        <v>0</v>
      </c>
      <c r="DK25" s="116">
        <v>147</v>
      </c>
      <c r="DL25" s="116">
        <v>147</v>
      </c>
      <c r="DM25" s="116">
        <v>147</v>
      </c>
      <c r="DN25" s="116">
        <v>147</v>
      </c>
      <c r="DO25" s="116">
        <v>147</v>
      </c>
      <c r="DP25" s="116">
        <v>74</v>
      </c>
      <c r="DQ25" s="116">
        <v>0</v>
      </c>
      <c r="DR25" s="116">
        <v>147</v>
      </c>
      <c r="DS25" s="116">
        <v>147</v>
      </c>
      <c r="DT25" s="116">
        <v>147</v>
      </c>
      <c r="DU25" s="116">
        <v>147</v>
      </c>
      <c r="DV25" s="116">
        <v>147</v>
      </c>
      <c r="DW25" s="116">
        <v>147</v>
      </c>
      <c r="DX25" s="116">
        <v>0</v>
      </c>
      <c r="DY25" s="116">
        <v>147</v>
      </c>
      <c r="DZ25" s="116">
        <v>147</v>
      </c>
      <c r="EA25" s="116">
        <v>147</v>
      </c>
      <c r="EB25" s="116">
        <v>147</v>
      </c>
      <c r="EC25" s="116">
        <v>147</v>
      </c>
      <c r="ED25" s="116">
        <v>0</v>
      </c>
      <c r="EE25" s="116">
        <v>0</v>
      </c>
      <c r="EF25" s="116">
        <v>3308</v>
      </c>
      <c r="EJ25" s="105"/>
    </row>
    <row r="26" spans="1:142" x14ac:dyDescent="0.3">
      <c r="A26" s="131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50">
        <f>SUM(AN14:AN25)</f>
        <v>9079</v>
      </c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>
        <f>SUM(BT14:BT25)</f>
        <v>11796</v>
      </c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  <c r="CJ26" s="150"/>
      <c r="CK26" s="150"/>
      <c r="CL26" s="150"/>
      <c r="CM26" s="150"/>
      <c r="CN26" s="150"/>
      <c r="CO26" s="150"/>
      <c r="CP26" s="150"/>
      <c r="CQ26" s="150"/>
      <c r="CR26" s="150"/>
      <c r="CS26" s="150"/>
      <c r="CT26" s="150"/>
      <c r="CU26" s="150"/>
      <c r="CV26" s="150"/>
      <c r="CW26" s="150"/>
      <c r="CX26" s="150"/>
      <c r="CY26" s="150"/>
      <c r="CZ26" s="150">
        <f>SUM(CZ14:CZ25)</f>
        <v>7088</v>
      </c>
      <c r="DA26" s="150"/>
      <c r="DB26" s="150"/>
      <c r="DC26" s="150"/>
      <c r="DD26" s="150"/>
      <c r="DE26" s="150"/>
      <c r="DF26" s="150"/>
      <c r="DG26" s="150"/>
      <c r="DH26" s="150"/>
      <c r="DI26" s="150"/>
      <c r="DJ26" s="150"/>
      <c r="DK26" s="150"/>
      <c r="DL26" s="150"/>
      <c r="DM26" s="150"/>
      <c r="DN26" s="150"/>
      <c r="DO26" s="150"/>
      <c r="DP26" s="150"/>
      <c r="DQ26" s="150"/>
      <c r="DR26" s="150"/>
      <c r="DS26" s="150"/>
      <c r="DT26" s="150"/>
      <c r="DU26" s="150"/>
      <c r="DV26" s="150"/>
      <c r="DW26" s="150"/>
      <c r="DX26" s="150"/>
      <c r="DY26" s="150"/>
      <c r="DZ26" s="150"/>
      <c r="EA26" s="150"/>
      <c r="EB26" s="150"/>
      <c r="EC26" s="150"/>
      <c r="ED26" s="150"/>
      <c r="EE26" s="150"/>
      <c r="EF26" s="150">
        <f>SUM(EF14:EF25)</f>
        <v>8944</v>
      </c>
      <c r="EG26" s="149">
        <f>AN26+BT26+CZ26+EF26</f>
        <v>36907</v>
      </c>
    </row>
  </sheetData>
  <autoFilter ref="A13:EF2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P44"/>
  <sheetViews>
    <sheetView topLeftCell="A8" zoomScale="90" zoomScaleNormal="90" workbookViewId="0">
      <pane xSplit="8" ySplit="6" topLeftCell="AN17" activePane="bottomRight" state="frozen"/>
      <selection activeCell="I21" sqref="I21:M21"/>
      <selection pane="topRight" activeCell="I21" sqref="I21:M21"/>
      <selection pane="bottomLeft" activeCell="I21" sqref="I21:M21"/>
      <selection pane="bottomRight" activeCell="G24" sqref="G24"/>
    </sheetView>
  </sheetViews>
  <sheetFormatPr defaultRowHeight="14.4" outlineLevelCol="1" x14ac:dyDescent="0.3"/>
  <cols>
    <col min="1" max="1" width="19" bestFit="1" customWidth="1"/>
    <col min="2" max="2" width="14.5546875" bestFit="1" customWidth="1"/>
    <col min="3" max="3" width="12.44140625" customWidth="1"/>
    <col min="4" max="4" width="11" bestFit="1" customWidth="1"/>
    <col min="5" max="5" width="16.6640625" customWidth="1"/>
    <col min="6" max="6" width="16" bestFit="1" customWidth="1"/>
    <col min="7" max="7" width="17.5546875" customWidth="1"/>
    <col min="8" max="8" width="7.33203125" customWidth="1"/>
    <col min="9" max="39" width="5" hidden="1" customWidth="1" outlineLevel="1"/>
    <col min="40" max="40" width="7.88671875" customWidth="1" collapsed="1"/>
    <col min="41" max="71" width="5" hidden="1" customWidth="1" outlineLevel="1"/>
    <col min="72" max="72" width="7.33203125" bestFit="1" customWidth="1" collapsed="1"/>
    <col min="73" max="103" width="5" hidden="1" customWidth="1" outlineLevel="1"/>
    <col min="104" max="104" width="6.88671875" customWidth="1" collapsed="1"/>
    <col min="105" max="135" width="5" hidden="1" customWidth="1" outlineLevel="1"/>
    <col min="136" max="136" width="9.33203125" customWidth="1" collapsed="1"/>
    <col min="138" max="138" width="15.33203125" bestFit="1" customWidth="1"/>
    <col min="139" max="139" width="13.5546875" customWidth="1"/>
    <col min="140" max="140" width="18.5546875" customWidth="1"/>
    <col min="141" max="141" width="17.33203125" customWidth="1"/>
    <col min="142" max="142" width="13.6640625" bestFit="1" customWidth="1"/>
    <col min="143" max="143" width="8.6640625" bestFit="1" customWidth="1"/>
    <col min="144" max="146" width="10.6640625" bestFit="1" customWidth="1"/>
    <col min="257" max="257" width="19" bestFit="1" customWidth="1"/>
    <col min="258" max="258" width="9" bestFit="1" customWidth="1"/>
    <col min="259" max="259" width="45" bestFit="1" customWidth="1"/>
    <col min="260" max="260" width="11" bestFit="1" customWidth="1"/>
    <col min="261" max="262" width="7" bestFit="1" customWidth="1"/>
    <col min="263" max="263" width="8" bestFit="1" customWidth="1"/>
    <col min="264" max="264" width="7" bestFit="1" customWidth="1"/>
    <col min="265" max="392" width="5" bestFit="1" customWidth="1"/>
    <col min="513" max="513" width="19" bestFit="1" customWidth="1"/>
    <col min="514" max="514" width="9" bestFit="1" customWidth="1"/>
    <col min="515" max="515" width="45" bestFit="1" customWidth="1"/>
    <col min="516" max="516" width="11" bestFit="1" customWidth="1"/>
    <col min="517" max="518" width="7" bestFit="1" customWidth="1"/>
    <col min="519" max="519" width="8" bestFit="1" customWidth="1"/>
    <col min="520" max="520" width="7" bestFit="1" customWidth="1"/>
    <col min="521" max="648" width="5" bestFit="1" customWidth="1"/>
    <col min="769" max="769" width="19" bestFit="1" customWidth="1"/>
    <col min="770" max="770" width="9" bestFit="1" customWidth="1"/>
    <col min="771" max="771" width="45" bestFit="1" customWidth="1"/>
    <col min="772" max="772" width="11" bestFit="1" customWidth="1"/>
    <col min="773" max="774" width="7" bestFit="1" customWidth="1"/>
    <col min="775" max="775" width="8" bestFit="1" customWidth="1"/>
    <col min="776" max="776" width="7" bestFit="1" customWidth="1"/>
    <col min="777" max="904" width="5" bestFit="1" customWidth="1"/>
    <col min="1025" max="1025" width="19" bestFit="1" customWidth="1"/>
    <col min="1026" max="1026" width="9" bestFit="1" customWidth="1"/>
    <col min="1027" max="1027" width="45" bestFit="1" customWidth="1"/>
    <col min="1028" max="1028" width="11" bestFit="1" customWidth="1"/>
    <col min="1029" max="1030" width="7" bestFit="1" customWidth="1"/>
    <col min="1031" max="1031" width="8" bestFit="1" customWidth="1"/>
    <col min="1032" max="1032" width="7" bestFit="1" customWidth="1"/>
    <col min="1033" max="1160" width="5" bestFit="1" customWidth="1"/>
    <col min="1281" max="1281" width="19" bestFit="1" customWidth="1"/>
    <col min="1282" max="1282" width="9" bestFit="1" customWidth="1"/>
    <col min="1283" max="1283" width="45" bestFit="1" customWidth="1"/>
    <col min="1284" max="1284" width="11" bestFit="1" customWidth="1"/>
    <col min="1285" max="1286" width="7" bestFit="1" customWidth="1"/>
    <col min="1287" max="1287" width="8" bestFit="1" customWidth="1"/>
    <col min="1288" max="1288" width="7" bestFit="1" customWidth="1"/>
    <col min="1289" max="1416" width="5" bestFit="1" customWidth="1"/>
    <col min="1537" max="1537" width="19" bestFit="1" customWidth="1"/>
    <col min="1538" max="1538" width="9" bestFit="1" customWidth="1"/>
    <col min="1539" max="1539" width="45" bestFit="1" customWidth="1"/>
    <col min="1540" max="1540" width="11" bestFit="1" customWidth="1"/>
    <col min="1541" max="1542" width="7" bestFit="1" customWidth="1"/>
    <col min="1543" max="1543" width="8" bestFit="1" customWidth="1"/>
    <col min="1544" max="1544" width="7" bestFit="1" customWidth="1"/>
    <col min="1545" max="1672" width="5" bestFit="1" customWidth="1"/>
    <col min="1793" max="1793" width="19" bestFit="1" customWidth="1"/>
    <col min="1794" max="1794" width="9" bestFit="1" customWidth="1"/>
    <col min="1795" max="1795" width="45" bestFit="1" customWidth="1"/>
    <col min="1796" max="1796" width="11" bestFit="1" customWidth="1"/>
    <col min="1797" max="1798" width="7" bestFit="1" customWidth="1"/>
    <col min="1799" max="1799" width="8" bestFit="1" customWidth="1"/>
    <col min="1800" max="1800" width="7" bestFit="1" customWidth="1"/>
    <col min="1801" max="1928" width="5" bestFit="1" customWidth="1"/>
    <col min="2049" max="2049" width="19" bestFit="1" customWidth="1"/>
    <col min="2050" max="2050" width="9" bestFit="1" customWidth="1"/>
    <col min="2051" max="2051" width="45" bestFit="1" customWidth="1"/>
    <col min="2052" max="2052" width="11" bestFit="1" customWidth="1"/>
    <col min="2053" max="2054" width="7" bestFit="1" customWidth="1"/>
    <col min="2055" max="2055" width="8" bestFit="1" customWidth="1"/>
    <col min="2056" max="2056" width="7" bestFit="1" customWidth="1"/>
    <col min="2057" max="2184" width="5" bestFit="1" customWidth="1"/>
    <col min="2305" max="2305" width="19" bestFit="1" customWidth="1"/>
    <col min="2306" max="2306" width="9" bestFit="1" customWidth="1"/>
    <col min="2307" max="2307" width="45" bestFit="1" customWidth="1"/>
    <col min="2308" max="2308" width="11" bestFit="1" customWidth="1"/>
    <col min="2309" max="2310" width="7" bestFit="1" customWidth="1"/>
    <col min="2311" max="2311" width="8" bestFit="1" customWidth="1"/>
    <col min="2312" max="2312" width="7" bestFit="1" customWidth="1"/>
    <col min="2313" max="2440" width="5" bestFit="1" customWidth="1"/>
    <col min="2561" max="2561" width="19" bestFit="1" customWidth="1"/>
    <col min="2562" max="2562" width="9" bestFit="1" customWidth="1"/>
    <col min="2563" max="2563" width="45" bestFit="1" customWidth="1"/>
    <col min="2564" max="2564" width="11" bestFit="1" customWidth="1"/>
    <col min="2565" max="2566" width="7" bestFit="1" customWidth="1"/>
    <col min="2567" max="2567" width="8" bestFit="1" customWidth="1"/>
    <col min="2568" max="2568" width="7" bestFit="1" customWidth="1"/>
    <col min="2569" max="2696" width="5" bestFit="1" customWidth="1"/>
    <col min="2817" max="2817" width="19" bestFit="1" customWidth="1"/>
    <col min="2818" max="2818" width="9" bestFit="1" customWidth="1"/>
    <col min="2819" max="2819" width="45" bestFit="1" customWidth="1"/>
    <col min="2820" max="2820" width="11" bestFit="1" customWidth="1"/>
    <col min="2821" max="2822" width="7" bestFit="1" customWidth="1"/>
    <col min="2823" max="2823" width="8" bestFit="1" customWidth="1"/>
    <col min="2824" max="2824" width="7" bestFit="1" customWidth="1"/>
    <col min="2825" max="2952" width="5" bestFit="1" customWidth="1"/>
    <col min="3073" max="3073" width="19" bestFit="1" customWidth="1"/>
    <col min="3074" max="3074" width="9" bestFit="1" customWidth="1"/>
    <col min="3075" max="3075" width="45" bestFit="1" customWidth="1"/>
    <col min="3076" max="3076" width="11" bestFit="1" customWidth="1"/>
    <col min="3077" max="3078" width="7" bestFit="1" customWidth="1"/>
    <col min="3079" max="3079" width="8" bestFit="1" customWidth="1"/>
    <col min="3080" max="3080" width="7" bestFit="1" customWidth="1"/>
    <col min="3081" max="3208" width="5" bestFit="1" customWidth="1"/>
    <col min="3329" max="3329" width="19" bestFit="1" customWidth="1"/>
    <col min="3330" max="3330" width="9" bestFit="1" customWidth="1"/>
    <col min="3331" max="3331" width="45" bestFit="1" customWidth="1"/>
    <col min="3332" max="3332" width="11" bestFit="1" customWidth="1"/>
    <col min="3333" max="3334" width="7" bestFit="1" customWidth="1"/>
    <col min="3335" max="3335" width="8" bestFit="1" customWidth="1"/>
    <col min="3336" max="3336" width="7" bestFit="1" customWidth="1"/>
    <col min="3337" max="3464" width="5" bestFit="1" customWidth="1"/>
    <col min="3585" max="3585" width="19" bestFit="1" customWidth="1"/>
    <col min="3586" max="3586" width="9" bestFit="1" customWidth="1"/>
    <col min="3587" max="3587" width="45" bestFit="1" customWidth="1"/>
    <col min="3588" max="3588" width="11" bestFit="1" customWidth="1"/>
    <col min="3589" max="3590" width="7" bestFit="1" customWidth="1"/>
    <col min="3591" max="3591" width="8" bestFit="1" customWidth="1"/>
    <col min="3592" max="3592" width="7" bestFit="1" customWidth="1"/>
    <col min="3593" max="3720" width="5" bestFit="1" customWidth="1"/>
    <col min="3841" max="3841" width="19" bestFit="1" customWidth="1"/>
    <col min="3842" max="3842" width="9" bestFit="1" customWidth="1"/>
    <col min="3843" max="3843" width="45" bestFit="1" customWidth="1"/>
    <col min="3844" max="3844" width="11" bestFit="1" customWidth="1"/>
    <col min="3845" max="3846" width="7" bestFit="1" customWidth="1"/>
    <col min="3847" max="3847" width="8" bestFit="1" customWidth="1"/>
    <col min="3848" max="3848" width="7" bestFit="1" customWidth="1"/>
    <col min="3849" max="3976" width="5" bestFit="1" customWidth="1"/>
    <col min="4097" max="4097" width="19" bestFit="1" customWidth="1"/>
    <col min="4098" max="4098" width="9" bestFit="1" customWidth="1"/>
    <col min="4099" max="4099" width="45" bestFit="1" customWidth="1"/>
    <col min="4100" max="4100" width="11" bestFit="1" customWidth="1"/>
    <col min="4101" max="4102" width="7" bestFit="1" customWidth="1"/>
    <col min="4103" max="4103" width="8" bestFit="1" customWidth="1"/>
    <col min="4104" max="4104" width="7" bestFit="1" customWidth="1"/>
    <col min="4105" max="4232" width="5" bestFit="1" customWidth="1"/>
    <col min="4353" max="4353" width="19" bestFit="1" customWidth="1"/>
    <col min="4354" max="4354" width="9" bestFit="1" customWidth="1"/>
    <col min="4355" max="4355" width="45" bestFit="1" customWidth="1"/>
    <col min="4356" max="4356" width="11" bestFit="1" customWidth="1"/>
    <col min="4357" max="4358" width="7" bestFit="1" customWidth="1"/>
    <col min="4359" max="4359" width="8" bestFit="1" customWidth="1"/>
    <col min="4360" max="4360" width="7" bestFit="1" customWidth="1"/>
    <col min="4361" max="4488" width="5" bestFit="1" customWidth="1"/>
    <col min="4609" max="4609" width="19" bestFit="1" customWidth="1"/>
    <col min="4610" max="4610" width="9" bestFit="1" customWidth="1"/>
    <col min="4611" max="4611" width="45" bestFit="1" customWidth="1"/>
    <col min="4612" max="4612" width="11" bestFit="1" customWidth="1"/>
    <col min="4613" max="4614" width="7" bestFit="1" customWidth="1"/>
    <col min="4615" max="4615" width="8" bestFit="1" customWidth="1"/>
    <col min="4616" max="4616" width="7" bestFit="1" customWidth="1"/>
    <col min="4617" max="4744" width="5" bestFit="1" customWidth="1"/>
    <col min="4865" max="4865" width="19" bestFit="1" customWidth="1"/>
    <col min="4866" max="4866" width="9" bestFit="1" customWidth="1"/>
    <col min="4867" max="4867" width="45" bestFit="1" customWidth="1"/>
    <col min="4868" max="4868" width="11" bestFit="1" customWidth="1"/>
    <col min="4869" max="4870" width="7" bestFit="1" customWidth="1"/>
    <col min="4871" max="4871" width="8" bestFit="1" customWidth="1"/>
    <col min="4872" max="4872" width="7" bestFit="1" customWidth="1"/>
    <col min="4873" max="5000" width="5" bestFit="1" customWidth="1"/>
    <col min="5121" max="5121" width="19" bestFit="1" customWidth="1"/>
    <col min="5122" max="5122" width="9" bestFit="1" customWidth="1"/>
    <col min="5123" max="5123" width="45" bestFit="1" customWidth="1"/>
    <col min="5124" max="5124" width="11" bestFit="1" customWidth="1"/>
    <col min="5125" max="5126" width="7" bestFit="1" customWidth="1"/>
    <col min="5127" max="5127" width="8" bestFit="1" customWidth="1"/>
    <col min="5128" max="5128" width="7" bestFit="1" customWidth="1"/>
    <col min="5129" max="5256" width="5" bestFit="1" customWidth="1"/>
    <col min="5377" max="5377" width="19" bestFit="1" customWidth="1"/>
    <col min="5378" max="5378" width="9" bestFit="1" customWidth="1"/>
    <col min="5379" max="5379" width="45" bestFit="1" customWidth="1"/>
    <col min="5380" max="5380" width="11" bestFit="1" customWidth="1"/>
    <col min="5381" max="5382" width="7" bestFit="1" customWidth="1"/>
    <col min="5383" max="5383" width="8" bestFit="1" customWidth="1"/>
    <col min="5384" max="5384" width="7" bestFit="1" customWidth="1"/>
    <col min="5385" max="5512" width="5" bestFit="1" customWidth="1"/>
    <col min="5633" max="5633" width="19" bestFit="1" customWidth="1"/>
    <col min="5634" max="5634" width="9" bestFit="1" customWidth="1"/>
    <col min="5635" max="5635" width="45" bestFit="1" customWidth="1"/>
    <col min="5636" max="5636" width="11" bestFit="1" customWidth="1"/>
    <col min="5637" max="5638" width="7" bestFit="1" customWidth="1"/>
    <col min="5639" max="5639" width="8" bestFit="1" customWidth="1"/>
    <col min="5640" max="5640" width="7" bestFit="1" customWidth="1"/>
    <col min="5641" max="5768" width="5" bestFit="1" customWidth="1"/>
    <col min="5889" max="5889" width="19" bestFit="1" customWidth="1"/>
    <col min="5890" max="5890" width="9" bestFit="1" customWidth="1"/>
    <col min="5891" max="5891" width="45" bestFit="1" customWidth="1"/>
    <col min="5892" max="5892" width="11" bestFit="1" customWidth="1"/>
    <col min="5893" max="5894" width="7" bestFit="1" customWidth="1"/>
    <col min="5895" max="5895" width="8" bestFit="1" customWidth="1"/>
    <col min="5896" max="5896" width="7" bestFit="1" customWidth="1"/>
    <col min="5897" max="6024" width="5" bestFit="1" customWidth="1"/>
    <col min="6145" max="6145" width="19" bestFit="1" customWidth="1"/>
    <col min="6146" max="6146" width="9" bestFit="1" customWidth="1"/>
    <col min="6147" max="6147" width="45" bestFit="1" customWidth="1"/>
    <col min="6148" max="6148" width="11" bestFit="1" customWidth="1"/>
    <col min="6149" max="6150" width="7" bestFit="1" customWidth="1"/>
    <col min="6151" max="6151" width="8" bestFit="1" customWidth="1"/>
    <col min="6152" max="6152" width="7" bestFit="1" customWidth="1"/>
    <col min="6153" max="6280" width="5" bestFit="1" customWidth="1"/>
    <col min="6401" max="6401" width="19" bestFit="1" customWidth="1"/>
    <col min="6402" max="6402" width="9" bestFit="1" customWidth="1"/>
    <col min="6403" max="6403" width="45" bestFit="1" customWidth="1"/>
    <col min="6404" max="6404" width="11" bestFit="1" customWidth="1"/>
    <col min="6405" max="6406" width="7" bestFit="1" customWidth="1"/>
    <col min="6407" max="6407" width="8" bestFit="1" customWidth="1"/>
    <col min="6408" max="6408" width="7" bestFit="1" customWidth="1"/>
    <col min="6409" max="6536" width="5" bestFit="1" customWidth="1"/>
    <col min="6657" max="6657" width="19" bestFit="1" customWidth="1"/>
    <col min="6658" max="6658" width="9" bestFit="1" customWidth="1"/>
    <col min="6659" max="6659" width="45" bestFit="1" customWidth="1"/>
    <col min="6660" max="6660" width="11" bestFit="1" customWidth="1"/>
    <col min="6661" max="6662" width="7" bestFit="1" customWidth="1"/>
    <col min="6663" max="6663" width="8" bestFit="1" customWidth="1"/>
    <col min="6664" max="6664" width="7" bestFit="1" customWidth="1"/>
    <col min="6665" max="6792" width="5" bestFit="1" customWidth="1"/>
    <col min="6913" max="6913" width="19" bestFit="1" customWidth="1"/>
    <col min="6914" max="6914" width="9" bestFit="1" customWidth="1"/>
    <col min="6915" max="6915" width="45" bestFit="1" customWidth="1"/>
    <col min="6916" max="6916" width="11" bestFit="1" customWidth="1"/>
    <col min="6917" max="6918" width="7" bestFit="1" customWidth="1"/>
    <col min="6919" max="6919" width="8" bestFit="1" customWidth="1"/>
    <col min="6920" max="6920" width="7" bestFit="1" customWidth="1"/>
    <col min="6921" max="7048" width="5" bestFit="1" customWidth="1"/>
    <col min="7169" max="7169" width="19" bestFit="1" customWidth="1"/>
    <col min="7170" max="7170" width="9" bestFit="1" customWidth="1"/>
    <col min="7171" max="7171" width="45" bestFit="1" customWidth="1"/>
    <col min="7172" max="7172" width="11" bestFit="1" customWidth="1"/>
    <col min="7173" max="7174" width="7" bestFit="1" customWidth="1"/>
    <col min="7175" max="7175" width="8" bestFit="1" customWidth="1"/>
    <col min="7176" max="7176" width="7" bestFit="1" customWidth="1"/>
    <col min="7177" max="7304" width="5" bestFit="1" customWidth="1"/>
    <col min="7425" max="7425" width="19" bestFit="1" customWidth="1"/>
    <col min="7426" max="7426" width="9" bestFit="1" customWidth="1"/>
    <col min="7427" max="7427" width="45" bestFit="1" customWidth="1"/>
    <col min="7428" max="7428" width="11" bestFit="1" customWidth="1"/>
    <col min="7429" max="7430" width="7" bestFit="1" customWidth="1"/>
    <col min="7431" max="7431" width="8" bestFit="1" customWidth="1"/>
    <col min="7432" max="7432" width="7" bestFit="1" customWidth="1"/>
    <col min="7433" max="7560" width="5" bestFit="1" customWidth="1"/>
    <col min="7681" max="7681" width="19" bestFit="1" customWidth="1"/>
    <col min="7682" max="7682" width="9" bestFit="1" customWidth="1"/>
    <col min="7683" max="7683" width="45" bestFit="1" customWidth="1"/>
    <col min="7684" max="7684" width="11" bestFit="1" customWidth="1"/>
    <col min="7685" max="7686" width="7" bestFit="1" customWidth="1"/>
    <col min="7687" max="7687" width="8" bestFit="1" customWidth="1"/>
    <col min="7688" max="7688" width="7" bestFit="1" customWidth="1"/>
    <col min="7689" max="7816" width="5" bestFit="1" customWidth="1"/>
    <col min="7937" max="7937" width="19" bestFit="1" customWidth="1"/>
    <col min="7938" max="7938" width="9" bestFit="1" customWidth="1"/>
    <col min="7939" max="7939" width="45" bestFit="1" customWidth="1"/>
    <col min="7940" max="7940" width="11" bestFit="1" customWidth="1"/>
    <col min="7941" max="7942" width="7" bestFit="1" customWidth="1"/>
    <col min="7943" max="7943" width="8" bestFit="1" customWidth="1"/>
    <col min="7944" max="7944" width="7" bestFit="1" customWidth="1"/>
    <col min="7945" max="8072" width="5" bestFit="1" customWidth="1"/>
    <col min="8193" max="8193" width="19" bestFit="1" customWidth="1"/>
    <col min="8194" max="8194" width="9" bestFit="1" customWidth="1"/>
    <col min="8195" max="8195" width="45" bestFit="1" customWidth="1"/>
    <col min="8196" max="8196" width="11" bestFit="1" customWidth="1"/>
    <col min="8197" max="8198" width="7" bestFit="1" customWidth="1"/>
    <col min="8199" max="8199" width="8" bestFit="1" customWidth="1"/>
    <col min="8200" max="8200" width="7" bestFit="1" customWidth="1"/>
    <col min="8201" max="8328" width="5" bestFit="1" customWidth="1"/>
    <col min="8449" max="8449" width="19" bestFit="1" customWidth="1"/>
    <col min="8450" max="8450" width="9" bestFit="1" customWidth="1"/>
    <col min="8451" max="8451" width="45" bestFit="1" customWidth="1"/>
    <col min="8452" max="8452" width="11" bestFit="1" customWidth="1"/>
    <col min="8453" max="8454" width="7" bestFit="1" customWidth="1"/>
    <col min="8455" max="8455" width="8" bestFit="1" customWidth="1"/>
    <col min="8456" max="8456" width="7" bestFit="1" customWidth="1"/>
    <col min="8457" max="8584" width="5" bestFit="1" customWidth="1"/>
    <col min="8705" max="8705" width="19" bestFit="1" customWidth="1"/>
    <col min="8706" max="8706" width="9" bestFit="1" customWidth="1"/>
    <col min="8707" max="8707" width="45" bestFit="1" customWidth="1"/>
    <col min="8708" max="8708" width="11" bestFit="1" customWidth="1"/>
    <col min="8709" max="8710" width="7" bestFit="1" customWidth="1"/>
    <col min="8711" max="8711" width="8" bestFit="1" customWidth="1"/>
    <col min="8712" max="8712" width="7" bestFit="1" customWidth="1"/>
    <col min="8713" max="8840" width="5" bestFit="1" customWidth="1"/>
    <col min="8961" max="8961" width="19" bestFit="1" customWidth="1"/>
    <col min="8962" max="8962" width="9" bestFit="1" customWidth="1"/>
    <col min="8963" max="8963" width="45" bestFit="1" customWidth="1"/>
    <col min="8964" max="8964" width="11" bestFit="1" customWidth="1"/>
    <col min="8965" max="8966" width="7" bestFit="1" customWidth="1"/>
    <col min="8967" max="8967" width="8" bestFit="1" customWidth="1"/>
    <col min="8968" max="8968" width="7" bestFit="1" customWidth="1"/>
    <col min="8969" max="9096" width="5" bestFit="1" customWidth="1"/>
    <col min="9217" max="9217" width="19" bestFit="1" customWidth="1"/>
    <col min="9218" max="9218" width="9" bestFit="1" customWidth="1"/>
    <col min="9219" max="9219" width="45" bestFit="1" customWidth="1"/>
    <col min="9220" max="9220" width="11" bestFit="1" customWidth="1"/>
    <col min="9221" max="9222" width="7" bestFit="1" customWidth="1"/>
    <col min="9223" max="9223" width="8" bestFit="1" customWidth="1"/>
    <col min="9224" max="9224" width="7" bestFit="1" customWidth="1"/>
    <col min="9225" max="9352" width="5" bestFit="1" customWidth="1"/>
    <col min="9473" max="9473" width="19" bestFit="1" customWidth="1"/>
    <col min="9474" max="9474" width="9" bestFit="1" customWidth="1"/>
    <col min="9475" max="9475" width="45" bestFit="1" customWidth="1"/>
    <col min="9476" max="9476" width="11" bestFit="1" customWidth="1"/>
    <col min="9477" max="9478" width="7" bestFit="1" customWidth="1"/>
    <col min="9479" max="9479" width="8" bestFit="1" customWidth="1"/>
    <col min="9480" max="9480" width="7" bestFit="1" customWidth="1"/>
    <col min="9481" max="9608" width="5" bestFit="1" customWidth="1"/>
    <col min="9729" max="9729" width="19" bestFit="1" customWidth="1"/>
    <col min="9730" max="9730" width="9" bestFit="1" customWidth="1"/>
    <col min="9731" max="9731" width="45" bestFit="1" customWidth="1"/>
    <col min="9732" max="9732" width="11" bestFit="1" customWidth="1"/>
    <col min="9733" max="9734" width="7" bestFit="1" customWidth="1"/>
    <col min="9735" max="9735" width="8" bestFit="1" customWidth="1"/>
    <col min="9736" max="9736" width="7" bestFit="1" customWidth="1"/>
    <col min="9737" max="9864" width="5" bestFit="1" customWidth="1"/>
    <col min="9985" max="9985" width="19" bestFit="1" customWidth="1"/>
    <col min="9986" max="9986" width="9" bestFit="1" customWidth="1"/>
    <col min="9987" max="9987" width="45" bestFit="1" customWidth="1"/>
    <col min="9988" max="9988" width="11" bestFit="1" customWidth="1"/>
    <col min="9989" max="9990" width="7" bestFit="1" customWidth="1"/>
    <col min="9991" max="9991" width="8" bestFit="1" customWidth="1"/>
    <col min="9992" max="9992" width="7" bestFit="1" customWidth="1"/>
    <col min="9993" max="10120" width="5" bestFit="1" customWidth="1"/>
    <col min="10241" max="10241" width="19" bestFit="1" customWidth="1"/>
    <col min="10242" max="10242" width="9" bestFit="1" customWidth="1"/>
    <col min="10243" max="10243" width="45" bestFit="1" customWidth="1"/>
    <col min="10244" max="10244" width="11" bestFit="1" customWidth="1"/>
    <col min="10245" max="10246" width="7" bestFit="1" customWidth="1"/>
    <col min="10247" max="10247" width="8" bestFit="1" customWidth="1"/>
    <col min="10248" max="10248" width="7" bestFit="1" customWidth="1"/>
    <col min="10249" max="10376" width="5" bestFit="1" customWidth="1"/>
    <col min="10497" max="10497" width="19" bestFit="1" customWidth="1"/>
    <col min="10498" max="10498" width="9" bestFit="1" customWidth="1"/>
    <col min="10499" max="10499" width="45" bestFit="1" customWidth="1"/>
    <col min="10500" max="10500" width="11" bestFit="1" customWidth="1"/>
    <col min="10501" max="10502" width="7" bestFit="1" customWidth="1"/>
    <col min="10503" max="10503" width="8" bestFit="1" customWidth="1"/>
    <col min="10504" max="10504" width="7" bestFit="1" customWidth="1"/>
    <col min="10505" max="10632" width="5" bestFit="1" customWidth="1"/>
    <col min="10753" max="10753" width="19" bestFit="1" customWidth="1"/>
    <col min="10754" max="10754" width="9" bestFit="1" customWidth="1"/>
    <col min="10755" max="10755" width="45" bestFit="1" customWidth="1"/>
    <col min="10756" max="10756" width="11" bestFit="1" customWidth="1"/>
    <col min="10757" max="10758" width="7" bestFit="1" customWidth="1"/>
    <col min="10759" max="10759" width="8" bestFit="1" customWidth="1"/>
    <col min="10760" max="10760" width="7" bestFit="1" customWidth="1"/>
    <col min="10761" max="10888" width="5" bestFit="1" customWidth="1"/>
    <col min="11009" max="11009" width="19" bestFit="1" customWidth="1"/>
    <col min="11010" max="11010" width="9" bestFit="1" customWidth="1"/>
    <col min="11011" max="11011" width="45" bestFit="1" customWidth="1"/>
    <col min="11012" max="11012" width="11" bestFit="1" customWidth="1"/>
    <col min="11013" max="11014" width="7" bestFit="1" customWidth="1"/>
    <col min="11015" max="11015" width="8" bestFit="1" customWidth="1"/>
    <col min="11016" max="11016" width="7" bestFit="1" customWidth="1"/>
    <col min="11017" max="11144" width="5" bestFit="1" customWidth="1"/>
    <col min="11265" max="11265" width="19" bestFit="1" customWidth="1"/>
    <col min="11266" max="11266" width="9" bestFit="1" customWidth="1"/>
    <col min="11267" max="11267" width="45" bestFit="1" customWidth="1"/>
    <col min="11268" max="11268" width="11" bestFit="1" customWidth="1"/>
    <col min="11269" max="11270" width="7" bestFit="1" customWidth="1"/>
    <col min="11271" max="11271" width="8" bestFit="1" customWidth="1"/>
    <col min="11272" max="11272" width="7" bestFit="1" customWidth="1"/>
    <col min="11273" max="11400" width="5" bestFit="1" customWidth="1"/>
    <col min="11521" max="11521" width="19" bestFit="1" customWidth="1"/>
    <col min="11522" max="11522" width="9" bestFit="1" customWidth="1"/>
    <col min="11523" max="11523" width="45" bestFit="1" customWidth="1"/>
    <col min="11524" max="11524" width="11" bestFit="1" customWidth="1"/>
    <col min="11525" max="11526" width="7" bestFit="1" customWidth="1"/>
    <col min="11527" max="11527" width="8" bestFit="1" customWidth="1"/>
    <col min="11528" max="11528" width="7" bestFit="1" customWidth="1"/>
    <col min="11529" max="11656" width="5" bestFit="1" customWidth="1"/>
    <col min="11777" max="11777" width="19" bestFit="1" customWidth="1"/>
    <col min="11778" max="11778" width="9" bestFit="1" customWidth="1"/>
    <col min="11779" max="11779" width="45" bestFit="1" customWidth="1"/>
    <col min="11780" max="11780" width="11" bestFit="1" customWidth="1"/>
    <col min="11781" max="11782" width="7" bestFit="1" customWidth="1"/>
    <col min="11783" max="11783" width="8" bestFit="1" customWidth="1"/>
    <col min="11784" max="11784" width="7" bestFit="1" customWidth="1"/>
    <col min="11785" max="11912" width="5" bestFit="1" customWidth="1"/>
    <col min="12033" max="12033" width="19" bestFit="1" customWidth="1"/>
    <col min="12034" max="12034" width="9" bestFit="1" customWidth="1"/>
    <col min="12035" max="12035" width="45" bestFit="1" customWidth="1"/>
    <col min="12036" max="12036" width="11" bestFit="1" customWidth="1"/>
    <col min="12037" max="12038" width="7" bestFit="1" customWidth="1"/>
    <col min="12039" max="12039" width="8" bestFit="1" customWidth="1"/>
    <col min="12040" max="12040" width="7" bestFit="1" customWidth="1"/>
    <col min="12041" max="12168" width="5" bestFit="1" customWidth="1"/>
    <col min="12289" max="12289" width="19" bestFit="1" customWidth="1"/>
    <col min="12290" max="12290" width="9" bestFit="1" customWidth="1"/>
    <col min="12291" max="12291" width="45" bestFit="1" customWidth="1"/>
    <col min="12292" max="12292" width="11" bestFit="1" customWidth="1"/>
    <col min="12293" max="12294" width="7" bestFit="1" customWidth="1"/>
    <col min="12295" max="12295" width="8" bestFit="1" customWidth="1"/>
    <col min="12296" max="12296" width="7" bestFit="1" customWidth="1"/>
    <col min="12297" max="12424" width="5" bestFit="1" customWidth="1"/>
    <col min="12545" max="12545" width="19" bestFit="1" customWidth="1"/>
    <col min="12546" max="12546" width="9" bestFit="1" customWidth="1"/>
    <col min="12547" max="12547" width="45" bestFit="1" customWidth="1"/>
    <col min="12548" max="12548" width="11" bestFit="1" customWidth="1"/>
    <col min="12549" max="12550" width="7" bestFit="1" customWidth="1"/>
    <col min="12551" max="12551" width="8" bestFit="1" customWidth="1"/>
    <col min="12552" max="12552" width="7" bestFit="1" customWidth="1"/>
    <col min="12553" max="12680" width="5" bestFit="1" customWidth="1"/>
    <col min="12801" max="12801" width="19" bestFit="1" customWidth="1"/>
    <col min="12802" max="12802" width="9" bestFit="1" customWidth="1"/>
    <col min="12803" max="12803" width="45" bestFit="1" customWidth="1"/>
    <col min="12804" max="12804" width="11" bestFit="1" customWidth="1"/>
    <col min="12805" max="12806" width="7" bestFit="1" customWidth="1"/>
    <col min="12807" max="12807" width="8" bestFit="1" customWidth="1"/>
    <col min="12808" max="12808" width="7" bestFit="1" customWidth="1"/>
    <col min="12809" max="12936" width="5" bestFit="1" customWidth="1"/>
    <col min="13057" max="13057" width="19" bestFit="1" customWidth="1"/>
    <col min="13058" max="13058" width="9" bestFit="1" customWidth="1"/>
    <col min="13059" max="13059" width="45" bestFit="1" customWidth="1"/>
    <col min="13060" max="13060" width="11" bestFit="1" customWidth="1"/>
    <col min="13061" max="13062" width="7" bestFit="1" customWidth="1"/>
    <col min="13063" max="13063" width="8" bestFit="1" customWidth="1"/>
    <col min="13064" max="13064" width="7" bestFit="1" customWidth="1"/>
    <col min="13065" max="13192" width="5" bestFit="1" customWidth="1"/>
    <col min="13313" max="13313" width="19" bestFit="1" customWidth="1"/>
    <col min="13314" max="13314" width="9" bestFit="1" customWidth="1"/>
    <col min="13315" max="13315" width="45" bestFit="1" customWidth="1"/>
    <col min="13316" max="13316" width="11" bestFit="1" customWidth="1"/>
    <col min="13317" max="13318" width="7" bestFit="1" customWidth="1"/>
    <col min="13319" max="13319" width="8" bestFit="1" customWidth="1"/>
    <col min="13320" max="13320" width="7" bestFit="1" customWidth="1"/>
    <col min="13321" max="13448" width="5" bestFit="1" customWidth="1"/>
    <col min="13569" max="13569" width="19" bestFit="1" customWidth="1"/>
    <col min="13570" max="13570" width="9" bestFit="1" customWidth="1"/>
    <col min="13571" max="13571" width="45" bestFit="1" customWidth="1"/>
    <col min="13572" max="13572" width="11" bestFit="1" customWidth="1"/>
    <col min="13573" max="13574" width="7" bestFit="1" customWidth="1"/>
    <col min="13575" max="13575" width="8" bestFit="1" customWidth="1"/>
    <col min="13576" max="13576" width="7" bestFit="1" customWidth="1"/>
    <col min="13577" max="13704" width="5" bestFit="1" customWidth="1"/>
    <col min="13825" max="13825" width="19" bestFit="1" customWidth="1"/>
    <col min="13826" max="13826" width="9" bestFit="1" customWidth="1"/>
    <col min="13827" max="13827" width="45" bestFit="1" customWidth="1"/>
    <col min="13828" max="13828" width="11" bestFit="1" customWidth="1"/>
    <col min="13829" max="13830" width="7" bestFit="1" customWidth="1"/>
    <col min="13831" max="13831" width="8" bestFit="1" customWidth="1"/>
    <col min="13832" max="13832" width="7" bestFit="1" customWidth="1"/>
    <col min="13833" max="13960" width="5" bestFit="1" customWidth="1"/>
    <col min="14081" max="14081" width="19" bestFit="1" customWidth="1"/>
    <col min="14082" max="14082" width="9" bestFit="1" customWidth="1"/>
    <col min="14083" max="14083" width="45" bestFit="1" customWidth="1"/>
    <col min="14084" max="14084" width="11" bestFit="1" customWidth="1"/>
    <col min="14085" max="14086" width="7" bestFit="1" customWidth="1"/>
    <col min="14087" max="14087" width="8" bestFit="1" customWidth="1"/>
    <col min="14088" max="14088" width="7" bestFit="1" customWidth="1"/>
    <col min="14089" max="14216" width="5" bestFit="1" customWidth="1"/>
    <col min="14337" max="14337" width="19" bestFit="1" customWidth="1"/>
    <col min="14338" max="14338" width="9" bestFit="1" customWidth="1"/>
    <col min="14339" max="14339" width="45" bestFit="1" customWidth="1"/>
    <col min="14340" max="14340" width="11" bestFit="1" customWidth="1"/>
    <col min="14341" max="14342" width="7" bestFit="1" customWidth="1"/>
    <col min="14343" max="14343" width="8" bestFit="1" customWidth="1"/>
    <col min="14344" max="14344" width="7" bestFit="1" customWidth="1"/>
    <col min="14345" max="14472" width="5" bestFit="1" customWidth="1"/>
    <col min="14593" max="14593" width="19" bestFit="1" customWidth="1"/>
    <col min="14594" max="14594" width="9" bestFit="1" customWidth="1"/>
    <col min="14595" max="14595" width="45" bestFit="1" customWidth="1"/>
    <col min="14596" max="14596" width="11" bestFit="1" customWidth="1"/>
    <col min="14597" max="14598" width="7" bestFit="1" customWidth="1"/>
    <col min="14599" max="14599" width="8" bestFit="1" customWidth="1"/>
    <col min="14600" max="14600" width="7" bestFit="1" customWidth="1"/>
    <col min="14601" max="14728" width="5" bestFit="1" customWidth="1"/>
    <col min="14849" max="14849" width="19" bestFit="1" customWidth="1"/>
    <col min="14850" max="14850" width="9" bestFit="1" customWidth="1"/>
    <col min="14851" max="14851" width="45" bestFit="1" customWidth="1"/>
    <col min="14852" max="14852" width="11" bestFit="1" customWidth="1"/>
    <col min="14853" max="14854" width="7" bestFit="1" customWidth="1"/>
    <col min="14855" max="14855" width="8" bestFit="1" customWidth="1"/>
    <col min="14856" max="14856" width="7" bestFit="1" customWidth="1"/>
    <col min="14857" max="14984" width="5" bestFit="1" customWidth="1"/>
    <col min="15105" max="15105" width="19" bestFit="1" customWidth="1"/>
    <col min="15106" max="15106" width="9" bestFit="1" customWidth="1"/>
    <col min="15107" max="15107" width="45" bestFit="1" customWidth="1"/>
    <col min="15108" max="15108" width="11" bestFit="1" customWidth="1"/>
    <col min="15109" max="15110" width="7" bestFit="1" customWidth="1"/>
    <col min="15111" max="15111" width="8" bestFit="1" customWidth="1"/>
    <col min="15112" max="15112" width="7" bestFit="1" customWidth="1"/>
    <col min="15113" max="15240" width="5" bestFit="1" customWidth="1"/>
    <col min="15361" max="15361" width="19" bestFit="1" customWidth="1"/>
    <col min="15362" max="15362" width="9" bestFit="1" customWidth="1"/>
    <col min="15363" max="15363" width="45" bestFit="1" customWidth="1"/>
    <col min="15364" max="15364" width="11" bestFit="1" customWidth="1"/>
    <col min="15365" max="15366" width="7" bestFit="1" customWidth="1"/>
    <col min="15367" max="15367" width="8" bestFit="1" customWidth="1"/>
    <col min="15368" max="15368" width="7" bestFit="1" customWidth="1"/>
    <col min="15369" max="15496" width="5" bestFit="1" customWidth="1"/>
    <col min="15617" max="15617" width="19" bestFit="1" customWidth="1"/>
    <col min="15618" max="15618" width="9" bestFit="1" customWidth="1"/>
    <col min="15619" max="15619" width="45" bestFit="1" customWidth="1"/>
    <col min="15620" max="15620" width="11" bestFit="1" customWidth="1"/>
    <col min="15621" max="15622" width="7" bestFit="1" customWidth="1"/>
    <col min="15623" max="15623" width="8" bestFit="1" customWidth="1"/>
    <col min="15624" max="15624" width="7" bestFit="1" customWidth="1"/>
    <col min="15625" max="15752" width="5" bestFit="1" customWidth="1"/>
    <col min="15873" max="15873" width="19" bestFit="1" customWidth="1"/>
    <col min="15874" max="15874" width="9" bestFit="1" customWidth="1"/>
    <col min="15875" max="15875" width="45" bestFit="1" customWidth="1"/>
    <col min="15876" max="15876" width="11" bestFit="1" customWidth="1"/>
    <col min="15877" max="15878" width="7" bestFit="1" customWidth="1"/>
    <col min="15879" max="15879" width="8" bestFit="1" customWidth="1"/>
    <col min="15880" max="15880" width="7" bestFit="1" customWidth="1"/>
    <col min="15881" max="16008" width="5" bestFit="1" customWidth="1"/>
    <col min="16129" max="16129" width="19" bestFit="1" customWidth="1"/>
    <col min="16130" max="16130" width="9" bestFit="1" customWidth="1"/>
    <col min="16131" max="16131" width="45" bestFit="1" customWidth="1"/>
    <col min="16132" max="16132" width="11" bestFit="1" customWidth="1"/>
    <col min="16133" max="16134" width="7" bestFit="1" customWidth="1"/>
    <col min="16135" max="16135" width="8" bestFit="1" customWidth="1"/>
    <col min="16136" max="16136" width="7" bestFit="1" customWidth="1"/>
    <col min="16137" max="16264" width="5" bestFit="1" customWidth="1"/>
  </cols>
  <sheetData>
    <row r="1" spans="1:146" x14ac:dyDescent="0.3">
      <c r="A1" s="218" t="s">
        <v>266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3"/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</row>
    <row r="2" spans="1:146" x14ac:dyDescent="0.3">
      <c r="A2" s="219" t="s">
        <v>273</v>
      </c>
      <c r="B2" s="133" t="s">
        <v>336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F2" s="113"/>
      <c r="DG2" s="113"/>
      <c r="DH2" s="113"/>
      <c r="DI2" s="113"/>
      <c r="DJ2" s="113"/>
      <c r="DK2" s="113"/>
      <c r="DL2" s="113"/>
      <c r="DM2" s="113"/>
      <c r="DN2" s="113"/>
      <c r="DO2" s="113"/>
      <c r="DP2" s="113"/>
      <c r="DQ2" s="113"/>
      <c r="DR2" s="113"/>
      <c r="DS2" s="113"/>
      <c r="DT2" s="113"/>
      <c r="DU2" s="113"/>
      <c r="DV2" s="113"/>
      <c r="DW2" s="113"/>
      <c r="DX2" s="113"/>
      <c r="DY2" s="113"/>
      <c r="DZ2" s="113"/>
      <c r="EA2" s="113"/>
      <c r="EB2" s="113"/>
      <c r="EC2" s="113"/>
      <c r="ED2" s="113"/>
      <c r="EE2" s="113"/>
      <c r="EF2" s="113"/>
    </row>
    <row r="3" spans="1:146" x14ac:dyDescent="0.3">
      <c r="A3" s="219" t="s">
        <v>275</v>
      </c>
      <c r="B3" s="133" t="s">
        <v>337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/>
      <c r="EF3" s="113"/>
    </row>
    <row r="4" spans="1:146" x14ac:dyDescent="0.3">
      <c r="A4" s="219" t="s">
        <v>277</v>
      </c>
      <c r="B4" s="133" t="s">
        <v>338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3"/>
      <c r="CP4" s="113"/>
      <c r="CQ4" s="113"/>
      <c r="CR4" s="113"/>
      <c r="CS4" s="113"/>
      <c r="CT4" s="113"/>
      <c r="CU4" s="113"/>
      <c r="CV4" s="113"/>
      <c r="CW4" s="113"/>
      <c r="CX4" s="113"/>
      <c r="CY4" s="113"/>
      <c r="CZ4" s="113"/>
      <c r="DA4" s="113"/>
      <c r="DB4" s="113"/>
      <c r="DC4" s="113"/>
      <c r="DD4" s="113"/>
      <c r="DE4" s="113"/>
      <c r="DF4" s="113"/>
      <c r="DG4" s="113"/>
      <c r="DH4" s="113"/>
      <c r="DI4" s="113"/>
      <c r="DJ4" s="113"/>
      <c r="DK4" s="113"/>
      <c r="DL4" s="113"/>
      <c r="DM4" s="113"/>
      <c r="DN4" s="113"/>
      <c r="DO4" s="113"/>
      <c r="DP4" s="113"/>
      <c r="DQ4" s="113"/>
      <c r="DR4" s="113"/>
      <c r="DS4" s="113"/>
      <c r="DT4" s="113"/>
      <c r="DU4" s="113"/>
      <c r="DV4" s="113"/>
      <c r="DW4" s="113"/>
      <c r="DX4" s="113"/>
      <c r="DY4" s="113"/>
      <c r="DZ4" s="113"/>
      <c r="EA4" s="113"/>
      <c r="EB4" s="113"/>
      <c r="EC4" s="113"/>
      <c r="ED4" s="113"/>
      <c r="EE4" s="113"/>
      <c r="EF4" s="113"/>
    </row>
    <row r="5" spans="1:146" x14ac:dyDescent="0.3">
      <c r="A5" s="219" t="s">
        <v>279</v>
      </c>
      <c r="B5" s="133" t="s">
        <v>339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  <c r="CN5" s="113"/>
      <c r="CO5" s="113"/>
      <c r="CP5" s="113"/>
      <c r="CQ5" s="113"/>
      <c r="CR5" s="113"/>
      <c r="CS5" s="113"/>
      <c r="CT5" s="113"/>
      <c r="CU5" s="113"/>
      <c r="CV5" s="113"/>
      <c r="CW5" s="113"/>
      <c r="CX5" s="113"/>
      <c r="CY5" s="113"/>
      <c r="CZ5" s="113"/>
      <c r="DA5" s="113"/>
      <c r="DB5" s="113"/>
      <c r="DC5" s="113"/>
      <c r="DD5" s="113"/>
      <c r="DE5" s="113"/>
      <c r="DF5" s="113"/>
      <c r="DG5" s="113"/>
      <c r="DH5" s="113"/>
      <c r="DI5" s="113"/>
      <c r="DJ5" s="113"/>
      <c r="DK5" s="113"/>
      <c r="DL5" s="113"/>
      <c r="DM5" s="113"/>
      <c r="DN5" s="113"/>
      <c r="DO5" s="113"/>
      <c r="DP5" s="113"/>
      <c r="DQ5" s="113"/>
      <c r="DR5" s="113"/>
      <c r="DS5" s="113"/>
      <c r="DT5" s="113"/>
      <c r="DU5" s="113"/>
      <c r="DV5" s="113"/>
      <c r="DW5" s="113"/>
      <c r="DX5" s="113"/>
      <c r="DY5" s="113"/>
      <c r="DZ5" s="113"/>
      <c r="EA5" s="113"/>
      <c r="EB5" s="113"/>
      <c r="EC5" s="113"/>
      <c r="ED5" s="113"/>
      <c r="EE5" s="113"/>
      <c r="EF5" s="113"/>
    </row>
    <row r="6" spans="1:146" x14ac:dyDescent="0.3">
      <c r="A6" s="219" t="s">
        <v>281</v>
      </c>
      <c r="B6" s="133" t="s">
        <v>282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3"/>
      <c r="CU6" s="113"/>
      <c r="CV6" s="113"/>
      <c r="CW6" s="113"/>
      <c r="CX6" s="113"/>
      <c r="CY6" s="113"/>
      <c r="CZ6" s="113"/>
      <c r="DA6" s="113"/>
      <c r="DB6" s="113"/>
      <c r="DC6" s="113"/>
      <c r="DD6" s="113"/>
      <c r="DE6" s="113"/>
      <c r="DF6" s="113"/>
      <c r="DG6" s="113"/>
      <c r="DH6" s="113"/>
      <c r="DI6" s="113"/>
      <c r="DJ6" s="113"/>
      <c r="DK6" s="113"/>
      <c r="DL6" s="113"/>
      <c r="DM6" s="113"/>
      <c r="DN6" s="113"/>
      <c r="DO6" s="113"/>
      <c r="DP6" s="113"/>
      <c r="DQ6" s="113"/>
      <c r="DR6" s="113"/>
      <c r="DS6" s="113"/>
      <c r="DT6" s="113"/>
      <c r="DU6" s="113"/>
      <c r="DV6" s="113"/>
      <c r="DW6" s="113"/>
      <c r="DX6" s="113"/>
      <c r="DY6" s="113"/>
      <c r="DZ6" s="113"/>
      <c r="EA6" s="113"/>
      <c r="EB6" s="113"/>
      <c r="EC6" s="113"/>
      <c r="ED6" s="113"/>
      <c r="EE6" s="113"/>
      <c r="EF6" s="113"/>
    </row>
    <row r="7" spans="1:146" x14ac:dyDescent="0.3">
      <c r="A7" s="219" t="s">
        <v>283</v>
      </c>
      <c r="B7" s="133" t="s">
        <v>284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3"/>
      <c r="CP7" s="113"/>
      <c r="CQ7" s="113"/>
      <c r="CR7" s="113"/>
      <c r="CS7" s="113"/>
      <c r="CT7" s="113"/>
      <c r="CU7" s="113"/>
      <c r="CV7" s="113"/>
      <c r="CW7" s="113"/>
      <c r="CX7" s="113"/>
      <c r="CY7" s="113"/>
      <c r="CZ7" s="113"/>
      <c r="DA7" s="113"/>
      <c r="DB7" s="113"/>
      <c r="DC7" s="113"/>
      <c r="DD7" s="113"/>
      <c r="DE7" s="113"/>
      <c r="DF7" s="113"/>
      <c r="DG7" s="113"/>
      <c r="DH7" s="113"/>
      <c r="DI7" s="113"/>
      <c r="DJ7" s="113"/>
      <c r="DK7" s="113"/>
      <c r="DL7" s="113"/>
      <c r="DM7" s="113"/>
      <c r="DN7" s="113"/>
      <c r="DO7" s="113"/>
      <c r="DP7" s="113"/>
      <c r="DQ7" s="113"/>
      <c r="DR7" s="113"/>
      <c r="DS7" s="113"/>
      <c r="DT7" s="113"/>
      <c r="DU7" s="113"/>
      <c r="DV7" s="113"/>
      <c r="DW7" s="113"/>
      <c r="DX7" s="113"/>
      <c r="DY7" s="113"/>
      <c r="DZ7" s="113"/>
      <c r="EA7" s="113"/>
      <c r="EB7" s="113"/>
      <c r="EC7" s="113"/>
      <c r="ED7" s="113"/>
      <c r="EE7" s="113"/>
      <c r="EF7" s="113"/>
    </row>
    <row r="8" spans="1:146" ht="47.4" x14ac:dyDescent="0.3">
      <c r="A8" s="219" t="s">
        <v>285</v>
      </c>
      <c r="B8" s="273" t="s">
        <v>476</v>
      </c>
      <c r="C8" s="273" t="s">
        <v>477</v>
      </c>
      <c r="D8" s="273" t="s">
        <v>353</v>
      </c>
      <c r="E8" s="273" t="s">
        <v>478</v>
      </c>
      <c r="F8" s="273" t="s">
        <v>479</v>
      </c>
      <c r="G8" s="274" t="s">
        <v>480</v>
      </c>
      <c r="H8" s="275" t="s">
        <v>481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3"/>
      <c r="DY8" s="113"/>
      <c r="DZ8" s="113"/>
      <c r="EA8" s="113"/>
      <c r="EB8" s="113"/>
      <c r="EC8" s="113"/>
      <c r="ED8" s="113"/>
      <c r="EE8" s="113"/>
      <c r="EF8" s="113"/>
    </row>
    <row r="9" spans="1:146" x14ac:dyDescent="0.3">
      <c r="A9" s="219" t="s">
        <v>287</v>
      </c>
      <c r="B9" s="276" t="s">
        <v>278</v>
      </c>
      <c r="C9" s="276" t="s">
        <v>216</v>
      </c>
      <c r="D9" s="276" t="s">
        <v>201</v>
      </c>
      <c r="E9" s="276" t="s">
        <v>482</v>
      </c>
      <c r="F9" s="276" t="s">
        <v>483</v>
      </c>
      <c r="G9" s="277" t="s">
        <v>484</v>
      </c>
      <c r="H9" s="278" t="s">
        <v>286</v>
      </c>
      <c r="I9" s="227">
        <f t="shared" ref="I9:AM9" si="0">I15</f>
        <v>0</v>
      </c>
      <c r="J9" s="227">
        <f t="shared" si="0"/>
        <v>270</v>
      </c>
      <c r="K9" s="227">
        <f t="shared" si="0"/>
        <v>270</v>
      </c>
      <c r="L9" s="227">
        <f t="shared" si="0"/>
        <v>240</v>
      </c>
      <c r="M9" s="227">
        <f t="shared" si="0"/>
        <v>270</v>
      </c>
      <c r="N9" s="227">
        <f t="shared" si="0"/>
        <v>270</v>
      </c>
      <c r="O9" s="227">
        <f t="shared" si="0"/>
        <v>0</v>
      </c>
      <c r="P9" s="227">
        <f t="shared" si="0"/>
        <v>0</v>
      </c>
      <c r="Q9" s="227">
        <f t="shared" si="0"/>
        <v>270</v>
      </c>
      <c r="R9" s="227">
        <f t="shared" si="0"/>
        <v>270</v>
      </c>
      <c r="S9" s="227">
        <f t="shared" si="0"/>
        <v>240</v>
      </c>
      <c r="T9" s="227">
        <f t="shared" si="0"/>
        <v>300</v>
      </c>
      <c r="U9" s="227">
        <f t="shared" si="0"/>
        <v>240</v>
      </c>
      <c r="V9" s="227">
        <f t="shared" si="0"/>
        <v>240</v>
      </c>
      <c r="W9" s="227">
        <f t="shared" si="0"/>
        <v>0</v>
      </c>
      <c r="X9" s="227">
        <f t="shared" si="0"/>
        <v>300</v>
      </c>
      <c r="Y9" s="227">
        <f t="shared" si="0"/>
        <v>240</v>
      </c>
      <c r="Z9" s="227">
        <f t="shared" si="0"/>
        <v>270</v>
      </c>
      <c r="AA9" s="227">
        <f t="shared" si="0"/>
        <v>270</v>
      </c>
      <c r="AB9" s="227">
        <f t="shared" si="0"/>
        <v>270</v>
      </c>
      <c r="AC9" s="227">
        <f t="shared" si="0"/>
        <v>0</v>
      </c>
      <c r="AD9" s="227">
        <f t="shared" si="0"/>
        <v>0</v>
      </c>
      <c r="AE9" s="227">
        <f t="shared" si="0"/>
        <v>240</v>
      </c>
      <c r="AF9" s="227">
        <f t="shared" si="0"/>
        <v>270</v>
      </c>
      <c r="AG9" s="227">
        <f t="shared" si="0"/>
        <v>270</v>
      </c>
      <c r="AH9" s="227">
        <f t="shared" si="0"/>
        <v>270</v>
      </c>
      <c r="AI9" s="227">
        <f t="shared" si="0"/>
        <v>270</v>
      </c>
      <c r="AJ9" s="227">
        <f t="shared" si="0"/>
        <v>240</v>
      </c>
      <c r="AK9" s="227">
        <f t="shared" si="0"/>
        <v>0</v>
      </c>
      <c r="AL9" s="227">
        <f t="shared" si="0"/>
        <v>0</v>
      </c>
      <c r="AM9" s="227">
        <f t="shared" si="0"/>
        <v>0</v>
      </c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3"/>
      <c r="DY9" s="113"/>
      <c r="DZ9" s="113"/>
      <c r="EA9" s="113"/>
      <c r="EB9" s="113"/>
      <c r="EC9" s="113"/>
      <c r="ED9" s="113"/>
      <c r="EE9" s="113"/>
      <c r="EF9" s="113"/>
    </row>
    <row r="10" spans="1:146" x14ac:dyDescent="0.3">
      <c r="A10" s="219" t="s">
        <v>289</v>
      </c>
      <c r="B10" s="276" t="s">
        <v>485</v>
      </c>
      <c r="C10" s="276" t="s">
        <v>212</v>
      </c>
      <c r="D10" s="276" t="s">
        <v>201</v>
      </c>
      <c r="E10" s="276" t="s">
        <v>486</v>
      </c>
      <c r="F10" s="276" t="s">
        <v>487</v>
      </c>
      <c r="G10" s="277" t="s">
        <v>489</v>
      </c>
      <c r="H10" s="278" t="s">
        <v>490</v>
      </c>
      <c r="I10" s="235">
        <f t="shared" ref="I10:AM10" si="1">I16</f>
        <v>0</v>
      </c>
      <c r="J10" s="235">
        <f t="shared" si="1"/>
        <v>20</v>
      </c>
      <c r="K10" s="235">
        <f t="shared" si="1"/>
        <v>10</v>
      </c>
      <c r="L10" s="235">
        <f t="shared" si="1"/>
        <v>10</v>
      </c>
      <c r="M10" s="235">
        <f t="shared" si="1"/>
        <v>0</v>
      </c>
      <c r="N10" s="235">
        <f t="shared" si="1"/>
        <v>10</v>
      </c>
      <c r="O10" s="235">
        <f t="shared" si="1"/>
        <v>0</v>
      </c>
      <c r="P10" s="235">
        <f t="shared" si="1"/>
        <v>0</v>
      </c>
      <c r="Q10" s="235">
        <f t="shared" si="1"/>
        <v>10</v>
      </c>
      <c r="R10" s="235">
        <f t="shared" si="1"/>
        <v>10</v>
      </c>
      <c r="S10" s="235">
        <f t="shared" si="1"/>
        <v>10</v>
      </c>
      <c r="T10" s="235">
        <f t="shared" si="1"/>
        <v>10</v>
      </c>
      <c r="U10" s="235">
        <f t="shared" si="1"/>
        <v>10</v>
      </c>
      <c r="V10" s="235">
        <f t="shared" si="1"/>
        <v>10</v>
      </c>
      <c r="W10" s="235">
        <f t="shared" si="1"/>
        <v>0</v>
      </c>
      <c r="X10" s="235">
        <f t="shared" si="1"/>
        <v>0</v>
      </c>
      <c r="Y10" s="235">
        <f t="shared" si="1"/>
        <v>10</v>
      </c>
      <c r="Z10" s="235">
        <f t="shared" si="1"/>
        <v>10</v>
      </c>
      <c r="AA10" s="235">
        <f t="shared" si="1"/>
        <v>10</v>
      </c>
      <c r="AB10" s="235">
        <f t="shared" si="1"/>
        <v>10</v>
      </c>
      <c r="AC10" s="235">
        <f t="shared" si="1"/>
        <v>0</v>
      </c>
      <c r="AD10" s="235">
        <f t="shared" si="1"/>
        <v>0</v>
      </c>
      <c r="AE10" s="235">
        <f t="shared" si="1"/>
        <v>0</v>
      </c>
      <c r="AF10" s="235">
        <f t="shared" si="1"/>
        <v>0</v>
      </c>
      <c r="AG10" s="235">
        <f t="shared" si="1"/>
        <v>0</v>
      </c>
      <c r="AH10" s="235">
        <f t="shared" si="1"/>
        <v>0</v>
      </c>
      <c r="AI10" s="235">
        <f t="shared" si="1"/>
        <v>10</v>
      </c>
      <c r="AJ10" s="235">
        <f t="shared" si="1"/>
        <v>10</v>
      </c>
      <c r="AK10" s="235">
        <f t="shared" si="1"/>
        <v>0</v>
      </c>
      <c r="AL10" s="235">
        <f t="shared" si="1"/>
        <v>0</v>
      </c>
      <c r="AM10" s="235">
        <f t="shared" si="1"/>
        <v>0</v>
      </c>
      <c r="AN10" s="113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13"/>
      <c r="DK10" s="113"/>
      <c r="DL10" s="113"/>
      <c r="DM10" s="113"/>
      <c r="DN10" s="113"/>
      <c r="DO10" s="113"/>
      <c r="DP10" s="113"/>
      <c r="DQ10" s="113"/>
      <c r="DR10" s="113"/>
      <c r="DS10" s="113"/>
      <c r="DT10" s="113"/>
      <c r="DU10" s="113"/>
      <c r="DV10" s="113"/>
      <c r="DW10" s="113"/>
      <c r="DX10" s="113"/>
      <c r="DY10" s="113"/>
      <c r="DZ10" s="113"/>
      <c r="EA10" s="113"/>
      <c r="EB10" s="113"/>
      <c r="EC10" s="113"/>
      <c r="ED10" s="113"/>
      <c r="EE10" s="113"/>
      <c r="EF10" s="113"/>
    </row>
    <row r="11" spans="1:146" x14ac:dyDescent="0.3">
      <c r="A11" s="218" t="s">
        <v>290</v>
      </c>
      <c r="B11" s="276" t="s">
        <v>488</v>
      </c>
      <c r="C11" s="276" t="s">
        <v>221</v>
      </c>
      <c r="D11" s="276" t="s">
        <v>201</v>
      </c>
      <c r="E11" s="276" t="s">
        <v>486</v>
      </c>
      <c r="F11" s="276" t="s">
        <v>487</v>
      </c>
      <c r="G11" s="277" t="s">
        <v>491</v>
      </c>
      <c r="H11" s="278" t="s">
        <v>492</v>
      </c>
      <c r="I11" s="227">
        <f t="shared" ref="I11:AL11" si="2">I9+I10</f>
        <v>0</v>
      </c>
      <c r="J11" s="227">
        <f t="shared" si="2"/>
        <v>290</v>
      </c>
      <c r="K11" s="227">
        <f t="shared" si="2"/>
        <v>280</v>
      </c>
      <c r="L11" s="227">
        <f t="shared" si="2"/>
        <v>250</v>
      </c>
      <c r="M11" s="227">
        <f t="shared" si="2"/>
        <v>270</v>
      </c>
      <c r="N11" s="227">
        <f t="shared" si="2"/>
        <v>280</v>
      </c>
      <c r="O11" s="227">
        <f t="shared" si="2"/>
        <v>0</v>
      </c>
      <c r="P11" s="227">
        <f t="shared" si="2"/>
        <v>0</v>
      </c>
      <c r="Q11" s="227">
        <f t="shared" si="2"/>
        <v>280</v>
      </c>
      <c r="R11" s="227">
        <f t="shared" si="2"/>
        <v>280</v>
      </c>
      <c r="S11" s="227">
        <f t="shared" si="2"/>
        <v>250</v>
      </c>
      <c r="T11" s="227">
        <f t="shared" si="2"/>
        <v>310</v>
      </c>
      <c r="U11" s="227">
        <f t="shared" si="2"/>
        <v>250</v>
      </c>
      <c r="V11" s="227">
        <f t="shared" si="2"/>
        <v>250</v>
      </c>
      <c r="W11" s="227">
        <f t="shared" si="2"/>
        <v>0</v>
      </c>
      <c r="X11" s="227">
        <f t="shared" si="2"/>
        <v>300</v>
      </c>
      <c r="Y11" s="227">
        <f t="shared" si="2"/>
        <v>250</v>
      </c>
      <c r="Z11" s="227">
        <f t="shared" si="2"/>
        <v>280</v>
      </c>
      <c r="AA11" s="227">
        <f t="shared" si="2"/>
        <v>280</v>
      </c>
      <c r="AB11" s="227">
        <f t="shared" si="2"/>
        <v>280</v>
      </c>
      <c r="AC11" s="227">
        <f t="shared" si="2"/>
        <v>0</v>
      </c>
      <c r="AD11" s="227">
        <f t="shared" si="2"/>
        <v>0</v>
      </c>
      <c r="AE11" s="227">
        <f t="shared" si="2"/>
        <v>240</v>
      </c>
      <c r="AF11" s="227">
        <f t="shared" si="2"/>
        <v>270</v>
      </c>
      <c r="AG11" s="227">
        <f t="shared" si="2"/>
        <v>270</v>
      </c>
      <c r="AH11" s="227">
        <f t="shared" si="2"/>
        <v>270</v>
      </c>
      <c r="AI11" s="227">
        <f t="shared" si="2"/>
        <v>280</v>
      </c>
      <c r="AJ11" s="227">
        <f t="shared" si="2"/>
        <v>250</v>
      </c>
      <c r="AK11" s="227">
        <f t="shared" si="2"/>
        <v>0</v>
      </c>
      <c r="AL11" s="227">
        <f t="shared" si="2"/>
        <v>0</v>
      </c>
      <c r="AM11" s="227">
        <f>AM15+AM17+AM18</f>
        <v>0</v>
      </c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27"/>
      <c r="CQ11" s="227"/>
      <c r="CR11" s="227"/>
      <c r="CS11" s="227"/>
      <c r="CT11" s="227"/>
      <c r="CU11" s="227"/>
      <c r="CV11" s="227"/>
      <c r="CW11" s="227"/>
      <c r="CX11" s="227"/>
      <c r="CY11" s="227"/>
      <c r="CZ11" s="113"/>
      <c r="DA11" s="113"/>
      <c r="DB11" s="113"/>
      <c r="DC11" s="113"/>
      <c r="DD11" s="113"/>
      <c r="DE11" s="113"/>
      <c r="DF11" s="113"/>
      <c r="DG11" s="113"/>
      <c r="DH11" s="113"/>
      <c r="DI11" s="113"/>
      <c r="DJ11" s="113"/>
      <c r="DK11" s="113"/>
      <c r="DL11" s="113"/>
      <c r="DM11" s="113"/>
      <c r="DN11" s="113"/>
      <c r="DO11" s="113"/>
      <c r="DP11" s="113"/>
      <c r="DQ11" s="113"/>
      <c r="DR11" s="113"/>
      <c r="DS11" s="113"/>
      <c r="DT11" s="113"/>
      <c r="DU11" s="113"/>
      <c r="DV11" s="113"/>
      <c r="DW11" s="113"/>
      <c r="DX11" s="113"/>
      <c r="DY11" s="113"/>
      <c r="DZ11" s="113"/>
      <c r="EA11" s="113"/>
      <c r="EB11" s="113"/>
      <c r="EC11" s="113"/>
      <c r="ED11" s="113"/>
      <c r="EE11" s="113"/>
      <c r="EF11" s="113"/>
    </row>
    <row r="12" spans="1:146" x14ac:dyDescent="0.3">
      <c r="A12" s="113"/>
      <c r="B12" s="276" t="s">
        <v>276</v>
      </c>
      <c r="C12" s="276" t="s">
        <v>214</v>
      </c>
      <c r="D12" s="276" t="s">
        <v>206</v>
      </c>
      <c r="E12" s="276" t="s">
        <v>486</v>
      </c>
      <c r="F12" s="276" t="s">
        <v>493</v>
      </c>
      <c r="G12" s="277" t="s">
        <v>484</v>
      </c>
      <c r="H12" s="278" t="s">
        <v>286</v>
      </c>
      <c r="I12" s="227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4" t="s">
        <v>291</v>
      </c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4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4"/>
      <c r="CL12" s="113"/>
      <c r="CM12" s="113"/>
      <c r="CN12" s="113"/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13"/>
      <c r="DD12" s="113"/>
      <c r="DE12" s="113"/>
      <c r="DF12" s="113"/>
      <c r="DG12" s="113"/>
      <c r="DH12" s="113"/>
      <c r="DI12" s="113"/>
      <c r="DJ12" s="113"/>
      <c r="DK12" s="113"/>
      <c r="DL12" s="113"/>
      <c r="DM12" s="113"/>
      <c r="DN12" s="113"/>
      <c r="DO12" s="113"/>
      <c r="DP12" s="113"/>
      <c r="DQ12" s="114" t="s">
        <v>142</v>
      </c>
      <c r="DR12" s="113"/>
      <c r="DS12" s="113"/>
      <c r="DT12" s="113"/>
      <c r="DU12" s="113"/>
      <c r="DV12" s="113"/>
      <c r="DW12" s="113"/>
      <c r="DX12" s="113"/>
      <c r="DY12" s="113"/>
      <c r="DZ12" s="113"/>
      <c r="EA12" s="113"/>
      <c r="EB12" s="113"/>
      <c r="EC12" s="113"/>
      <c r="ED12" s="113"/>
      <c r="EE12" s="113"/>
      <c r="EF12" s="113"/>
    </row>
    <row r="13" spans="1:146" x14ac:dyDescent="0.3">
      <c r="A13" s="137" t="s">
        <v>292</v>
      </c>
      <c r="B13" s="137" t="s">
        <v>293</v>
      </c>
      <c r="C13" s="137" t="s">
        <v>294</v>
      </c>
      <c r="D13" s="137" t="s">
        <v>295</v>
      </c>
      <c r="E13" s="137" t="s">
        <v>296</v>
      </c>
      <c r="F13" s="137" t="s">
        <v>297</v>
      </c>
      <c r="G13" s="137" t="s">
        <v>298</v>
      </c>
      <c r="H13" s="137" t="s">
        <v>299</v>
      </c>
      <c r="I13" s="137" t="s">
        <v>300</v>
      </c>
      <c r="J13" s="137" t="s">
        <v>301</v>
      </c>
      <c r="K13" s="137" t="s">
        <v>302</v>
      </c>
      <c r="L13" s="137" t="s">
        <v>303</v>
      </c>
      <c r="M13" s="137" t="s">
        <v>304</v>
      </c>
      <c r="N13" s="137" t="s">
        <v>305</v>
      </c>
      <c r="O13" s="137" t="s">
        <v>306</v>
      </c>
      <c r="P13" s="137" t="s">
        <v>307</v>
      </c>
      <c r="Q13" s="137" t="s">
        <v>308</v>
      </c>
      <c r="R13" s="137" t="s">
        <v>309</v>
      </c>
      <c r="S13" s="137" t="s">
        <v>310</v>
      </c>
      <c r="T13" s="137" t="s">
        <v>311</v>
      </c>
      <c r="U13" s="137" t="s">
        <v>312</v>
      </c>
      <c r="V13" s="137" t="s">
        <v>313</v>
      </c>
      <c r="W13" s="137" t="s">
        <v>314</v>
      </c>
      <c r="X13" s="137" t="s">
        <v>315</v>
      </c>
      <c r="Y13" s="137" t="s">
        <v>316</v>
      </c>
      <c r="Z13" s="137" t="s">
        <v>317</v>
      </c>
      <c r="AA13" s="137" t="s">
        <v>318</v>
      </c>
      <c r="AB13" s="137" t="s">
        <v>319</v>
      </c>
      <c r="AC13" s="137" t="s">
        <v>320</v>
      </c>
      <c r="AD13" s="137" t="s">
        <v>321</v>
      </c>
      <c r="AE13" s="137" t="s">
        <v>322</v>
      </c>
      <c r="AF13" s="137" t="s">
        <v>323</v>
      </c>
      <c r="AG13" s="137" t="s">
        <v>324</v>
      </c>
      <c r="AH13" s="137" t="s">
        <v>325</v>
      </c>
      <c r="AI13" s="137" t="s">
        <v>326</v>
      </c>
      <c r="AJ13" s="137" t="s">
        <v>327</v>
      </c>
      <c r="AK13" s="137" t="s">
        <v>328</v>
      </c>
      <c r="AL13" s="137" t="s">
        <v>329</v>
      </c>
      <c r="AM13" s="137" t="s">
        <v>330</v>
      </c>
      <c r="AN13" s="137" t="s">
        <v>291</v>
      </c>
      <c r="AO13" s="137" t="s">
        <v>300</v>
      </c>
      <c r="AP13" s="137" t="s">
        <v>301</v>
      </c>
      <c r="AQ13" s="137" t="s">
        <v>302</v>
      </c>
      <c r="AR13" s="137" t="s">
        <v>303</v>
      </c>
      <c r="AS13" s="137" t="s">
        <v>304</v>
      </c>
      <c r="AT13" s="137" t="s">
        <v>305</v>
      </c>
      <c r="AU13" s="137" t="s">
        <v>306</v>
      </c>
      <c r="AV13" s="137" t="s">
        <v>307</v>
      </c>
      <c r="AW13" s="137" t="s">
        <v>308</v>
      </c>
      <c r="AX13" s="137" t="s">
        <v>309</v>
      </c>
      <c r="AY13" s="137" t="s">
        <v>310</v>
      </c>
      <c r="AZ13" s="137" t="s">
        <v>311</v>
      </c>
      <c r="BA13" s="137" t="s">
        <v>312</v>
      </c>
      <c r="BB13" s="137" t="s">
        <v>313</v>
      </c>
      <c r="BC13" s="137" t="s">
        <v>314</v>
      </c>
      <c r="BD13" s="137" t="s">
        <v>315</v>
      </c>
      <c r="BE13" s="137" t="s">
        <v>316</v>
      </c>
      <c r="BF13" s="137" t="s">
        <v>317</v>
      </c>
      <c r="BG13" s="137" t="s">
        <v>318</v>
      </c>
      <c r="BH13" s="137" t="s">
        <v>319</v>
      </c>
      <c r="BI13" s="137" t="s">
        <v>320</v>
      </c>
      <c r="BJ13" s="137" t="s">
        <v>321</v>
      </c>
      <c r="BK13" s="137" t="s">
        <v>322</v>
      </c>
      <c r="BL13" s="137" t="s">
        <v>323</v>
      </c>
      <c r="BM13" s="137" t="s">
        <v>324</v>
      </c>
      <c r="BN13" s="137" t="s">
        <v>325</v>
      </c>
      <c r="BO13" s="137" t="s">
        <v>326</v>
      </c>
      <c r="BP13" s="137" t="s">
        <v>327</v>
      </c>
      <c r="BQ13" s="137" t="s">
        <v>328</v>
      </c>
      <c r="BR13" s="137" t="s">
        <v>329</v>
      </c>
      <c r="BS13" s="137" t="s">
        <v>330</v>
      </c>
      <c r="BT13" s="137" t="s">
        <v>140</v>
      </c>
      <c r="BU13" s="137" t="s">
        <v>300</v>
      </c>
      <c r="BV13" s="137" t="s">
        <v>301</v>
      </c>
      <c r="BW13" s="137" t="s">
        <v>302</v>
      </c>
      <c r="BX13" s="137" t="s">
        <v>303</v>
      </c>
      <c r="BY13" s="137" t="s">
        <v>304</v>
      </c>
      <c r="BZ13" s="137" t="s">
        <v>305</v>
      </c>
      <c r="CA13" s="137" t="s">
        <v>306</v>
      </c>
      <c r="CB13" s="137" t="s">
        <v>307</v>
      </c>
      <c r="CC13" s="137" t="s">
        <v>308</v>
      </c>
      <c r="CD13" s="137" t="s">
        <v>309</v>
      </c>
      <c r="CE13" s="137" t="s">
        <v>310</v>
      </c>
      <c r="CF13" s="137" t="s">
        <v>311</v>
      </c>
      <c r="CG13" s="137" t="s">
        <v>312</v>
      </c>
      <c r="CH13" s="137" t="s">
        <v>313</v>
      </c>
      <c r="CI13" s="137" t="s">
        <v>314</v>
      </c>
      <c r="CJ13" s="137" t="s">
        <v>315</v>
      </c>
      <c r="CK13" s="137" t="s">
        <v>316</v>
      </c>
      <c r="CL13" s="137" t="s">
        <v>317</v>
      </c>
      <c r="CM13" s="137" t="s">
        <v>318</v>
      </c>
      <c r="CN13" s="137" t="s">
        <v>319</v>
      </c>
      <c r="CO13" s="137" t="s">
        <v>320</v>
      </c>
      <c r="CP13" s="137" t="s">
        <v>321</v>
      </c>
      <c r="CQ13" s="137" t="s">
        <v>322</v>
      </c>
      <c r="CR13" s="137" t="s">
        <v>323</v>
      </c>
      <c r="CS13" s="137" t="s">
        <v>324</v>
      </c>
      <c r="CT13" s="137" t="s">
        <v>325</v>
      </c>
      <c r="CU13" s="137" t="s">
        <v>326</v>
      </c>
      <c r="CV13" s="137" t="s">
        <v>327</v>
      </c>
      <c r="CW13" s="137" t="s">
        <v>328</v>
      </c>
      <c r="CX13" s="137" t="s">
        <v>329</v>
      </c>
      <c r="CY13" s="137" t="s">
        <v>330</v>
      </c>
      <c r="CZ13" s="137" t="s">
        <v>141</v>
      </c>
      <c r="DA13" s="137" t="s">
        <v>300</v>
      </c>
      <c r="DB13" s="137" t="s">
        <v>301</v>
      </c>
      <c r="DC13" s="137" t="s">
        <v>302</v>
      </c>
      <c r="DD13" s="137" t="s">
        <v>303</v>
      </c>
      <c r="DE13" s="137" t="s">
        <v>304</v>
      </c>
      <c r="DF13" s="137" t="s">
        <v>305</v>
      </c>
      <c r="DG13" s="137" t="s">
        <v>306</v>
      </c>
      <c r="DH13" s="137" t="s">
        <v>307</v>
      </c>
      <c r="DI13" s="137" t="s">
        <v>308</v>
      </c>
      <c r="DJ13" s="137" t="s">
        <v>309</v>
      </c>
      <c r="DK13" s="137" t="s">
        <v>310</v>
      </c>
      <c r="DL13" s="137" t="s">
        <v>311</v>
      </c>
      <c r="DM13" s="137" t="s">
        <v>312</v>
      </c>
      <c r="DN13" s="137" t="s">
        <v>313</v>
      </c>
      <c r="DO13" s="137" t="s">
        <v>314</v>
      </c>
      <c r="DP13" s="137" t="s">
        <v>315</v>
      </c>
      <c r="DQ13" s="137" t="s">
        <v>316</v>
      </c>
      <c r="DR13" s="137" t="s">
        <v>317</v>
      </c>
      <c r="DS13" s="137" t="s">
        <v>318</v>
      </c>
      <c r="DT13" s="137" t="s">
        <v>319</v>
      </c>
      <c r="DU13" s="137" t="s">
        <v>320</v>
      </c>
      <c r="DV13" s="137" t="s">
        <v>321</v>
      </c>
      <c r="DW13" s="137" t="s">
        <v>322</v>
      </c>
      <c r="DX13" s="137" t="s">
        <v>323</v>
      </c>
      <c r="DY13" s="137" t="s">
        <v>324</v>
      </c>
      <c r="DZ13" s="137" t="s">
        <v>325</v>
      </c>
      <c r="EA13" s="137" t="s">
        <v>326</v>
      </c>
      <c r="EB13" s="137" t="s">
        <v>327</v>
      </c>
      <c r="EC13" s="137" t="s">
        <v>328</v>
      </c>
      <c r="ED13" s="137" t="s">
        <v>329</v>
      </c>
      <c r="EE13" s="137" t="s">
        <v>330</v>
      </c>
      <c r="EF13" s="137" t="s">
        <v>142</v>
      </c>
    </row>
    <row r="14" spans="1:146" x14ac:dyDescent="0.3">
      <c r="A14" s="115" t="s">
        <v>149</v>
      </c>
      <c r="B14" s="115" t="s">
        <v>205</v>
      </c>
      <c r="C14" s="115" t="s">
        <v>172</v>
      </c>
      <c r="D14" s="115" t="s">
        <v>331</v>
      </c>
      <c r="E14" s="115"/>
      <c r="F14" s="115" t="s">
        <v>206</v>
      </c>
      <c r="G14" s="115" t="s">
        <v>153</v>
      </c>
      <c r="H14" s="116">
        <v>25</v>
      </c>
      <c r="I14" s="116">
        <v>0</v>
      </c>
      <c r="J14" s="116">
        <v>30</v>
      </c>
      <c r="K14" s="116">
        <v>40</v>
      </c>
      <c r="L14" s="116">
        <v>30</v>
      </c>
      <c r="M14" s="116">
        <v>20</v>
      </c>
      <c r="N14" s="116">
        <v>40</v>
      </c>
      <c r="O14" s="116">
        <v>0</v>
      </c>
      <c r="P14" s="116">
        <v>0</v>
      </c>
      <c r="Q14" s="116">
        <v>10</v>
      </c>
      <c r="R14" s="116">
        <v>30</v>
      </c>
      <c r="S14" s="116">
        <v>40</v>
      </c>
      <c r="T14" s="116">
        <v>30</v>
      </c>
      <c r="U14" s="116">
        <v>30</v>
      </c>
      <c r="V14" s="116">
        <v>30</v>
      </c>
      <c r="W14" s="116">
        <v>0</v>
      </c>
      <c r="X14" s="116">
        <v>30</v>
      </c>
      <c r="Y14" s="116">
        <v>30</v>
      </c>
      <c r="Z14" s="116">
        <v>40</v>
      </c>
      <c r="AA14" s="116">
        <v>20</v>
      </c>
      <c r="AB14" s="116">
        <v>30</v>
      </c>
      <c r="AC14" s="116">
        <v>0</v>
      </c>
      <c r="AD14" s="116">
        <v>0</v>
      </c>
      <c r="AE14" s="116">
        <v>20</v>
      </c>
      <c r="AF14" s="116">
        <v>30</v>
      </c>
      <c r="AG14" s="116">
        <v>40</v>
      </c>
      <c r="AH14" s="116">
        <v>30</v>
      </c>
      <c r="AI14" s="116">
        <v>30</v>
      </c>
      <c r="AJ14" s="116">
        <v>10</v>
      </c>
      <c r="AK14" s="116">
        <v>0</v>
      </c>
      <c r="AL14" s="116">
        <v>0</v>
      </c>
      <c r="AM14" s="116">
        <v>0</v>
      </c>
      <c r="AN14" s="116">
        <v>640</v>
      </c>
      <c r="AO14" s="116">
        <v>0</v>
      </c>
      <c r="AP14" s="116">
        <v>0</v>
      </c>
      <c r="AQ14" s="116">
        <v>30</v>
      </c>
      <c r="AR14" s="116">
        <v>30</v>
      </c>
      <c r="AS14" s="116">
        <v>20</v>
      </c>
      <c r="AT14" s="116">
        <v>20</v>
      </c>
      <c r="AU14" s="116">
        <v>20</v>
      </c>
      <c r="AV14" s="116">
        <v>0</v>
      </c>
      <c r="AW14" s="116">
        <v>40</v>
      </c>
      <c r="AX14" s="116">
        <v>10</v>
      </c>
      <c r="AY14" s="116">
        <v>40</v>
      </c>
      <c r="AZ14" s="116">
        <v>20</v>
      </c>
      <c r="BA14" s="116">
        <v>30</v>
      </c>
      <c r="BB14" s="116">
        <v>20</v>
      </c>
      <c r="BC14" s="116">
        <v>0</v>
      </c>
      <c r="BD14" s="116">
        <v>40</v>
      </c>
      <c r="BE14" s="116">
        <v>20</v>
      </c>
      <c r="BF14" s="116">
        <v>30</v>
      </c>
      <c r="BG14" s="116">
        <v>20</v>
      </c>
      <c r="BH14" s="116">
        <v>30</v>
      </c>
      <c r="BI14" s="116">
        <v>0</v>
      </c>
      <c r="BJ14" s="116">
        <v>0</v>
      </c>
      <c r="BK14" s="116">
        <v>40</v>
      </c>
      <c r="BL14" s="116">
        <v>20</v>
      </c>
      <c r="BM14" s="116">
        <v>30</v>
      </c>
      <c r="BN14" s="116">
        <v>40</v>
      </c>
      <c r="BO14" s="116">
        <v>0</v>
      </c>
      <c r="BP14" s="116">
        <v>40</v>
      </c>
      <c r="BQ14" s="116">
        <v>0</v>
      </c>
      <c r="BR14" s="116">
        <v>30</v>
      </c>
      <c r="BS14" s="116">
        <v>30</v>
      </c>
      <c r="BT14" s="116">
        <v>650</v>
      </c>
      <c r="BU14" s="116">
        <v>25</v>
      </c>
      <c r="BV14" s="116">
        <v>25</v>
      </c>
      <c r="BW14" s="116">
        <v>25</v>
      </c>
      <c r="BX14" s="116">
        <v>12</v>
      </c>
      <c r="BY14" s="116">
        <v>0</v>
      </c>
      <c r="BZ14" s="116">
        <v>25</v>
      </c>
      <c r="CA14" s="116">
        <v>25</v>
      </c>
      <c r="CB14" s="116">
        <v>25</v>
      </c>
      <c r="CC14" s="116">
        <v>25</v>
      </c>
      <c r="CD14" s="116">
        <v>25</v>
      </c>
      <c r="CE14" s="116">
        <v>0</v>
      </c>
      <c r="CF14" s="116">
        <v>0</v>
      </c>
      <c r="CG14" s="116">
        <v>0</v>
      </c>
      <c r="CH14" s="116">
        <v>0</v>
      </c>
      <c r="CI14" s="116">
        <v>0</v>
      </c>
      <c r="CJ14" s="116">
        <v>0</v>
      </c>
      <c r="CK14" s="116">
        <v>0</v>
      </c>
      <c r="CL14" s="116">
        <v>0</v>
      </c>
      <c r="CM14" s="116">
        <v>0</v>
      </c>
      <c r="CN14" s="116">
        <v>25</v>
      </c>
      <c r="CO14" s="116">
        <v>25</v>
      </c>
      <c r="CP14" s="116">
        <v>25</v>
      </c>
      <c r="CQ14" s="116">
        <v>25</v>
      </c>
      <c r="CR14" s="116">
        <v>25</v>
      </c>
      <c r="CS14" s="116">
        <v>25</v>
      </c>
      <c r="CT14" s="116">
        <v>0</v>
      </c>
      <c r="CU14" s="116">
        <v>25</v>
      </c>
      <c r="CV14" s="116">
        <v>24</v>
      </c>
      <c r="CW14" s="116">
        <v>25</v>
      </c>
      <c r="CX14" s="116">
        <v>24</v>
      </c>
      <c r="CY14" s="116">
        <v>0</v>
      </c>
      <c r="CZ14" s="116">
        <v>460</v>
      </c>
      <c r="DA14" s="116">
        <v>0</v>
      </c>
      <c r="DB14" s="116">
        <v>0</v>
      </c>
      <c r="DC14" s="116">
        <v>0</v>
      </c>
      <c r="DD14" s="116">
        <v>0</v>
      </c>
      <c r="DE14" s="116">
        <v>12</v>
      </c>
      <c r="DF14" s="116">
        <v>11</v>
      </c>
      <c r="DG14" s="116">
        <v>12</v>
      </c>
      <c r="DH14" s="116">
        <v>11</v>
      </c>
      <c r="DI14" s="116">
        <v>12</v>
      </c>
      <c r="DJ14" s="116">
        <v>0</v>
      </c>
      <c r="DK14" s="116">
        <v>11</v>
      </c>
      <c r="DL14" s="116">
        <v>12</v>
      </c>
      <c r="DM14" s="116">
        <v>11</v>
      </c>
      <c r="DN14" s="116">
        <v>12</v>
      </c>
      <c r="DO14" s="116">
        <v>11</v>
      </c>
      <c r="DP14" s="116">
        <v>0</v>
      </c>
      <c r="DQ14" s="116">
        <v>0</v>
      </c>
      <c r="DR14" s="116">
        <v>12</v>
      </c>
      <c r="DS14" s="116">
        <v>11</v>
      </c>
      <c r="DT14" s="116">
        <v>12</v>
      </c>
      <c r="DU14" s="116">
        <v>11</v>
      </c>
      <c r="DV14" s="116">
        <v>12</v>
      </c>
      <c r="DW14" s="116">
        <v>0</v>
      </c>
      <c r="DX14" s="116">
        <v>0</v>
      </c>
      <c r="DY14" s="116">
        <v>11</v>
      </c>
      <c r="DZ14" s="116">
        <v>12</v>
      </c>
      <c r="EA14" s="116">
        <v>11</v>
      </c>
      <c r="EB14" s="116">
        <v>12</v>
      </c>
      <c r="EC14" s="116">
        <v>11</v>
      </c>
      <c r="ED14" s="116">
        <v>0</v>
      </c>
      <c r="EE14" s="116">
        <v>0</v>
      </c>
      <c r="EF14" s="116">
        <v>230</v>
      </c>
    </row>
    <row r="15" spans="1:146" x14ac:dyDescent="0.3">
      <c r="A15" s="115" t="s">
        <v>149</v>
      </c>
      <c r="B15" s="115" t="s">
        <v>205</v>
      </c>
      <c r="C15" s="115" t="s">
        <v>172</v>
      </c>
      <c r="D15" s="115" t="s">
        <v>331</v>
      </c>
      <c r="E15" s="115"/>
      <c r="F15" s="115" t="s">
        <v>201</v>
      </c>
      <c r="G15" s="115" t="s">
        <v>153</v>
      </c>
      <c r="H15" s="116">
        <v>30</v>
      </c>
      <c r="I15" s="116">
        <v>0</v>
      </c>
      <c r="J15" s="116">
        <v>270</v>
      </c>
      <c r="K15" s="116">
        <v>270</v>
      </c>
      <c r="L15" s="116">
        <v>240</v>
      </c>
      <c r="M15" s="116">
        <v>270</v>
      </c>
      <c r="N15" s="116">
        <v>270</v>
      </c>
      <c r="O15" s="116">
        <v>0</v>
      </c>
      <c r="P15" s="116">
        <v>0</v>
      </c>
      <c r="Q15" s="116">
        <v>270</v>
      </c>
      <c r="R15" s="116">
        <v>270</v>
      </c>
      <c r="S15" s="116">
        <v>240</v>
      </c>
      <c r="T15" s="116">
        <v>300</v>
      </c>
      <c r="U15" s="116">
        <v>240</v>
      </c>
      <c r="V15" s="116">
        <v>240</v>
      </c>
      <c r="W15" s="116">
        <v>0</v>
      </c>
      <c r="X15" s="116">
        <v>300</v>
      </c>
      <c r="Y15" s="116">
        <v>240</v>
      </c>
      <c r="Z15" s="116">
        <v>270</v>
      </c>
      <c r="AA15" s="116">
        <v>270</v>
      </c>
      <c r="AB15" s="116">
        <v>270</v>
      </c>
      <c r="AC15" s="116">
        <v>0</v>
      </c>
      <c r="AD15" s="116">
        <v>0</v>
      </c>
      <c r="AE15" s="116">
        <v>240</v>
      </c>
      <c r="AF15" s="116">
        <v>270</v>
      </c>
      <c r="AG15" s="116">
        <v>270</v>
      </c>
      <c r="AH15" s="116">
        <v>270</v>
      </c>
      <c r="AI15" s="116">
        <v>270</v>
      </c>
      <c r="AJ15" s="116">
        <v>240</v>
      </c>
      <c r="AK15" s="116">
        <v>0</v>
      </c>
      <c r="AL15" s="116">
        <v>0</v>
      </c>
      <c r="AM15" s="116">
        <v>0</v>
      </c>
      <c r="AN15" s="116">
        <v>5790</v>
      </c>
      <c r="AO15" s="116">
        <v>0</v>
      </c>
      <c r="AP15" s="116">
        <v>0</v>
      </c>
      <c r="AQ15" s="116">
        <v>240</v>
      </c>
      <c r="AR15" s="116">
        <v>300</v>
      </c>
      <c r="AS15" s="116">
        <v>300</v>
      </c>
      <c r="AT15" s="116">
        <v>360</v>
      </c>
      <c r="AU15" s="116">
        <v>150</v>
      </c>
      <c r="AV15" s="116">
        <v>0</v>
      </c>
      <c r="AW15" s="116">
        <v>330</v>
      </c>
      <c r="AX15" s="116">
        <v>360</v>
      </c>
      <c r="AY15" s="116">
        <v>330</v>
      </c>
      <c r="AZ15" s="116">
        <v>360</v>
      </c>
      <c r="BA15" s="116">
        <v>360</v>
      </c>
      <c r="BB15" s="116">
        <v>360</v>
      </c>
      <c r="BC15" s="116">
        <v>0</v>
      </c>
      <c r="BD15" s="116">
        <v>330</v>
      </c>
      <c r="BE15" s="116">
        <v>390</v>
      </c>
      <c r="BF15" s="116">
        <v>360</v>
      </c>
      <c r="BG15" s="116">
        <v>330</v>
      </c>
      <c r="BH15" s="116">
        <v>360</v>
      </c>
      <c r="BI15" s="116">
        <v>0</v>
      </c>
      <c r="BJ15" s="116">
        <v>0</v>
      </c>
      <c r="BK15" s="116">
        <v>360</v>
      </c>
      <c r="BL15" s="116">
        <v>360</v>
      </c>
      <c r="BM15" s="116">
        <v>330</v>
      </c>
      <c r="BN15" s="116">
        <v>390</v>
      </c>
      <c r="BO15" s="116">
        <v>360</v>
      </c>
      <c r="BP15" s="116">
        <v>330</v>
      </c>
      <c r="BQ15" s="116">
        <v>0</v>
      </c>
      <c r="BR15" s="116">
        <v>360</v>
      </c>
      <c r="BS15" s="116">
        <v>270</v>
      </c>
      <c r="BT15" s="116">
        <v>7980</v>
      </c>
      <c r="BU15" s="116">
        <v>297</v>
      </c>
      <c r="BV15" s="116">
        <v>297</v>
      </c>
      <c r="BW15" s="116">
        <v>297</v>
      </c>
      <c r="BX15" s="116">
        <v>148</v>
      </c>
      <c r="BY15" s="116">
        <v>0</v>
      </c>
      <c r="BZ15" s="116">
        <v>297</v>
      </c>
      <c r="CA15" s="116">
        <v>297</v>
      </c>
      <c r="CB15" s="116">
        <v>297</v>
      </c>
      <c r="CC15" s="116">
        <v>297</v>
      </c>
      <c r="CD15" s="116">
        <v>297</v>
      </c>
      <c r="CE15" s="116">
        <v>0</v>
      </c>
      <c r="CF15" s="116">
        <v>0</v>
      </c>
      <c r="CG15" s="116">
        <v>0</v>
      </c>
      <c r="CH15" s="116">
        <v>0</v>
      </c>
      <c r="CI15" s="116">
        <v>0</v>
      </c>
      <c r="CJ15" s="116">
        <v>0</v>
      </c>
      <c r="CK15" s="116">
        <v>0</v>
      </c>
      <c r="CL15" s="116">
        <v>0</v>
      </c>
      <c r="CM15" s="116">
        <v>0</v>
      </c>
      <c r="CN15" s="116">
        <v>297</v>
      </c>
      <c r="CO15" s="116">
        <v>297</v>
      </c>
      <c r="CP15" s="116">
        <v>297</v>
      </c>
      <c r="CQ15" s="116">
        <v>296</v>
      </c>
      <c r="CR15" s="116">
        <v>297</v>
      </c>
      <c r="CS15" s="116">
        <v>296</v>
      </c>
      <c r="CT15" s="116">
        <v>0</v>
      </c>
      <c r="CU15" s="116">
        <v>297</v>
      </c>
      <c r="CV15" s="116">
        <v>296</v>
      </c>
      <c r="CW15" s="116">
        <v>297</v>
      </c>
      <c r="CX15" s="116">
        <v>296</v>
      </c>
      <c r="CY15" s="116">
        <v>0</v>
      </c>
      <c r="CZ15" s="116">
        <v>5490</v>
      </c>
      <c r="DA15" s="116">
        <v>0</v>
      </c>
      <c r="DB15" s="116">
        <v>0</v>
      </c>
      <c r="DC15" s="116">
        <v>0</v>
      </c>
      <c r="DD15" s="116">
        <v>0</v>
      </c>
      <c r="DE15" s="116">
        <v>186</v>
      </c>
      <c r="DF15" s="116">
        <v>186</v>
      </c>
      <c r="DG15" s="116">
        <v>186</v>
      </c>
      <c r="DH15" s="116">
        <v>186</v>
      </c>
      <c r="DI15" s="116">
        <v>186</v>
      </c>
      <c r="DJ15" s="116">
        <v>0</v>
      </c>
      <c r="DK15" s="116">
        <v>186</v>
      </c>
      <c r="DL15" s="116">
        <v>186</v>
      </c>
      <c r="DM15" s="116">
        <v>186</v>
      </c>
      <c r="DN15" s="116">
        <v>186</v>
      </c>
      <c r="DO15" s="116">
        <v>186</v>
      </c>
      <c r="DP15" s="116">
        <v>0</v>
      </c>
      <c r="DQ15" s="116">
        <v>0</v>
      </c>
      <c r="DR15" s="116">
        <v>186</v>
      </c>
      <c r="DS15" s="116">
        <v>186</v>
      </c>
      <c r="DT15" s="116">
        <v>186</v>
      </c>
      <c r="DU15" s="116">
        <v>186</v>
      </c>
      <c r="DV15" s="116">
        <v>186</v>
      </c>
      <c r="DW15" s="116">
        <v>0</v>
      </c>
      <c r="DX15" s="116">
        <v>0</v>
      </c>
      <c r="DY15" s="116">
        <v>186</v>
      </c>
      <c r="DZ15" s="116">
        <v>186</v>
      </c>
      <c r="EA15" s="116">
        <v>186</v>
      </c>
      <c r="EB15" s="116">
        <v>186</v>
      </c>
      <c r="EC15" s="116">
        <v>186</v>
      </c>
      <c r="ED15" s="116">
        <v>0</v>
      </c>
      <c r="EE15" s="116">
        <v>0</v>
      </c>
      <c r="EF15" s="116">
        <v>3720</v>
      </c>
      <c r="EK15" s="14" t="s">
        <v>292</v>
      </c>
      <c r="EL15" s="14" t="s">
        <v>297</v>
      </c>
      <c r="EM15" t="s">
        <v>340</v>
      </c>
      <c r="EN15" t="s">
        <v>341</v>
      </c>
      <c r="EO15" t="s">
        <v>342</v>
      </c>
      <c r="EP15" t="s">
        <v>343</v>
      </c>
    </row>
    <row r="16" spans="1:146" x14ac:dyDescent="0.3">
      <c r="A16" s="115" t="s">
        <v>23</v>
      </c>
      <c r="B16" s="115" t="s">
        <v>209</v>
      </c>
      <c r="C16" s="115" t="s">
        <v>172</v>
      </c>
      <c r="D16" s="115" t="s">
        <v>331</v>
      </c>
      <c r="E16" s="115"/>
      <c r="F16" s="115" t="s">
        <v>206</v>
      </c>
      <c r="G16" s="115" t="s">
        <v>153</v>
      </c>
      <c r="H16" s="116">
        <v>10</v>
      </c>
      <c r="I16" s="116">
        <v>0</v>
      </c>
      <c r="J16" s="116">
        <v>20</v>
      </c>
      <c r="K16" s="116">
        <v>10</v>
      </c>
      <c r="L16" s="116">
        <v>10</v>
      </c>
      <c r="M16" s="116">
        <v>0</v>
      </c>
      <c r="N16" s="116">
        <v>10</v>
      </c>
      <c r="O16" s="116">
        <v>0</v>
      </c>
      <c r="P16" s="116">
        <v>0</v>
      </c>
      <c r="Q16" s="116">
        <v>10</v>
      </c>
      <c r="R16" s="116">
        <v>10</v>
      </c>
      <c r="S16" s="116">
        <v>10</v>
      </c>
      <c r="T16" s="116">
        <v>10</v>
      </c>
      <c r="U16" s="116">
        <v>10</v>
      </c>
      <c r="V16" s="116">
        <v>10</v>
      </c>
      <c r="W16" s="116">
        <v>0</v>
      </c>
      <c r="X16" s="116">
        <v>0</v>
      </c>
      <c r="Y16" s="116">
        <v>10</v>
      </c>
      <c r="Z16" s="116">
        <v>10</v>
      </c>
      <c r="AA16" s="116">
        <v>10</v>
      </c>
      <c r="AB16" s="116">
        <v>10</v>
      </c>
      <c r="AC16" s="116">
        <v>0</v>
      </c>
      <c r="AD16" s="116">
        <v>0</v>
      </c>
      <c r="AE16" s="116">
        <v>0</v>
      </c>
      <c r="AF16" s="116">
        <v>0</v>
      </c>
      <c r="AG16" s="116">
        <v>0</v>
      </c>
      <c r="AH16" s="116">
        <v>0</v>
      </c>
      <c r="AI16" s="116">
        <v>10</v>
      </c>
      <c r="AJ16" s="116">
        <v>10</v>
      </c>
      <c r="AK16" s="116">
        <v>0</v>
      </c>
      <c r="AL16" s="116">
        <v>0</v>
      </c>
      <c r="AM16" s="116">
        <v>0</v>
      </c>
      <c r="AN16" s="116">
        <v>170</v>
      </c>
      <c r="AO16" s="116">
        <v>0</v>
      </c>
      <c r="AP16" s="116">
        <v>0</v>
      </c>
      <c r="AQ16" s="116">
        <v>10</v>
      </c>
      <c r="AR16" s="116">
        <v>20</v>
      </c>
      <c r="AS16" s="116">
        <v>10</v>
      </c>
      <c r="AT16" s="116">
        <v>30</v>
      </c>
      <c r="AU16" s="116">
        <v>0</v>
      </c>
      <c r="AV16" s="116">
        <v>0</v>
      </c>
      <c r="AW16" s="116">
        <v>20</v>
      </c>
      <c r="AX16" s="116">
        <v>10</v>
      </c>
      <c r="AY16" s="116">
        <v>20</v>
      </c>
      <c r="AZ16" s="116">
        <v>10</v>
      </c>
      <c r="BA16" s="116">
        <v>20</v>
      </c>
      <c r="BB16" s="116">
        <v>10</v>
      </c>
      <c r="BC16" s="116">
        <v>0</v>
      </c>
      <c r="BD16" s="116">
        <v>30</v>
      </c>
      <c r="BE16" s="116">
        <v>10</v>
      </c>
      <c r="BF16" s="116">
        <v>20</v>
      </c>
      <c r="BG16" s="116">
        <v>10</v>
      </c>
      <c r="BH16" s="116">
        <v>20</v>
      </c>
      <c r="BI16" s="116">
        <v>0</v>
      </c>
      <c r="BJ16" s="116">
        <v>0</v>
      </c>
      <c r="BK16" s="116">
        <v>10</v>
      </c>
      <c r="BL16" s="116">
        <v>20</v>
      </c>
      <c r="BM16" s="116">
        <v>10</v>
      </c>
      <c r="BN16" s="116">
        <v>20</v>
      </c>
      <c r="BO16" s="116">
        <v>20</v>
      </c>
      <c r="BP16" s="116">
        <v>20</v>
      </c>
      <c r="BQ16" s="116">
        <v>0</v>
      </c>
      <c r="BR16" s="116">
        <v>10</v>
      </c>
      <c r="BS16" s="116">
        <v>20</v>
      </c>
      <c r="BT16" s="116">
        <v>380</v>
      </c>
      <c r="BU16" s="116">
        <v>7</v>
      </c>
      <c r="BV16" s="116">
        <v>7</v>
      </c>
      <c r="BW16" s="116">
        <v>7</v>
      </c>
      <c r="BX16" s="116">
        <v>4</v>
      </c>
      <c r="BY16" s="116">
        <v>0</v>
      </c>
      <c r="BZ16" s="116">
        <v>7</v>
      </c>
      <c r="CA16" s="116">
        <v>7</v>
      </c>
      <c r="CB16" s="116">
        <v>7</v>
      </c>
      <c r="CC16" s="116">
        <v>7</v>
      </c>
      <c r="CD16" s="116">
        <v>7</v>
      </c>
      <c r="CE16" s="116">
        <v>0</v>
      </c>
      <c r="CF16" s="116">
        <v>0</v>
      </c>
      <c r="CG16" s="116">
        <v>0</v>
      </c>
      <c r="CH16" s="116">
        <v>0</v>
      </c>
      <c r="CI16" s="116">
        <v>0</v>
      </c>
      <c r="CJ16" s="116">
        <v>0</v>
      </c>
      <c r="CK16" s="116">
        <v>0</v>
      </c>
      <c r="CL16" s="116">
        <v>0</v>
      </c>
      <c r="CM16" s="116">
        <v>0</v>
      </c>
      <c r="CN16" s="116">
        <v>7</v>
      </c>
      <c r="CO16" s="116">
        <v>7</v>
      </c>
      <c r="CP16" s="116">
        <v>7</v>
      </c>
      <c r="CQ16" s="116">
        <v>7</v>
      </c>
      <c r="CR16" s="116">
        <v>7</v>
      </c>
      <c r="CS16" s="116">
        <v>7</v>
      </c>
      <c r="CT16" s="116">
        <v>0</v>
      </c>
      <c r="CU16" s="116">
        <v>7</v>
      </c>
      <c r="CV16" s="116">
        <v>7</v>
      </c>
      <c r="CW16" s="116">
        <v>7</v>
      </c>
      <c r="CX16" s="116">
        <v>7</v>
      </c>
      <c r="CY16" s="116">
        <v>0</v>
      </c>
      <c r="CZ16" s="116">
        <v>130</v>
      </c>
      <c r="DA16" s="116">
        <v>0</v>
      </c>
      <c r="DB16" s="116">
        <v>0</v>
      </c>
      <c r="DC16" s="116">
        <v>0</v>
      </c>
      <c r="DD16" s="116">
        <v>0</v>
      </c>
      <c r="DE16" s="116">
        <v>11</v>
      </c>
      <c r="DF16" s="116">
        <v>10</v>
      </c>
      <c r="DG16" s="116">
        <v>11</v>
      </c>
      <c r="DH16" s="116">
        <v>10</v>
      </c>
      <c r="DI16" s="116">
        <v>11</v>
      </c>
      <c r="DJ16" s="116">
        <v>0</v>
      </c>
      <c r="DK16" s="116">
        <v>10</v>
      </c>
      <c r="DL16" s="116">
        <v>11</v>
      </c>
      <c r="DM16" s="116">
        <v>10</v>
      </c>
      <c r="DN16" s="116">
        <v>11</v>
      </c>
      <c r="DO16" s="116">
        <v>10</v>
      </c>
      <c r="DP16" s="116">
        <v>0</v>
      </c>
      <c r="DQ16" s="116">
        <v>0</v>
      </c>
      <c r="DR16" s="116">
        <v>11</v>
      </c>
      <c r="DS16" s="116">
        <v>10</v>
      </c>
      <c r="DT16" s="116">
        <v>11</v>
      </c>
      <c r="DU16" s="116">
        <v>10</v>
      </c>
      <c r="DV16" s="116">
        <v>11</v>
      </c>
      <c r="DW16" s="116">
        <v>0</v>
      </c>
      <c r="DX16" s="116">
        <v>0</v>
      </c>
      <c r="DY16" s="116">
        <v>10</v>
      </c>
      <c r="DZ16" s="116">
        <v>11</v>
      </c>
      <c r="EA16" s="116">
        <v>10</v>
      </c>
      <c r="EB16" s="116">
        <v>11</v>
      </c>
      <c r="EC16" s="116">
        <v>10</v>
      </c>
      <c r="ED16" s="116">
        <v>0</v>
      </c>
      <c r="EE16" s="116">
        <v>0</v>
      </c>
      <c r="EF16" s="116">
        <v>210</v>
      </c>
      <c r="EJ16" t="str">
        <f t="shared" ref="EJ16:EJ30" si="3">EK16&amp;EL16</f>
        <v>86790-0K051-00BN</v>
      </c>
      <c r="EK16" t="s">
        <v>149</v>
      </c>
      <c r="EL16" t="s">
        <v>206</v>
      </c>
      <c r="EM16">
        <v>880</v>
      </c>
      <c r="EN16">
        <v>470</v>
      </c>
      <c r="EO16">
        <v>690</v>
      </c>
      <c r="EP16">
        <v>360</v>
      </c>
    </row>
    <row r="17" spans="1:146" x14ac:dyDescent="0.3">
      <c r="A17" s="115" t="s">
        <v>23</v>
      </c>
      <c r="B17" s="115" t="s">
        <v>209</v>
      </c>
      <c r="C17" s="115" t="s">
        <v>172</v>
      </c>
      <c r="D17" s="115" t="s">
        <v>331</v>
      </c>
      <c r="E17" s="115"/>
      <c r="F17" s="115" t="s">
        <v>201</v>
      </c>
      <c r="G17" s="115" t="s">
        <v>153</v>
      </c>
      <c r="H17" s="116">
        <v>20</v>
      </c>
      <c r="I17" s="116">
        <v>0</v>
      </c>
      <c r="J17" s="116">
        <v>340</v>
      </c>
      <c r="K17" s="116">
        <v>280</v>
      </c>
      <c r="L17" s="116">
        <v>300</v>
      </c>
      <c r="M17" s="116">
        <v>320</v>
      </c>
      <c r="N17" s="116">
        <v>280</v>
      </c>
      <c r="O17" s="116">
        <v>0</v>
      </c>
      <c r="P17" s="116">
        <v>0</v>
      </c>
      <c r="Q17" s="116">
        <v>280</v>
      </c>
      <c r="R17" s="116">
        <v>280</v>
      </c>
      <c r="S17" s="116">
        <v>320</v>
      </c>
      <c r="T17" s="116">
        <v>280</v>
      </c>
      <c r="U17" s="116">
        <v>320</v>
      </c>
      <c r="V17" s="116">
        <v>300</v>
      </c>
      <c r="W17" s="116">
        <v>0</v>
      </c>
      <c r="X17" s="116">
        <v>280</v>
      </c>
      <c r="Y17" s="116">
        <v>260</v>
      </c>
      <c r="Z17" s="116">
        <v>260</v>
      </c>
      <c r="AA17" s="116">
        <v>320</v>
      </c>
      <c r="AB17" s="116">
        <v>320</v>
      </c>
      <c r="AC17" s="116">
        <v>0</v>
      </c>
      <c r="AD17" s="116">
        <v>0</v>
      </c>
      <c r="AE17" s="116">
        <v>320</v>
      </c>
      <c r="AF17" s="116">
        <v>320</v>
      </c>
      <c r="AG17" s="116">
        <v>300</v>
      </c>
      <c r="AH17" s="116">
        <v>360</v>
      </c>
      <c r="AI17" s="116">
        <v>320</v>
      </c>
      <c r="AJ17" s="116">
        <v>320</v>
      </c>
      <c r="AK17" s="116">
        <v>0</v>
      </c>
      <c r="AL17" s="116">
        <v>0</v>
      </c>
      <c r="AM17" s="116">
        <v>0</v>
      </c>
      <c r="AN17" s="116">
        <v>6680</v>
      </c>
      <c r="AO17" s="116">
        <v>0</v>
      </c>
      <c r="AP17" s="116">
        <v>0</v>
      </c>
      <c r="AQ17" s="116">
        <v>260</v>
      </c>
      <c r="AR17" s="116">
        <v>280</v>
      </c>
      <c r="AS17" s="116">
        <v>320</v>
      </c>
      <c r="AT17" s="116">
        <v>300</v>
      </c>
      <c r="AU17" s="116">
        <v>140</v>
      </c>
      <c r="AV17" s="116">
        <v>0</v>
      </c>
      <c r="AW17" s="116">
        <v>300</v>
      </c>
      <c r="AX17" s="116">
        <v>280</v>
      </c>
      <c r="AY17" s="116">
        <v>320</v>
      </c>
      <c r="AZ17" s="116">
        <v>320</v>
      </c>
      <c r="BA17" s="116">
        <v>300</v>
      </c>
      <c r="BB17" s="116">
        <v>300</v>
      </c>
      <c r="BC17" s="116">
        <v>0</v>
      </c>
      <c r="BD17" s="116">
        <v>300</v>
      </c>
      <c r="BE17" s="116">
        <v>300</v>
      </c>
      <c r="BF17" s="116">
        <v>320</v>
      </c>
      <c r="BG17" s="116">
        <v>300</v>
      </c>
      <c r="BH17" s="116">
        <v>300</v>
      </c>
      <c r="BI17" s="116">
        <v>0</v>
      </c>
      <c r="BJ17" s="116">
        <v>0</v>
      </c>
      <c r="BK17" s="116">
        <v>280</v>
      </c>
      <c r="BL17" s="116">
        <v>280</v>
      </c>
      <c r="BM17" s="116">
        <v>260</v>
      </c>
      <c r="BN17" s="116">
        <v>280</v>
      </c>
      <c r="BO17" s="116">
        <v>260</v>
      </c>
      <c r="BP17" s="116">
        <v>260</v>
      </c>
      <c r="BQ17" s="116">
        <v>0</v>
      </c>
      <c r="BR17" s="116">
        <v>260</v>
      </c>
      <c r="BS17" s="116">
        <v>220</v>
      </c>
      <c r="BT17" s="116">
        <v>6740</v>
      </c>
      <c r="BU17" s="116">
        <v>277</v>
      </c>
      <c r="BV17" s="116">
        <v>277</v>
      </c>
      <c r="BW17" s="116">
        <v>277</v>
      </c>
      <c r="BX17" s="116">
        <v>138</v>
      </c>
      <c r="BY17" s="116">
        <v>0</v>
      </c>
      <c r="BZ17" s="116">
        <v>277</v>
      </c>
      <c r="CA17" s="116">
        <v>277</v>
      </c>
      <c r="CB17" s="116">
        <v>277</v>
      </c>
      <c r="CC17" s="116">
        <v>277</v>
      </c>
      <c r="CD17" s="116">
        <v>277</v>
      </c>
      <c r="CE17" s="116">
        <v>0</v>
      </c>
      <c r="CF17" s="116">
        <v>0</v>
      </c>
      <c r="CG17" s="116">
        <v>0</v>
      </c>
      <c r="CH17" s="116">
        <v>0</v>
      </c>
      <c r="CI17" s="116">
        <v>0</v>
      </c>
      <c r="CJ17" s="116">
        <v>0</v>
      </c>
      <c r="CK17" s="116">
        <v>0</v>
      </c>
      <c r="CL17" s="116">
        <v>0</v>
      </c>
      <c r="CM17" s="116">
        <v>0</v>
      </c>
      <c r="CN17" s="116">
        <v>277</v>
      </c>
      <c r="CO17" s="116">
        <v>277</v>
      </c>
      <c r="CP17" s="116">
        <v>277</v>
      </c>
      <c r="CQ17" s="116">
        <v>276</v>
      </c>
      <c r="CR17" s="116">
        <v>277</v>
      </c>
      <c r="CS17" s="116">
        <v>276</v>
      </c>
      <c r="CT17" s="116">
        <v>0</v>
      </c>
      <c r="CU17" s="116">
        <v>277</v>
      </c>
      <c r="CV17" s="116">
        <v>276</v>
      </c>
      <c r="CW17" s="116">
        <v>277</v>
      </c>
      <c r="CX17" s="116">
        <v>276</v>
      </c>
      <c r="CY17" s="116">
        <v>0</v>
      </c>
      <c r="CZ17" s="116">
        <v>5120</v>
      </c>
      <c r="DA17" s="116">
        <v>0</v>
      </c>
      <c r="DB17" s="116">
        <v>0</v>
      </c>
      <c r="DC17" s="116">
        <v>0</v>
      </c>
      <c r="DD17" s="116">
        <v>0</v>
      </c>
      <c r="DE17" s="116">
        <v>211</v>
      </c>
      <c r="DF17" s="116">
        <v>211</v>
      </c>
      <c r="DG17" s="116">
        <v>211</v>
      </c>
      <c r="DH17" s="116">
        <v>211</v>
      </c>
      <c r="DI17" s="116">
        <v>211</v>
      </c>
      <c r="DJ17" s="116">
        <v>0</v>
      </c>
      <c r="DK17" s="116">
        <v>211</v>
      </c>
      <c r="DL17" s="116">
        <v>211</v>
      </c>
      <c r="DM17" s="116">
        <v>211</v>
      </c>
      <c r="DN17" s="116">
        <v>211</v>
      </c>
      <c r="DO17" s="116">
        <v>211</v>
      </c>
      <c r="DP17" s="116">
        <v>0</v>
      </c>
      <c r="DQ17" s="116">
        <v>0</v>
      </c>
      <c r="DR17" s="116">
        <v>211</v>
      </c>
      <c r="DS17" s="116">
        <v>211</v>
      </c>
      <c r="DT17" s="116">
        <v>211</v>
      </c>
      <c r="DU17" s="116">
        <v>211</v>
      </c>
      <c r="DV17" s="116">
        <v>211</v>
      </c>
      <c r="DW17" s="116">
        <v>0</v>
      </c>
      <c r="DX17" s="116">
        <v>0</v>
      </c>
      <c r="DY17" s="116">
        <v>211</v>
      </c>
      <c r="DZ17" s="116">
        <v>211</v>
      </c>
      <c r="EA17" s="116">
        <v>211</v>
      </c>
      <c r="EB17" s="116">
        <v>211</v>
      </c>
      <c r="EC17" s="116">
        <v>211</v>
      </c>
      <c r="ED17" s="116">
        <v>0</v>
      </c>
      <c r="EE17" s="116">
        <v>0</v>
      </c>
      <c r="EF17" s="116">
        <v>4220</v>
      </c>
      <c r="EH17" t="b">
        <f>A17='Monthly FC (Don''t use)'!E35</f>
        <v>1</v>
      </c>
      <c r="EJ17" t="str">
        <f t="shared" si="3"/>
        <v>86790-0K051-00D1</v>
      </c>
      <c r="EK17" t="s">
        <v>149</v>
      </c>
      <c r="EL17" t="s">
        <v>201</v>
      </c>
      <c r="EM17">
        <v>9000</v>
      </c>
      <c r="EN17">
        <v>5130</v>
      </c>
      <c r="EO17">
        <v>7590</v>
      </c>
      <c r="EP17">
        <v>9090</v>
      </c>
    </row>
    <row r="18" spans="1:146" x14ac:dyDescent="0.3">
      <c r="A18" s="115" t="s">
        <v>211</v>
      </c>
      <c r="B18" s="115" t="s">
        <v>212</v>
      </c>
      <c r="C18" s="115" t="s">
        <v>172</v>
      </c>
      <c r="D18" s="115" t="s">
        <v>331</v>
      </c>
      <c r="E18" s="115"/>
      <c r="F18" s="115" t="s">
        <v>201</v>
      </c>
      <c r="G18" s="115" t="s">
        <v>153</v>
      </c>
      <c r="H18" s="116">
        <v>20</v>
      </c>
      <c r="I18" s="116">
        <v>0</v>
      </c>
      <c r="J18" s="116">
        <v>20</v>
      </c>
      <c r="K18" s="116">
        <v>0</v>
      </c>
      <c r="L18" s="116">
        <v>20</v>
      </c>
      <c r="M18" s="116">
        <v>0</v>
      </c>
      <c r="N18" s="116">
        <v>20</v>
      </c>
      <c r="O18" s="116">
        <v>0</v>
      </c>
      <c r="P18" s="116">
        <v>0</v>
      </c>
      <c r="Q18" s="116">
        <v>0</v>
      </c>
      <c r="R18" s="116">
        <v>20</v>
      </c>
      <c r="S18" s="116">
        <v>0</v>
      </c>
      <c r="T18" s="116">
        <v>20</v>
      </c>
      <c r="U18" s="116">
        <v>0</v>
      </c>
      <c r="V18" s="116">
        <v>20</v>
      </c>
      <c r="W18" s="116">
        <v>0</v>
      </c>
      <c r="X18" s="116">
        <v>20</v>
      </c>
      <c r="Y18" s="116">
        <v>0</v>
      </c>
      <c r="Z18" s="116">
        <v>20</v>
      </c>
      <c r="AA18" s="116">
        <v>0</v>
      </c>
      <c r="AB18" s="116">
        <v>20</v>
      </c>
      <c r="AC18" s="116">
        <v>0</v>
      </c>
      <c r="AD18" s="116">
        <v>0</v>
      </c>
      <c r="AE18" s="116">
        <v>0</v>
      </c>
      <c r="AF18" s="116">
        <v>20</v>
      </c>
      <c r="AG18" s="116">
        <v>0</v>
      </c>
      <c r="AH18" s="116">
        <v>20</v>
      </c>
      <c r="AI18" s="116">
        <v>0</v>
      </c>
      <c r="AJ18" s="116">
        <v>20</v>
      </c>
      <c r="AK18" s="116">
        <v>0</v>
      </c>
      <c r="AL18" s="116">
        <v>0</v>
      </c>
      <c r="AM18" s="116">
        <v>0</v>
      </c>
      <c r="AN18" s="116">
        <v>240</v>
      </c>
      <c r="AO18" s="116">
        <v>0</v>
      </c>
      <c r="AP18" s="116">
        <v>0</v>
      </c>
      <c r="AQ18" s="116">
        <v>20</v>
      </c>
      <c r="AR18" s="116">
        <v>0</v>
      </c>
      <c r="AS18" s="116">
        <v>20</v>
      </c>
      <c r="AT18" s="116">
        <v>20</v>
      </c>
      <c r="AU18" s="116">
        <v>0</v>
      </c>
      <c r="AV18" s="116">
        <v>0</v>
      </c>
      <c r="AW18" s="116">
        <v>20</v>
      </c>
      <c r="AX18" s="116">
        <v>20</v>
      </c>
      <c r="AY18" s="116">
        <v>20</v>
      </c>
      <c r="AZ18" s="116">
        <v>0</v>
      </c>
      <c r="BA18" s="116">
        <v>20</v>
      </c>
      <c r="BB18" s="116">
        <v>20</v>
      </c>
      <c r="BC18" s="116">
        <v>0</v>
      </c>
      <c r="BD18" s="116">
        <v>20</v>
      </c>
      <c r="BE18" s="116">
        <v>20</v>
      </c>
      <c r="BF18" s="116">
        <v>0</v>
      </c>
      <c r="BG18" s="116">
        <v>20</v>
      </c>
      <c r="BH18" s="116">
        <v>20</v>
      </c>
      <c r="BI18" s="116">
        <v>0</v>
      </c>
      <c r="BJ18" s="116">
        <v>0</v>
      </c>
      <c r="BK18" s="116">
        <v>20</v>
      </c>
      <c r="BL18" s="116">
        <v>0</v>
      </c>
      <c r="BM18" s="116">
        <v>20</v>
      </c>
      <c r="BN18" s="116">
        <v>20</v>
      </c>
      <c r="BO18" s="116">
        <v>20</v>
      </c>
      <c r="BP18" s="116">
        <v>0</v>
      </c>
      <c r="BQ18" s="116">
        <v>0</v>
      </c>
      <c r="BR18" s="116">
        <v>20</v>
      </c>
      <c r="BS18" s="116">
        <v>20</v>
      </c>
      <c r="BT18" s="116">
        <v>360</v>
      </c>
      <c r="BU18" s="116">
        <v>11</v>
      </c>
      <c r="BV18" s="116">
        <v>11</v>
      </c>
      <c r="BW18" s="116">
        <v>11</v>
      </c>
      <c r="BX18" s="116">
        <v>5</v>
      </c>
      <c r="BY18" s="116">
        <v>0</v>
      </c>
      <c r="BZ18" s="116">
        <v>11</v>
      </c>
      <c r="CA18" s="116">
        <v>11</v>
      </c>
      <c r="CB18" s="116">
        <v>11</v>
      </c>
      <c r="CC18" s="116">
        <v>11</v>
      </c>
      <c r="CD18" s="116">
        <v>11</v>
      </c>
      <c r="CE18" s="116">
        <v>0</v>
      </c>
      <c r="CF18" s="116">
        <v>0</v>
      </c>
      <c r="CG18" s="116">
        <v>0</v>
      </c>
      <c r="CH18" s="116">
        <v>0</v>
      </c>
      <c r="CI18" s="116">
        <v>0</v>
      </c>
      <c r="CJ18" s="116">
        <v>0</v>
      </c>
      <c r="CK18" s="116">
        <v>0</v>
      </c>
      <c r="CL18" s="116">
        <v>0</v>
      </c>
      <c r="CM18" s="116">
        <v>0</v>
      </c>
      <c r="CN18" s="116">
        <v>11</v>
      </c>
      <c r="CO18" s="116">
        <v>11</v>
      </c>
      <c r="CP18" s="116">
        <v>11</v>
      </c>
      <c r="CQ18" s="116">
        <v>11</v>
      </c>
      <c r="CR18" s="116">
        <v>11</v>
      </c>
      <c r="CS18" s="116">
        <v>10</v>
      </c>
      <c r="CT18" s="116">
        <v>0</v>
      </c>
      <c r="CU18" s="116">
        <v>11</v>
      </c>
      <c r="CV18" s="116">
        <v>10</v>
      </c>
      <c r="CW18" s="116">
        <v>11</v>
      </c>
      <c r="CX18" s="116">
        <v>10</v>
      </c>
      <c r="CY18" s="116">
        <v>0</v>
      </c>
      <c r="CZ18" s="116">
        <v>200</v>
      </c>
      <c r="DA18" s="116">
        <v>0</v>
      </c>
      <c r="DB18" s="116">
        <v>0</v>
      </c>
      <c r="DC18" s="116">
        <v>0</v>
      </c>
      <c r="DD18" s="116">
        <v>0</v>
      </c>
      <c r="DE18" s="116">
        <v>1</v>
      </c>
      <c r="DF18" s="116">
        <v>1</v>
      </c>
      <c r="DG18" s="116">
        <v>1</v>
      </c>
      <c r="DH18" s="116">
        <v>1</v>
      </c>
      <c r="DI18" s="116">
        <v>1</v>
      </c>
      <c r="DJ18" s="116">
        <v>0</v>
      </c>
      <c r="DK18" s="116">
        <v>1</v>
      </c>
      <c r="DL18" s="116">
        <v>1</v>
      </c>
      <c r="DM18" s="116">
        <v>1</v>
      </c>
      <c r="DN18" s="116">
        <v>1</v>
      </c>
      <c r="DO18" s="116">
        <v>1</v>
      </c>
      <c r="DP18" s="116">
        <v>0</v>
      </c>
      <c r="DQ18" s="116">
        <v>0</v>
      </c>
      <c r="DR18" s="116">
        <v>1</v>
      </c>
      <c r="DS18" s="116">
        <v>1</v>
      </c>
      <c r="DT18" s="116">
        <v>1</v>
      </c>
      <c r="DU18" s="116">
        <v>1</v>
      </c>
      <c r="DV18" s="116">
        <v>1</v>
      </c>
      <c r="DW18" s="116">
        <v>0</v>
      </c>
      <c r="DX18" s="116">
        <v>0</v>
      </c>
      <c r="DY18" s="116">
        <v>1</v>
      </c>
      <c r="DZ18" s="116">
        <v>1</v>
      </c>
      <c r="EA18" s="116">
        <v>1</v>
      </c>
      <c r="EB18" s="116">
        <v>1</v>
      </c>
      <c r="EC18" s="116">
        <v>1</v>
      </c>
      <c r="ED18" s="116">
        <v>0</v>
      </c>
      <c r="EE18" s="116">
        <v>0</v>
      </c>
      <c r="EF18" s="116">
        <v>20</v>
      </c>
      <c r="EH18" t="b">
        <f>A18='Monthly FC (Don''t use)'!E36</f>
        <v>0</v>
      </c>
      <c r="EJ18" t="str">
        <f t="shared" si="3"/>
        <v>86790-0K110-00BN</v>
      </c>
      <c r="EK18" t="s">
        <v>23</v>
      </c>
      <c r="EL18" t="s">
        <v>206</v>
      </c>
      <c r="EM18">
        <v>100</v>
      </c>
      <c r="EN18">
        <v>120</v>
      </c>
      <c r="EO18">
        <v>350</v>
      </c>
      <c r="EP18">
        <v>210</v>
      </c>
    </row>
    <row r="19" spans="1:146" x14ac:dyDescent="0.3">
      <c r="A19" s="115" t="s">
        <v>160</v>
      </c>
      <c r="B19" s="115" t="s">
        <v>214</v>
      </c>
      <c r="C19" s="115" t="s">
        <v>172</v>
      </c>
      <c r="D19" s="115" t="s">
        <v>331</v>
      </c>
      <c r="E19" s="115"/>
      <c r="F19" s="115" t="s">
        <v>201</v>
      </c>
      <c r="G19" s="115" t="s">
        <v>153</v>
      </c>
      <c r="H19" s="116">
        <v>16</v>
      </c>
      <c r="I19" s="116">
        <v>0</v>
      </c>
      <c r="J19" s="116">
        <v>48</v>
      </c>
      <c r="K19" s="116">
        <v>64</v>
      </c>
      <c r="L19" s="116">
        <v>48</v>
      </c>
      <c r="M19" s="116">
        <v>48</v>
      </c>
      <c r="N19" s="116">
        <v>80</v>
      </c>
      <c r="O19" s="116">
        <v>0</v>
      </c>
      <c r="P19" s="116">
        <v>0</v>
      </c>
      <c r="Q19" s="116">
        <v>80</v>
      </c>
      <c r="R19" s="116">
        <v>80</v>
      </c>
      <c r="S19" s="116">
        <v>80</v>
      </c>
      <c r="T19" s="116">
        <v>96</v>
      </c>
      <c r="U19" s="116">
        <v>80</v>
      </c>
      <c r="V19" s="116">
        <v>80</v>
      </c>
      <c r="W19" s="116">
        <v>0</v>
      </c>
      <c r="X19" s="116">
        <v>80</v>
      </c>
      <c r="Y19" s="116">
        <v>96</v>
      </c>
      <c r="Z19" s="116">
        <v>80</v>
      </c>
      <c r="AA19" s="116">
        <v>80</v>
      </c>
      <c r="AB19" s="116">
        <v>80</v>
      </c>
      <c r="AC19" s="116">
        <v>0</v>
      </c>
      <c r="AD19" s="116">
        <v>0</v>
      </c>
      <c r="AE19" s="116">
        <v>80</v>
      </c>
      <c r="AF19" s="116">
        <v>96</v>
      </c>
      <c r="AG19" s="116">
        <v>80</v>
      </c>
      <c r="AH19" s="116">
        <v>80</v>
      </c>
      <c r="AI19" s="116">
        <v>80</v>
      </c>
      <c r="AJ19" s="116">
        <v>96</v>
      </c>
      <c r="AK19" s="116">
        <v>0</v>
      </c>
      <c r="AL19" s="116">
        <v>0</v>
      </c>
      <c r="AM19" s="116">
        <v>0</v>
      </c>
      <c r="AN19" s="116">
        <v>1712</v>
      </c>
      <c r="AO19" s="116">
        <v>0</v>
      </c>
      <c r="AP19" s="116">
        <v>0</v>
      </c>
      <c r="AQ19" s="116">
        <v>80</v>
      </c>
      <c r="AR19" s="116">
        <v>112</v>
      </c>
      <c r="AS19" s="116">
        <v>96</v>
      </c>
      <c r="AT19" s="116">
        <v>96</v>
      </c>
      <c r="AU19" s="116">
        <v>32</v>
      </c>
      <c r="AV19" s="116">
        <v>0</v>
      </c>
      <c r="AW19" s="116">
        <v>80</v>
      </c>
      <c r="AX19" s="116">
        <v>80</v>
      </c>
      <c r="AY19" s="116">
        <v>96</v>
      </c>
      <c r="AZ19" s="116">
        <v>80</v>
      </c>
      <c r="BA19" s="116">
        <v>96</v>
      </c>
      <c r="BB19" s="116">
        <v>80</v>
      </c>
      <c r="BC19" s="116">
        <v>0</v>
      </c>
      <c r="BD19" s="116">
        <v>96</v>
      </c>
      <c r="BE19" s="116">
        <v>80</v>
      </c>
      <c r="BF19" s="116">
        <v>96</v>
      </c>
      <c r="BG19" s="116">
        <v>80</v>
      </c>
      <c r="BH19" s="116">
        <v>96</v>
      </c>
      <c r="BI19" s="116">
        <v>0</v>
      </c>
      <c r="BJ19" s="116">
        <v>0</v>
      </c>
      <c r="BK19" s="116">
        <v>80</v>
      </c>
      <c r="BL19" s="116">
        <v>96</v>
      </c>
      <c r="BM19" s="116">
        <v>80</v>
      </c>
      <c r="BN19" s="116">
        <v>96</v>
      </c>
      <c r="BO19" s="116">
        <v>80</v>
      </c>
      <c r="BP19" s="116">
        <v>80</v>
      </c>
      <c r="BQ19" s="116">
        <v>0</v>
      </c>
      <c r="BR19" s="116">
        <v>96</v>
      </c>
      <c r="BS19" s="116">
        <v>80</v>
      </c>
      <c r="BT19" s="116">
        <v>2064</v>
      </c>
      <c r="BU19" s="116">
        <v>75</v>
      </c>
      <c r="BV19" s="116">
        <v>75</v>
      </c>
      <c r="BW19" s="116">
        <v>75</v>
      </c>
      <c r="BX19" s="116">
        <v>38</v>
      </c>
      <c r="BY19" s="116">
        <v>0</v>
      </c>
      <c r="BZ19" s="116">
        <v>75</v>
      </c>
      <c r="CA19" s="116">
        <v>75</v>
      </c>
      <c r="CB19" s="116">
        <v>75</v>
      </c>
      <c r="CC19" s="116">
        <v>75</v>
      </c>
      <c r="CD19" s="116">
        <v>75</v>
      </c>
      <c r="CE19" s="116">
        <v>0</v>
      </c>
      <c r="CF19" s="116">
        <v>0</v>
      </c>
      <c r="CG19" s="116">
        <v>0</v>
      </c>
      <c r="CH19" s="116">
        <v>0</v>
      </c>
      <c r="CI19" s="116">
        <v>0</v>
      </c>
      <c r="CJ19" s="116">
        <v>0</v>
      </c>
      <c r="CK19" s="116">
        <v>0</v>
      </c>
      <c r="CL19" s="116">
        <v>0</v>
      </c>
      <c r="CM19" s="116">
        <v>0</v>
      </c>
      <c r="CN19" s="116">
        <v>75</v>
      </c>
      <c r="CO19" s="116">
        <v>75</v>
      </c>
      <c r="CP19" s="116">
        <v>76</v>
      </c>
      <c r="CQ19" s="116">
        <v>75</v>
      </c>
      <c r="CR19" s="116">
        <v>76</v>
      </c>
      <c r="CS19" s="116">
        <v>75</v>
      </c>
      <c r="CT19" s="116">
        <v>0</v>
      </c>
      <c r="CU19" s="116">
        <v>76</v>
      </c>
      <c r="CV19" s="116">
        <v>75</v>
      </c>
      <c r="CW19" s="116">
        <v>76</v>
      </c>
      <c r="CX19" s="116">
        <v>75</v>
      </c>
      <c r="CY19" s="116">
        <v>0</v>
      </c>
      <c r="CZ19" s="116">
        <v>1392</v>
      </c>
      <c r="DA19" s="116">
        <v>0</v>
      </c>
      <c r="DB19" s="116">
        <v>0</v>
      </c>
      <c r="DC19" s="116">
        <v>0</v>
      </c>
      <c r="DD19" s="116">
        <v>0</v>
      </c>
      <c r="DE19" s="116">
        <v>46</v>
      </c>
      <c r="DF19" s="116">
        <v>46</v>
      </c>
      <c r="DG19" s="116">
        <v>46</v>
      </c>
      <c r="DH19" s="116">
        <v>46</v>
      </c>
      <c r="DI19" s="116">
        <v>46</v>
      </c>
      <c r="DJ19" s="116">
        <v>0</v>
      </c>
      <c r="DK19" s="116">
        <v>45</v>
      </c>
      <c r="DL19" s="116">
        <v>46</v>
      </c>
      <c r="DM19" s="116">
        <v>45</v>
      </c>
      <c r="DN19" s="116">
        <v>46</v>
      </c>
      <c r="DO19" s="116">
        <v>45</v>
      </c>
      <c r="DP19" s="116">
        <v>0</v>
      </c>
      <c r="DQ19" s="116">
        <v>0</v>
      </c>
      <c r="DR19" s="116">
        <v>46</v>
      </c>
      <c r="DS19" s="116">
        <v>45</v>
      </c>
      <c r="DT19" s="116">
        <v>46</v>
      </c>
      <c r="DU19" s="116">
        <v>45</v>
      </c>
      <c r="DV19" s="116">
        <v>46</v>
      </c>
      <c r="DW19" s="116">
        <v>0</v>
      </c>
      <c r="DX19" s="116">
        <v>0</v>
      </c>
      <c r="DY19" s="116">
        <v>45</v>
      </c>
      <c r="DZ19" s="116">
        <v>46</v>
      </c>
      <c r="EA19" s="116">
        <v>45</v>
      </c>
      <c r="EB19" s="116">
        <v>46</v>
      </c>
      <c r="EC19" s="116">
        <v>45</v>
      </c>
      <c r="ED19" s="116">
        <v>0</v>
      </c>
      <c r="EE19" s="116">
        <v>0</v>
      </c>
      <c r="EF19" s="116">
        <v>912</v>
      </c>
      <c r="EH19" t="b">
        <f>A19='Monthly FC (Don''t use)'!E37</f>
        <v>0</v>
      </c>
      <c r="EJ19" t="str">
        <f t="shared" si="3"/>
        <v>86790-0K110-00D1</v>
      </c>
      <c r="EK19" t="s">
        <v>23</v>
      </c>
      <c r="EL19" t="s">
        <v>201</v>
      </c>
      <c r="EM19">
        <v>6000</v>
      </c>
      <c r="EN19">
        <v>4700</v>
      </c>
      <c r="EO19">
        <v>5020</v>
      </c>
      <c r="EP19">
        <v>6060</v>
      </c>
    </row>
    <row r="20" spans="1:146" x14ac:dyDescent="0.3">
      <c r="A20" s="115" t="s">
        <v>162</v>
      </c>
      <c r="B20" s="115" t="s">
        <v>216</v>
      </c>
      <c r="C20" s="115" t="s">
        <v>172</v>
      </c>
      <c r="D20" s="115" t="s">
        <v>331</v>
      </c>
      <c r="E20" s="115"/>
      <c r="F20" s="115" t="s">
        <v>206</v>
      </c>
      <c r="G20" s="115" t="s">
        <v>153</v>
      </c>
      <c r="H20" s="116">
        <v>8</v>
      </c>
      <c r="I20" s="116">
        <v>0</v>
      </c>
      <c r="J20" s="116">
        <v>10</v>
      </c>
      <c r="K20" s="116">
        <v>20</v>
      </c>
      <c r="L20" s="116">
        <v>10</v>
      </c>
      <c r="M20" s="116">
        <v>10</v>
      </c>
      <c r="N20" s="116">
        <v>20</v>
      </c>
      <c r="O20" s="116">
        <v>0</v>
      </c>
      <c r="P20" s="116">
        <v>0</v>
      </c>
      <c r="Q20" s="116">
        <v>0</v>
      </c>
      <c r="R20" s="116">
        <v>10</v>
      </c>
      <c r="S20" s="116">
        <v>20</v>
      </c>
      <c r="T20" s="116">
        <v>10</v>
      </c>
      <c r="U20" s="116">
        <v>10</v>
      </c>
      <c r="V20" s="116">
        <v>20</v>
      </c>
      <c r="W20" s="116">
        <v>0</v>
      </c>
      <c r="X20" s="116">
        <v>10</v>
      </c>
      <c r="Y20" s="116">
        <v>10</v>
      </c>
      <c r="Z20" s="116">
        <v>20</v>
      </c>
      <c r="AA20" s="116">
        <v>10</v>
      </c>
      <c r="AB20" s="116">
        <v>10</v>
      </c>
      <c r="AC20" s="116">
        <v>0</v>
      </c>
      <c r="AD20" s="116">
        <v>0</v>
      </c>
      <c r="AE20" s="116">
        <v>20</v>
      </c>
      <c r="AF20" s="116">
        <v>10</v>
      </c>
      <c r="AG20" s="116">
        <v>20</v>
      </c>
      <c r="AH20" s="116">
        <v>20</v>
      </c>
      <c r="AI20" s="116">
        <v>10</v>
      </c>
      <c r="AJ20" s="116">
        <v>10</v>
      </c>
      <c r="AK20" s="116">
        <v>0</v>
      </c>
      <c r="AL20" s="116">
        <v>0</v>
      </c>
      <c r="AM20" s="116">
        <v>0</v>
      </c>
      <c r="AN20" s="116">
        <v>290</v>
      </c>
      <c r="AO20" s="116">
        <v>0</v>
      </c>
      <c r="AP20" s="116">
        <v>0</v>
      </c>
      <c r="AQ20" s="116">
        <v>20</v>
      </c>
      <c r="AR20" s="116">
        <v>10</v>
      </c>
      <c r="AS20" s="116">
        <v>20</v>
      </c>
      <c r="AT20" s="116">
        <v>10</v>
      </c>
      <c r="AU20" s="116">
        <v>20</v>
      </c>
      <c r="AV20" s="116">
        <v>0</v>
      </c>
      <c r="AW20" s="116">
        <v>20</v>
      </c>
      <c r="AX20" s="116">
        <v>0</v>
      </c>
      <c r="AY20" s="116">
        <v>20</v>
      </c>
      <c r="AZ20" s="116">
        <v>20</v>
      </c>
      <c r="BA20" s="116">
        <v>20</v>
      </c>
      <c r="BB20" s="116">
        <v>10</v>
      </c>
      <c r="BC20" s="116">
        <v>0</v>
      </c>
      <c r="BD20" s="116">
        <v>20</v>
      </c>
      <c r="BE20" s="116">
        <v>20</v>
      </c>
      <c r="BF20" s="116">
        <v>10</v>
      </c>
      <c r="BG20" s="116">
        <v>10</v>
      </c>
      <c r="BH20" s="116">
        <v>20</v>
      </c>
      <c r="BI20" s="116">
        <v>0</v>
      </c>
      <c r="BJ20" s="116">
        <v>0</v>
      </c>
      <c r="BK20" s="116">
        <v>20</v>
      </c>
      <c r="BL20" s="116">
        <v>20</v>
      </c>
      <c r="BM20" s="116">
        <v>20</v>
      </c>
      <c r="BN20" s="116">
        <v>20</v>
      </c>
      <c r="BO20" s="116">
        <v>0</v>
      </c>
      <c r="BP20" s="116">
        <v>30</v>
      </c>
      <c r="BQ20" s="116">
        <v>0</v>
      </c>
      <c r="BR20" s="116">
        <v>10</v>
      </c>
      <c r="BS20" s="116">
        <v>20</v>
      </c>
      <c r="BT20" s="116">
        <v>390</v>
      </c>
      <c r="BU20" s="116">
        <v>19</v>
      </c>
      <c r="BV20" s="116">
        <v>19</v>
      </c>
      <c r="BW20" s="116">
        <v>20</v>
      </c>
      <c r="BX20" s="116">
        <v>10</v>
      </c>
      <c r="BY20" s="116">
        <v>0</v>
      </c>
      <c r="BZ20" s="116">
        <v>19</v>
      </c>
      <c r="CA20" s="116">
        <v>20</v>
      </c>
      <c r="CB20" s="116">
        <v>19</v>
      </c>
      <c r="CC20" s="116">
        <v>20</v>
      </c>
      <c r="CD20" s="116">
        <v>19</v>
      </c>
      <c r="CE20" s="116">
        <v>0</v>
      </c>
      <c r="CF20" s="116">
        <v>0</v>
      </c>
      <c r="CG20" s="116">
        <v>0</v>
      </c>
      <c r="CH20" s="116">
        <v>0</v>
      </c>
      <c r="CI20" s="116">
        <v>0</v>
      </c>
      <c r="CJ20" s="116">
        <v>0</v>
      </c>
      <c r="CK20" s="116">
        <v>0</v>
      </c>
      <c r="CL20" s="116">
        <v>0</v>
      </c>
      <c r="CM20" s="116">
        <v>0</v>
      </c>
      <c r="CN20" s="116">
        <v>20</v>
      </c>
      <c r="CO20" s="116">
        <v>19</v>
      </c>
      <c r="CP20" s="116">
        <v>20</v>
      </c>
      <c r="CQ20" s="116">
        <v>19</v>
      </c>
      <c r="CR20" s="116">
        <v>20</v>
      </c>
      <c r="CS20" s="116">
        <v>19</v>
      </c>
      <c r="CT20" s="116">
        <v>0</v>
      </c>
      <c r="CU20" s="116">
        <v>20</v>
      </c>
      <c r="CV20" s="116">
        <v>19</v>
      </c>
      <c r="CW20" s="116">
        <v>20</v>
      </c>
      <c r="CX20" s="116">
        <v>19</v>
      </c>
      <c r="CY20" s="116">
        <v>0</v>
      </c>
      <c r="CZ20" s="116">
        <v>360</v>
      </c>
      <c r="DA20" s="116">
        <v>0</v>
      </c>
      <c r="DB20" s="116">
        <v>0</v>
      </c>
      <c r="DC20" s="116">
        <v>0</v>
      </c>
      <c r="DD20" s="116">
        <v>0</v>
      </c>
      <c r="DE20" s="116">
        <v>12</v>
      </c>
      <c r="DF20" s="116">
        <v>11</v>
      </c>
      <c r="DG20" s="116">
        <v>12</v>
      </c>
      <c r="DH20" s="116">
        <v>11</v>
      </c>
      <c r="DI20" s="116">
        <v>12</v>
      </c>
      <c r="DJ20" s="116">
        <v>0</v>
      </c>
      <c r="DK20" s="116">
        <v>11</v>
      </c>
      <c r="DL20" s="116">
        <v>12</v>
      </c>
      <c r="DM20" s="116">
        <v>11</v>
      </c>
      <c r="DN20" s="116">
        <v>12</v>
      </c>
      <c r="DO20" s="116">
        <v>11</v>
      </c>
      <c r="DP20" s="116">
        <v>0</v>
      </c>
      <c r="DQ20" s="116">
        <v>0</v>
      </c>
      <c r="DR20" s="116">
        <v>12</v>
      </c>
      <c r="DS20" s="116">
        <v>11</v>
      </c>
      <c r="DT20" s="116">
        <v>12</v>
      </c>
      <c r="DU20" s="116">
        <v>11</v>
      </c>
      <c r="DV20" s="116">
        <v>12</v>
      </c>
      <c r="DW20" s="116">
        <v>0</v>
      </c>
      <c r="DX20" s="116">
        <v>0</v>
      </c>
      <c r="DY20" s="116">
        <v>11</v>
      </c>
      <c r="DZ20" s="116">
        <v>12</v>
      </c>
      <c r="EA20" s="116">
        <v>11</v>
      </c>
      <c r="EB20" s="116">
        <v>12</v>
      </c>
      <c r="EC20" s="116">
        <v>11</v>
      </c>
      <c r="ED20" s="116">
        <v>0</v>
      </c>
      <c r="EE20" s="116">
        <v>0</v>
      </c>
      <c r="EF20" s="116">
        <v>230</v>
      </c>
      <c r="EH20" t="b">
        <f>A20='Monthly FC (Don''t use)'!E38</f>
        <v>0</v>
      </c>
      <c r="EJ20" t="str">
        <f t="shared" si="3"/>
        <v>86790-0K120-00D1</v>
      </c>
      <c r="EK20" t="s">
        <v>211</v>
      </c>
      <c r="EL20" t="s">
        <v>201</v>
      </c>
      <c r="EM20">
        <v>320</v>
      </c>
      <c r="EN20">
        <v>300</v>
      </c>
      <c r="EO20">
        <v>320</v>
      </c>
      <c r="EP20">
        <v>300</v>
      </c>
    </row>
    <row r="21" spans="1:146" x14ac:dyDescent="0.3">
      <c r="A21" s="115" t="s">
        <v>183</v>
      </c>
      <c r="B21" s="115" t="s">
        <v>217</v>
      </c>
      <c r="C21" s="115" t="s">
        <v>172</v>
      </c>
      <c r="D21" s="115" t="s">
        <v>331</v>
      </c>
      <c r="E21" s="115"/>
      <c r="F21" s="115" t="s">
        <v>201</v>
      </c>
      <c r="G21" s="115" t="s">
        <v>153</v>
      </c>
      <c r="H21" s="116">
        <v>16</v>
      </c>
      <c r="I21" s="116">
        <v>0</v>
      </c>
      <c r="J21" s="116">
        <v>48</v>
      </c>
      <c r="K21" s="116">
        <v>32</v>
      </c>
      <c r="L21" s="116">
        <v>16</v>
      </c>
      <c r="M21" s="116">
        <v>32</v>
      </c>
      <c r="N21" s="116">
        <v>48</v>
      </c>
      <c r="O21" s="116">
        <v>0</v>
      </c>
      <c r="P21" s="116">
        <v>0</v>
      </c>
      <c r="Q21" s="116">
        <v>32</v>
      </c>
      <c r="R21" s="116">
        <v>16</v>
      </c>
      <c r="S21" s="116">
        <v>32</v>
      </c>
      <c r="T21" s="116">
        <v>48</v>
      </c>
      <c r="U21" s="116">
        <v>16</v>
      </c>
      <c r="V21" s="116">
        <v>16</v>
      </c>
      <c r="W21" s="116">
        <v>0</v>
      </c>
      <c r="X21" s="116">
        <v>32</v>
      </c>
      <c r="Y21" s="116">
        <v>0</v>
      </c>
      <c r="Z21" s="116">
        <v>0</v>
      </c>
      <c r="AA21" s="116">
        <v>16</v>
      </c>
      <c r="AB21" s="116">
        <v>32</v>
      </c>
      <c r="AC21" s="116">
        <v>0</v>
      </c>
      <c r="AD21" s="116">
        <v>0</v>
      </c>
      <c r="AE21" s="116">
        <v>16</v>
      </c>
      <c r="AF21" s="116">
        <v>0</v>
      </c>
      <c r="AG21" s="116">
        <v>32</v>
      </c>
      <c r="AH21" s="116">
        <v>32</v>
      </c>
      <c r="AI21" s="116">
        <v>0</v>
      </c>
      <c r="AJ21" s="116">
        <v>16</v>
      </c>
      <c r="AK21" s="116">
        <v>0</v>
      </c>
      <c r="AL21" s="116">
        <v>0</v>
      </c>
      <c r="AM21" s="116">
        <v>0</v>
      </c>
      <c r="AN21" s="116">
        <v>512</v>
      </c>
      <c r="AO21" s="116">
        <v>0</v>
      </c>
      <c r="AP21" s="116">
        <v>0</v>
      </c>
      <c r="AQ21" s="116">
        <v>16</v>
      </c>
      <c r="AR21" s="116">
        <v>32</v>
      </c>
      <c r="AS21" s="116">
        <v>0</v>
      </c>
      <c r="AT21" s="116">
        <v>16</v>
      </c>
      <c r="AU21" s="116">
        <v>16</v>
      </c>
      <c r="AV21" s="116">
        <v>0</v>
      </c>
      <c r="AW21" s="116">
        <v>0</v>
      </c>
      <c r="AX21" s="116">
        <v>32</v>
      </c>
      <c r="AY21" s="116">
        <v>0</v>
      </c>
      <c r="AZ21" s="116">
        <v>32</v>
      </c>
      <c r="BA21" s="116">
        <v>16</v>
      </c>
      <c r="BB21" s="116">
        <v>16</v>
      </c>
      <c r="BC21" s="116">
        <v>0</v>
      </c>
      <c r="BD21" s="116">
        <v>16</v>
      </c>
      <c r="BE21" s="116">
        <v>0</v>
      </c>
      <c r="BF21" s="116">
        <v>32</v>
      </c>
      <c r="BG21" s="116">
        <v>0</v>
      </c>
      <c r="BH21" s="116">
        <v>16</v>
      </c>
      <c r="BI21" s="116">
        <v>0</v>
      </c>
      <c r="BJ21" s="116">
        <v>0</v>
      </c>
      <c r="BK21" s="116">
        <v>16</v>
      </c>
      <c r="BL21" s="116">
        <v>32</v>
      </c>
      <c r="BM21" s="116">
        <v>0</v>
      </c>
      <c r="BN21" s="116">
        <v>32</v>
      </c>
      <c r="BO21" s="116">
        <v>0</v>
      </c>
      <c r="BP21" s="116">
        <v>32</v>
      </c>
      <c r="BQ21" s="116">
        <v>0</v>
      </c>
      <c r="BR21" s="116">
        <v>16</v>
      </c>
      <c r="BS21" s="116">
        <v>16</v>
      </c>
      <c r="BT21" s="116">
        <v>384</v>
      </c>
      <c r="BU21" s="116">
        <v>21</v>
      </c>
      <c r="BV21" s="116">
        <v>21</v>
      </c>
      <c r="BW21" s="116">
        <v>21</v>
      </c>
      <c r="BX21" s="116">
        <v>10</v>
      </c>
      <c r="BY21" s="116">
        <v>0</v>
      </c>
      <c r="BZ21" s="116">
        <v>21</v>
      </c>
      <c r="CA21" s="116">
        <v>21</v>
      </c>
      <c r="CB21" s="116">
        <v>21</v>
      </c>
      <c r="CC21" s="116">
        <v>21</v>
      </c>
      <c r="CD21" s="116">
        <v>21</v>
      </c>
      <c r="CE21" s="116">
        <v>0</v>
      </c>
      <c r="CF21" s="116">
        <v>0</v>
      </c>
      <c r="CG21" s="116">
        <v>0</v>
      </c>
      <c r="CH21" s="116">
        <v>0</v>
      </c>
      <c r="CI21" s="116">
        <v>0</v>
      </c>
      <c r="CJ21" s="116">
        <v>0</v>
      </c>
      <c r="CK21" s="116">
        <v>0</v>
      </c>
      <c r="CL21" s="116">
        <v>0</v>
      </c>
      <c r="CM21" s="116">
        <v>0</v>
      </c>
      <c r="CN21" s="116">
        <v>21</v>
      </c>
      <c r="CO21" s="116">
        <v>21</v>
      </c>
      <c r="CP21" s="116">
        <v>21</v>
      </c>
      <c r="CQ21" s="116">
        <v>20</v>
      </c>
      <c r="CR21" s="116">
        <v>21</v>
      </c>
      <c r="CS21" s="116">
        <v>20</v>
      </c>
      <c r="CT21" s="116">
        <v>0</v>
      </c>
      <c r="CU21" s="116">
        <v>21</v>
      </c>
      <c r="CV21" s="116">
        <v>20</v>
      </c>
      <c r="CW21" s="116">
        <v>21</v>
      </c>
      <c r="CX21" s="116">
        <v>20</v>
      </c>
      <c r="CY21" s="116">
        <v>0</v>
      </c>
      <c r="CZ21" s="116">
        <v>384</v>
      </c>
      <c r="DA21" s="116">
        <v>0</v>
      </c>
      <c r="DB21" s="116">
        <v>0</v>
      </c>
      <c r="DC21" s="116">
        <v>0</v>
      </c>
      <c r="DD21" s="116">
        <v>0</v>
      </c>
      <c r="DE21" s="116">
        <v>18</v>
      </c>
      <c r="DF21" s="116">
        <v>18</v>
      </c>
      <c r="DG21" s="116">
        <v>18</v>
      </c>
      <c r="DH21" s="116">
        <v>18</v>
      </c>
      <c r="DI21" s="116">
        <v>18</v>
      </c>
      <c r="DJ21" s="116">
        <v>0</v>
      </c>
      <c r="DK21" s="116">
        <v>17</v>
      </c>
      <c r="DL21" s="116">
        <v>18</v>
      </c>
      <c r="DM21" s="116">
        <v>17</v>
      </c>
      <c r="DN21" s="116">
        <v>18</v>
      </c>
      <c r="DO21" s="116">
        <v>17</v>
      </c>
      <c r="DP21" s="116">
        <v>0</v>
      </c>
      <c r="DQ21" s="116">
        <v>0</v>
      </c>
      <c r="DR21" s="116">
        <v>18</v>
      </c>
      <c r="DS21" s="116">
        <v>17</v>
      </c>
      <c r="DT21" s="116">
        <v>18</v>
      </c>
      <c r="DU21" s="116">
        <v>17</v>
      </c>
      <c r="DV21" s="116">
        <v>18</v>
      </c>
      <c r="DW21" s="116">
        <v>0</v>
      </c>
      <c r="DX21" s="116">
        <v>0</v>
      </c>
      <c r="DY21" s="116">
        <v>17</v>
      </c>
      <c r="DZ21" s="116">
        <v>18</v>
      </c>
      <c r="EA21" s="116">
        <v>17</v>
      </c>
      <c r="EB21" s="116">
        <v>18</v>
      </c>
      <c r="EC21" s="116">
        <v>17</v>
      </c>
      <c r="ED21" s="116">
        <v>0</v>
      </c>
      <c r="EE21" s="116">
        <v>0</v>
      </c>
      <c r="EF21" s="116">
        <v>352</v>
      </c>
      <c r="EH21" t="b">
        <f>A21='Monthly FC (Don''t use)'!E39</f>
        <v>0</v>
      </c>
      <c r="EJ21" t="str">
        <f t="shared" si="3"/>
        <v>86790-0K141-00D1</v>
      </c>
      <c r="EK21" t="s">
        <v>160</v>
      </c>
      <c r="EL21" t="s">
        <v>201</v>
      </c>
      <c r="EM21">
        <v>2352</v>
      </c>
      <c r="EN21">
        <v>1552</v>
      </c>
      <c r="EO21">
        <v>2416</v>
      </c>
      <c r="EP21">
        <v>3104</v>
      </c>
    </row>
    <row r="22" spans="1:146" x14ac:dyDescent="0.3">
      <c r="A22" s="115" t="s">
        <v>185</v>
      </c>
      <c r="B22" s="115" t="s">
        <v>218</v>
      </c>
      <c r="C22" s="115" t="s">
        <v>172</v>
      </c>
      <c r="D22" s="115" t="s">
        <v>331</v>
      </c>
      <c r="E22" s="115"/>
      <c r="F22" s="115" t="s">
        <v>201</v>
      </c>
      <c r="G22" s="115" t="s">
        <v>153</v>
      </c>
      <c r="H22" s="116">
        <v>42</v>
      </c>
      <c r="I22" s="116">
        <v>0</v>
      </c>
      <c r="J22" s="116">
        <v>168</v>
      </c>
      <c r="K22" s="116">
        <v>168</v>
      </c>
      <c r="L22" s="116">
        <v>168</v>
      </c>
      <c r="M22" s="116">
        <v>168</v>
      </c>
      <c r="N22" s="116">
        <v>168</v>
      </c>
      <c r="O22" s="116">
        <v>0</v>
      </c>
      <c r="P22" s="116">
        <v>0</v>
      </c>
      <c r="Q22" s="116">
        <v>168</v>
      </c>
      <c r="R22" s="116">
        <v>168</v>
      </c>
      <c r="S22" s="116">
        <v>210</v>
      </c>
      <c r="T22" s="116">
        <v>210</v>
      </c>
      <c r="U22" s="116">
        <v>168</v>
      </c>
      <c r="V22" s="116">
        <v>126</v>
      </c>
      <c r="W22" s="116">
        <v>0</v>
      </c>
      <c r="X22" s="116">
        <v>168</v>
      </c>
      <c r="Y22" s="116">
        <v>210</v>
      </c>
      <c r="Z22" s="116">
        <v>168</v>
      </c>
      <c r="AA22" s="116">
        <v>252</v>
      </c>
      <c r="AB22" s="116">
        <v>210</v>
      </c>
      <c r="AC22" s="116">
        <v>0</v>
      </c>
      <c r="AD22" s="116">
        <v>0</v>
      </c>
      <c r="AE22" s="116">
        <v>168</v>
      </c>
      <c r="AF22" s="116">
        <v>168</v>
      </c>
      <c r="AG22" s="116">
        <v>210</v>
      </c>
      <c r="AH22" s="116">
        <v>210</v>
      </c>
      <c r="AI22" s="116">
        <v>168</v>
      </c>
      <c r="AJ22" s="116">
        <v>210</v>
      </c>
      <c r="AK22" s="116">
        <v>0</v>
      </c>
      <c r="AL22" s="116">
        <v>0</v>
      </c>
      <c r="AM22" s="116">
        <v>0</v>
      </c>
      <c r="AN22" s="116">
        <v>4032</v>
      </c>
      <c r="AO22" s="116">
        <v>0</v>
      </c>
      <c r="AP22" s="116">
        <v>0</v>
      </c>
      <c r="AQ22" s="116">
        <v>168</v>
      </c>
      <c r="AR22" s="116">
        <v>168</v>
      </c>
      <c r="AS22" s="116">
        <v>210</v>
      </c>
      <c r="AT22" s="116">
        <v>210</v>
      </c>
      <c r="AU22" s="116">
        <v>84</v>
      </c>
      <c r="AV22" s="116">
        <v>0</v>
      </c>
      <c r="AW22" s="116">
        <v>168</v>
      </c>
      <c r="AX22" s="116">
        <v>168</v>
      </c>
      <c r="AY22" s="116">
        <v>210</v>
      </c>
      <c r="AZ22" s="116">
        <v>168</v>
      </c>
      <c r="BA22" s="116">
        <v>168</v>
      </c>
      <c r="BB22" s="116">
        <v>252</v>
      </c>
      <c r="BC22" s="116">
        <v>0</v>
      </c>
      <c r="BD22" s="116">
        <v>210</v>
      </c>
      <c r="BE22" s="116">
        <v>126</v>
      </c>
      <c r="BF22" s="116">
        <v>210</v>
      </c>
      <c r="BG22" s="116">
        <v>168</v>
      </c>
      <c r="BH22" s="116">
        <v>210</v>
      </c>
      <c r="BI22" s="116">
        <v>0</v>
      </c>
      <c r="BJ22" s="116">
        <v>0</v>
      </c>
      <c r="BK22" s="116">
        <v>168</v>
      </c>
      <c r="BL22" s="116">
        <v>168</v>
      </c>
      <c r="BM22" s="116">
        <v>252</v>
      </c>
      <c r="BN22" s="116">
        <v>168</v>
      </c>
      <c r="BO22" s="116">
        <v>168</v>
      </c>
      <c r="BP22" s="116">
        <v>168</v>
      </c>
      <c r="BQ22" s="116">
        <v>0</v>
      </c>
      <c r="BR22" s="116">
        <v>168</v>
      </c>
      <c r="BS22" s="116">
        <v>126</v>
      </c>
      <c r="BT22" s="116">
        <v>4284</v>
      </c>
      <c r="BU22" s="116">
        <v>166</v>
      </c>
      <c r="BV22" s="116">
        <v>166</v>
      </c>
      <c r="BW22" s="116">
        <v>166</v>
      </c>
      <c r="BX22" s="116">
        <v>83</v>
      </c>
      <c r="BY22" s="116">
        <v>0</v>
      </c>
      <c r="BZ22" s="116">
        <v>166</v>
      </c>
      <c r="CA22" s="116">
        <v>166</v>
      </c>
      <c r="CB22" s="116">
        <v>166</v>
      </c>
      <c r="CC22" s="116">
        <v>166</v>
      </c>
      <c r="CD22" s="116">
        <v>166</v>
      </c>
      <c r="CE22" s="116">
        <v>0</v>
      </c>
      <c r="CF22" s="116">
        <v>0</v>
      </c>
      <c r="CG22" s="116">
        <v>0</v>
      </c>
      <c r="CH22" s="116">
        <v>0</v>
      </c>
      <c r="CI22" s="116">
        <v>0</v>
      </c>
      <c r="CJ22" s="116">
        <v>0</v>
      </c>
      <c r="CK22" s="116">
        <v>0</v>
      </c>
      <c r="CL22" s="116">
        <v>0</v>
      </c>
      <c r="CM22" s="116">
        <v>0</v>
      </c>
      <c r="CN22" s="116">
        <v>166</v>
      </c>
      <c r="CO22" s="116">
        <v>165</v>
      </c>
      <c r="CP22" s="116">
        <v>166</v>
      </c>
      <c r="CQ22" s="116">
        <v>165</v>
      </c>
      <c r="CR22" s="116">
        <v>166</v>
      </c>
      <c r="CS22" s="116">
        <v>165</v>
      </c>
      <c r="CT22" s="116">
        <v>0</v>
      </c>
      <c r="CU22" s="116">
        <v>166</v>
      </c>
      <c r="CV22" s="116">
        <v>165</v>
      </c>
      <c r="CW22" s="116">
        <v>166</v>
      </c>
      <c r="CX22" s="116">
        <v>165</v>
      </c>
      <c r="CY22" s="116">
        <v>0</v>
      </c>
      <c r="CZ22" s="116">
        <v>3066</v>
      </c>
      <c r="DA22" s="116">
        <v>0</v>
      </c>
      <c r="DB22" s="116">
        <v>0</v>
      </c>
      <c r="DC22" s="116">
        <v>0</v>
      </c>
      <c r="DD22" s="116">
        <v>0</v>
      </c>
      <c r="DE22" s="116">
        <v>122</v>
      </c>
      <c r="DF22" s="116">
        <v>122</v>
      </c>
      <c r="DG22" s="116">
        <v>122</v>
      </c>
      <c r="DH22" s="116">
        <v>122</v>
      </c>
      <c r="DI22" s="116">
        <v>122</v>
      </c>
      <c r="DJ22" s="116">
        <v>0</v>
      </c>
      <c r="DK22" s="116">
        <v>122</v>
      </c>
      <c r="DL22" s="116">
        <v>122</v>
      </c>
      <c r="DM22" s="116">
        <v>122</v>
      </c>
      <c r="DN22" s="116">
        <v>122</v>
      </c>
      <c r="DO22" s="116">
        <v>122</v>
      </c>
      <c r="DP22" s="116">
        <v>0</v>
      </c>
      <c r="DQ22" s="116">
        <v>0</v>
      </c>
      <c r="DR22" s="116">
        <v>122</v>
      </c>
      <c r="DS22" s="116">
        <v>122</v>
      </c>
      <c r="DT22" s="116">
        <v>122</v>
      </c>
      <c r="DU22" s="116">
        <v>121</v>
      </c>
      <c r="DV22" s="116">
        <v>122</v>
      </c>
      <c r="DW22" s="116">
        <v>0</v>
      </c>
      <c r="DX22" s="116">
        <v>0</v>
      </c>
      <c r="DY22" s="116">
        <v>121</v>
      </c>
      <c r="DZ22" s="116">
        <v>122</v>
      </c>
      <c r="EA22" s="116">
        <v>121</v>
      </c>
      <c r="EB22" s="116">
        <v>122</v>
      </c>
      <c r="EC22" s="116">
        <v>121</v>
      </c>
      <c r="ED22" s="116">
        <v>0</v>
      </c>
      <c r="EE22" s="116">
        <v>0</v>
      </c>
      <c r="EF22" s="116">
        <v>2436</v>
      </c>
      <c r="EH22" t="b">
        <f>A22='Monthly FC (Don''t use)'!E40</f>
        <v>0</v>
      </c>
      <c r="EJ22" t="str">
        <f t="shared" si="3"/>
        <v>86790-0K171-00BN</v>
      </c>
      <c r="EK22" t="s">
        <v>162</v>
      </c>
      <c r="EL22" t="s">
        <v>206</v>
      </c>
      <c r="EM22">
        <v>110</v>
      </c>
      <c r="EN22">
        <v>100</v>
      </c>
      <c r="EO22">
        <v>470</v>
      </c>
      <c r="EP22">
        <v>140</v>
      </c>
    </row>
    <row r="23" spans="1:146" x14ac:dyDescent="0.3">
      <c r="A23" s="115" t="s">
        <v>185</v>
      </c>
      <c r="B23" s="115" t="s">
        <v>218</v>
      </c>
      <c r="C23" s="115" t="s">
        <v>172</v>
      </c>
      <c r="D23" s="115" t="s">
        <v>331</v>
      </c>
      <c r="E23" s="115"/>
      <c r="F23" s="115" t="s">
        <v>206</v>
      </c>
      <c r="G23" s="115" t="s">
        <v>153</v>
      </c>
      <c r="H23" s="116">
        <v>6</v>
      </c>
      <c r="I23" s="116">
        <v>0</v>
      </c>
      <c r="J23" s="116">
        <v>10</v>
      </c>
      <c r="K23" s="116">
        <v>0</v>
      </c>
      <c r="L23" s="116">
        <v>0</v>
      </c>
      <c r="M23" s="116">
        <v>0</v>
      </c>
      <c r="N23" s="116">
        <v>0</v>
      </c>
      <c r="O23" s="116">
        <v>0</v>
      </c>
      <c r="P23" s="116">
        <v>0</v>
      </c>
      <c r="Q23" s="116">
        <v>10</v>
      </c>
      <c r="R23" s="116">
        <v>0</v>
      </c>
      <c r="S23" s="116">
        <v>0</v>
      </c>
      <c r="T23" s="116">
        <v>10</v>
      </c>
      <c r="U23" s="116">
        <v>10</v>
      </c>
      <c r="V23" s="116">
        <v>10</v>
      </c>
      <c r="W23" s="116">
        <v>0</v>
      </c>
      <c r="X23" s="116">
        <v>0</v>
      </c>
      <c r="Y23" s="116">
        <v>10</v>
      </c>
      <c r="Z23" s="116">
        <v>10</v>
      </c>
      <c r="AA23" s="116">
        <v>10</v>
      </c>
      <c r="AB23" s="116">
        <v>10</v>
      </c>
      <c r="AC23" s="116">
        <v>0</v>
      </c>
      <c r="AD23" s="116">
        <v>0</v>
      </c>
      <c r="AE23" s="116">
        <v>0</v>
      </c>
      <c r="AF23" s="116">
        <v>0</v>
      </c>
      <c r="AG23" s="116">
        <v>0</v>
      </c>
      <c r="AH23" s="116">
        <v>0</v>
      </c>
      <c r="AI23" s="116">
        <v>10</v>
      </c>
      <c r="AJ23" s="116">
        <v>10</v>
      </c>
      <c r="AK23" s="116">
        <v>0</v>
      </c>
      <c r="AL23" s="116">
        <v>0</v>
      </c>
      <c r="AM23" s="116">
        <v>0</v>
      </c>
      <c r="AN23" s="116">
        <v>110</v>
      </c>
      <c r="AO23" s="116">
        <v>0</v>
      </c>
      <c r="AP23" s="116">
        <v>0</v>
      </c>
      <c r="AQ23" s="116">
        <v>10</v>
      </c>
      <c r="AR23" s="116">
        <v>10</v>
      </c>
      <c r="AS23" s="116">
        <v>10</v>
      </c>
      <c r="AT23" s="116">
        <v>20</v>
      </c>
      <c r="AU23" s="116">
        <v>0</v>
      </c>
      <c r="AV23" s="116">
        <v>0</v>
      </c>
      <c r="AW23" s="116">
        <v>10</v>
      </c>
      <c r="AX23" s="116">
        <v>10</v>
      </c>
      <c r="AY23" s="116">
        <v>10</v>
      </c>
      <c r="AZ23" s="116">
        <v>10</v>
      </c>
      <c r="BA23" s="116">
        <v>10</v>
      </c>
      <c r="BB23" s="116">
        <v>10</v>
      </c>
      <c r="BC23" s="116">
        <v>0</v>
      </c>
      <c r="BD23" s="116">
        <v>20</v>
      </c>
      <c r="BE23" s="116">
        <v>10</v>
      </c>
      <c r="BF23" s="116">
        <v>10</v>
      </c>
      <c r="BG23" s="116">
        <v>10</v>
      </c>
      <c r="BH23" s="116">
        <v>10</v>
      </c>
      <c r="BI23" s="116">
        <v>0</v>
      </c>
      <c r="BJ23" s="116">
        <v>0</v>
      </c>
      <c r="BK23" s="116">
        <v>10</v>
      </c>
      <c r="BL23" s="116">
        <v>10</v>
      </c>
      <c r="BM23" s="116">
        <v>10</v>
      </c>
      <c r="BN23" s="116">
        <v>10</v>
      </c>
      <c r="BO23" s="116">
        <v>20</v>
      </c>
      <c r="BP23" s="116">
        <v>10</v>
      </c>
      <c r="BQ23" s="116">
        <v>0</v>
      </c>
      <c r="BR23" s="116">
        <v>10</v>
      </c>
      <c r="BS23" s="116">
        <v>10</v>
      </c>
      <c r="BT23" s="116">
        <v>260</v>
      </c>
      <c r="BU23" s="116">
        <v>4</v>
      </c>
      <c r="BV23" s="116">
        <v>4</v>
      </c>
      <c r="BW23" s="116">
        <v>4</v>
      </c>
      <c r="BX23" s="116">
        <v>2</v>
      </c>
      <c r="BY23" s="116">
        <v>0</v>
      </c>
      <c r="BZ23" s="116">
        <v>4</v>
      </c>
      <c r="CA23" s="116">
        <v>4</v>
      </c>
      <c r="CB23" s="116">
        <v>4</v>
      </c>
      <c r="CC23" s="116">
        <v>4</v>
      </c>
      <c r="CD23" s="116">
        <v>4</v>
      </c>
      <c r="CE23" s="116">
        <v>0</v>
      </c>
      <c r="CF23" s="116">
        <v>0</v>
      </c>
      <c r="CG23" s="116">
        <v>0</v>
      </c>
      <c r="CH23" s="116">
        <v>0</v>
      </c>
      <c r="CI23" s="116">
        <v>0</v>
      </c>
      <c r="CJ23" s="116">
        <v>0</v>
      </c>
      <c r="CK23" s="116">
        <v>0</v>
      </c>
      <c r="CL23" s="116">
        <v>0</v>
      </c>
      <c r="CM23" s="116">
        <v>0</v>
      </c>
      <c r="CN23" s="116">
        <v>4</v>
      </c>
      <c r="CO23" s="116">
        <v>4</v>
      </c>
      <c r="CP23" s="116">
        <v>4</v>
      </c>
      <c r="CQ23" s="116">
        <v>3</v>
      </c>
      <c r="CR23" s="116">
        <v>4</v>
      </c>
      <c r="CS23" s="116">
        <v>3</v>
      </c>
      <c r="CT23" s="116">
        <v>0</v>
      </c>
      <c r="CU23" s="116">
        <v>4</v>
      </c>
      <c r="CV23" s="116">
        <v>3</v>
      </c>
      <c r="CW23" s="116">
        <v>4</v>
      </c>
      <c r="CX23" s="116">
        <v>3</v>
      </c>
      <c r="CY23" s="116">
        <v>0</v>
      </c>
      <c r="CZ23" s="116">
        <v>70</v>
      </c>
      <c r="DA23" s="116">
        <v>0</v>
      </c>
      <c r="DB23" s="116">
        <v>0</v>
      </c>
      <c r="DC23" s="116">
        <v>0</v>
      </c>
      <c r="DD23" s="116">
        <v>0</v>
      </c>
      <c r="DE23" s="116">
        <v>6</v>
      </c>
      <c r="DF23" s="116">
        <v>6</v>
      </c>
      <c r="DG23" s="116">
        <v>6</v>
      </c>
      <c r="DH23" s="116">
        <v>6</v>
      </c>
      <c r="DI23" s="116">
        <v>6</v>
      </c>
      <c r="DJ23" s="116">
        <v>0</v>
      </c>
      <c r="DK23" s="116">
        <v>6</v>
      </c>
      <c r="DL23" s="116">
        <v>6</v>
      </c>
      <c r="DM23" s="116">
        <v>6</v>
      </c>
      <c r="DN23" s="116">
        <v>6</v>
      </c>
      <c r="DO23" s="116">
        <v>6</v>
      </c>
      <c r="DP23" s="116">
        <v>0</v>
      </c>
      <c r="DQ23" s="116">
        <v>0</v>
      </c>
      <c r="DR23" s="116">
        <v>6</v>
      </c>
      <c r="DS23" s="116">
        <v>6</v>
      </c>
      <c r="DT23" s="116">
        <v>6</v>
      </c>
      <c r="DU23" s="116">
        <v>6</v>
      </c>
      <c r="DV23" s="116">
        <v>6</v>
      </c>
      <c r="DW23" s="116">
        <v>0</v>
      </c>
      <c r="DX23" s="116">
        <v>0</v>
      </c>
      <c r="DY23" s="116">
        <v>6</v>
      </c>
      <c r="DZ23" s="116">
        <v>6</v>
      </c>
      <c r="EA23" s="116">
        <v>6</v>
      </c>
      <c r="EB23" s="116">
        <v>6</v>
      </c>
      <c r="EC23" s="116">
        <v>6</v>
      </c>
      <c r="ED23" s="116">
        <v>0</v>
      </c>
      <c r="EE23" s="116">
        <v>0</v>
      </c>
      <c r="EF23" s="116">
        <v>120</v>
      </c>
      <c r="EH23" t="b">
        <f>A23='Monthly FC (Don''t use)'!E41</f>
        <v>0</v>
      </c>
      <c r="EJ23" t="str">
        <f t="shared" si="3"/>
        <v>86790-0K171-00D1</v>
      </c>
      <c r="EK23" t="s">
        <v>162</v>
      </c>
      <c r="EL23" t="s">
        <v>201</v>
      </c>
      <c r="EM23">
        <v>32</v>
      </c>
      <c r="EN23">
        <v>32</v>
      </c>
      <c r="EO23">
        <v>64</v>
      </c>
      <c r="EP23">
        <v>80</v>
      </c>
    </row>
    <row r="24" spans="1:146" x14ac:dyDescent="0.3">
      <c r="A24" s="115" t="s">
        <v>220</v>
      </c>
      <c r="B24" s="115" t="s">
        <v>221</v>
      </c>
      <c r="C24" s="115" t="s">
        <v>172</v>
      </c>
      <c r="D24" s="115" t="s">
        <v>331</v>
      </c>
      <c r="E24" s="115"/>
      <c r="F24" s="115" t="s">
        <v>201</v>
      </c>
      <c r="G24" s="115" t="s">
        <v>153</v>
      </c>
      <c r="H24" s="116">
        <v>20</v>
      </c>
      <c r="I24" s="116">
        <v>0</v>
      </c>
      <c r="J24" s="116">
        <v>120</v>
      </c>
      <c r="K24" s="116">
        <v>160</v>
      </c>
      <c r="L24" s="116">
        <v>120</v>
      </c>
      <c r="M24" s="116">
        <v>140</v>
      </c>
      <c r="N24" s="116">
        <v>140</v>
      </c>
      <c r="O24" s="116">
        <v>0</v>
      </c>
      <c r="P24" s="116">
        <v>0</v>
      </c>
      <c r="Q24" s="116">
        <v>140</v>
      </c>
      <c r="R24" s="116">
        <v>140</v>
      </c>
      <c r="S24" s="116">
        <v>140</v>
      </c>
      <c r="T24" s="116">
        <v>120</v>
      </c>
      <c r="U24" s="116">
        <v>160</v>
      </c>
      <c r="V24" s="116">
        <v>120</v>
      </c>
      <c r="W24" s="116">
        <v>0</v>
      </c>
      <c r="X24" s="116">
        <v>140</v>
      </c>
      <c r="Y24" s="116">
        <v>140</v>
      </c>
      <c r="Z24" s="116">
        <v>140</v>
      </c>
      <c r="AA24" s="116">
        <v>140</v>
      </c>
      <c r="AB24" s="116">
        <v>140</v>
      </c>
      <c r="AC24" s="116">
        <v>0</v>
      </c>
      <c r="AD24" s="116">
        <v>0</v>
      </c>
      <c r="AE24" s="116">
        <v>140</v>
      </c>
      <c r="AF24" s="116">
        <v>140</v>
      </c>
      <c r="AG24" s="116">
        <v>140</v>
      </c>
      <c r="AH24" s="116">
        <v>120</v>
      </c>
      <c r="AI24" s="116">
        <v>140</v>
      </c>
      <c r="AJ24" s="116">
        <v>140</v>
      </c>
      <c r="AK24" s="116">
        <v>0</v>
      </c>
      <c r="AL24" s="116">
        <v>0</v>
      </c>
      <c r="AM24" s="116">
        <v>0</v>
      </c>
      <c r="AN24" s="116">
        <v>3020</v>
      </c>
      <c r="AO24" s="116">
        <v>0</v>
      </c>
      <c r="AP24" s="116">
        <v>0</v>
      </c>
      <c r="AQ24" s="116">
        <v>100</v>
      </c>
      <c r="AR24" s="116">
        <v>140</v>
      </c>
      <c r="AS24" s="116">
        <v>100</v>
      </c>
      <c r="AT24" s="116">
        <v>120</v>
      </c>
      <c r="AU24" s="116">
        <v>60</v>
      </c>
      <c r="AV24" s="116">
        <v>0</v>
      </c>
      <c r="AW24" s="116">
        <v>120</v>
      </c>
      <c r="AX24" s="116">
        <v>120</v>
      </c>
      <c r="AY24" s="116">
        <v>120</v>
      </c>
      <c r="AZ24" s="116">
        <v>120</v>
      </c>
      <c r="BA24" s="116">
        <v>120</v>
      </c>
      <c r="BB24" s="116">
        <v>120</v>
      </c>
      <c r="BC24" s="116">
        <v>0</v>
      </c>
      <c r="BD24" s="116">
        <v>120</v>
      </c>
      <c r="BE24" s="116">
        <v>120</v>
      </c>
      <c r="BF24" s="116">
        <v>140</v>
      </c>
      <c r="BG24" s="116">
        <v>120</v>
      </c>
      <c r="BH24" s="116">
        <v>100</v>
      </c>
      <c r="BI24" s="116">
        <v>0</v>
      </c>
      <c r="BJ24" s="116">
        <v>0</v>
      </c>
      <c r="BK24" s="116">
        <v>120</v>
      </c>
      <c r="BL24" s="116">
        <v>140</v>
      </c>
      <c r="BM24" s="116">
        <v>120</v>
      </c>
      <c r="BN24" s="116">
        <v>120</v>
      </c>
      <c r="BO24" s="116">
        <v>120</v>
      </c>
      <c r="BP24" s="116">
        <v>120</v>
      </c>
      <c r="BQ24" s="116">
        <v>0</v>
      </c>
      <c r="BR24" s="116">
        <v>120</v>
      </c>
      <c r="BS24" s="116">
        <v>120</v>
      </c>
      <c r="BT24" s="116">
        <v>2820</v>
      </c>
      <c r="BU24" s="116">
        <v>156</v>
      </c>
      <c r="BV24" s="116">
        <v>156</v>
      </c>
      <c r="BW24" s="116">
        <v>156</v>
      </c>
      <c r="BX24" s="116">
        <v>78</v>
      </c>
      <c r="BY24" s="116">
        <v>0</v>
      </c>
      <c r="BZ24" s="116">
        <v>156</v>
      </c>
      <c r="CA24" s="116">
        <v>156</v>
      </c>
      <c r="CB24" s="116">
        <v>156</v>
      </c>
      <c r="CC24" s="116">
        <v>156</v>
      </c>
      <c r="CD24" s="116">
        <v>155</v>
      </c>
      <c r="CE24" s="116">
        <v>0</v>
      </c>
      <c r="CF24" s="116">
        <v>0</v>
      </c>
      <c r="CG24" s="116">
        <v>0</v>
      </c>
      <c r="CH24" s="116">
        <v>0</v>
      </c>
      <c r="CI24" s="116">
        <v>0</v>
      </c>
      <c r="CJ24" s="116">
        <v>0</v>
      </c>
      <c r="CK24" s="116">
        <v>0</v>
      </c>
      <c r="CL24" s="116">
        <v>0</v>
      </c>
      <c r="CM24" s="116">
        <v>0</v>
      </c>
      <c r="CN24" s="116">
        <v>156</v>
      </c>
      <c r="CO24" s="116">
        <v>155</v>
      </c>
      <c r="CP24" s="116">
        <v>156</v>
      </c>
      <c r="CQ24" s="116">
        <v>155</v>
      </c>
      <c r="CR24" s="116">
        <v>156</v>
      </c>
      <c r="CS24" s="116">
        <v>155</v>
      </c>
      <c r="CT24" s="116">
        <v>0</v>
      </c>
      <c r="CU24" s="116">
        <v>156</v>
      </c>
      <c r="CV24" s="116">
        <v>155</v>
      </c>
      <c r="CW24" s="116">
        <v>156</v>
      </c>
      <c r="CX24" s="116">
        <v>155</v>
      </c>
      <c r="CY24" s="116">
        <v>0</v>
      </c>
      <c r="CZ24" s="116">
        <v>2880</v>
      </c>
      <c r="DA24" s="116">
        <v>0</v>
      </c>
      <c r="DB24" s="116">
        <v>0</v>
      </c>
      <c r="DC24" s="116">
        <v>0</v>
      </c>
      <c r="DD24" s="116">
        <v>0</v>
      </c>
      <c r="DE24" s="116">
        <v>131</v>
      </c>
      <c r="DF24" s="116">
        <v>131</v>
      </c>
      <c r="DG24" s="116">
        <v>131</v>
      </c>
      <c r="DH24" s="116">
        <v>131</v>
      </c>
      <c r="DI24" s="116">
        <v>131</v>
      </c>
      <c r="DJ24" s="116">
        <v>0</v>
      </c>
      <c r="DK24" s="116">
        <v>131</v>
      </c>
      <c r="DL24" s="116">
        <v>131</v>
      </c>
      <c r="DM24" s="116">
        <v>131</v>
      </c>
      <c r="DN24" s="116">
        <v>131</v>
      </c>
      <c r="DO24" s="116">
        <v>131</v>
      </c>
      <c r="DP24" s="116">
        <v>0</v>
      </c>
      <c r="DQ24" s="116">
        <v>0</v>
      </c>
      <c r="DR24" s="116">
        <v>131</v>
      </c>
      <c r="DS24" s="116">
        <v>131</v>
      </c>
      <c r="DT24" s="116">
        <v>131</v>
      </c>
      <c r="DU24" s="116">
        <v>131</v>
      </c>
      <c r="DV24" s="116">
        <v>131</v>
      </c>
      <c r="DW24" s="116">
        <v>0</v>
      </c>
      <c r="DX24" s="116">
        <v>0</v>
      </c>
      <c r="DY24" s="116">
        <v>131</v>
      </c>
      <c r="DZ24" s="116">
        <v>131</v>
      </c>
      <c r="EA24" s="116">
        <v>131</v>
      </c>
      <c r="EB24" s="116">
        <v>131</v>
      </c>
      <c r="EC24" s="116">
        <v>131</v>
      </c>
      <c r="ED24" s="116">
        <v>0</v>
      </c>
      <c r="EE24" s="116">
        <v>0</v>
      </c>
      <c r="EF24" s="116">
        <v>2620</v>
      </c>
      <c r="EH24" t="b">
        <f>A24='Monthly FC (Don''t use)'!E42</f>
        <v>0</v>
      </c>
      <c r="EJ24" t="str">
        <f t="shared" si="3"/>
        <v>86790-0K181-00D1</v>
      </c>
      <c r="EK24" t="s">
        <v>183</v>
      </c>
      <c r="EL24" t="s">
        <v>201</v>
      </c>
      <c r="EM24">
        <v>464</v>
      </c>
      <c r="EN24">
        <v>576</v>
      </c>
      <c r="EO24">
        <v>368</v>
      </c>
      <c r="EP24">
        <v>576</v>
      </c>
    </row>
    <row r="25" spans="1:146" x14ac:dyDescent="0.3">
      <c r="A25" s="236" t="s">
        <v>187</v>
      </c>
      <c r="B25" s="115" t="s">
        <v>222</v>
      </c>
      <c r="C25" s="115" t="s">
        <v>172</v>
      </c>
      <c r="D25" s="115" t="s">
        <v>331</v>
      </c>
      <c r="E25" s="115"/>
      <c r="F25" s="115" t="s">
        <v>201</v>
      </c>
      <c r="G25" s="115" t="s">
        <v>153</v>
      </c>
      <c r="H25" s="116">
        <v>16</v>
      </c>
      <c r="I25" s="116">
        <v>0</v>
      </c>
      <c r="J25" s="116">
        <v>48</v>
      </c>
      <c r="K25" s="116">
        <v>16</v>
      </c>
      <c r="L25" s="116">
        <v>16</v>
      </c>
      <c r="M25" s="116">
        <v>16</v>
      </c>
      <c r="N25" s="116">
        <v>16</v>
      </c>
      <c r="O25" s="116">
        <v>0</v>
      </c>
      <c r="P25" s="116">
        <v>0</v>
      </c>
      <c r="Q25" s="116">
        <v>32</v>
      </c>
      <c r="R25" s="116">
        <v>16</v>
      </c>
      <c r="S25" s="116">
        <v>16</v>
      </c>
      <c r="T25" s="116">
        <v>16</v>
      </c>
      <c r="U25" s="116">
        <v>32</v>
      </c>
      <c r="V25" s="116">
        <v>16</v>
      </c>
      <c r="W25" s="116">
        <v>0</v>
      </c>
      <c r="X25" s="116">
        <v>16</v>
      </c>
      <c r="Y25" s="116">
        <v>32</v>
      </c>
      <c r="Z25" s="116">
        <v>16</v>
      </c>
      <c r="AA25" s="116">
        <v>16</v>
      </c>
      <c r="AB25" s="116">
        <v>16</v>
      </c>
      <c r="AC25" s="116">
        <v>0</v>
      </c>
      <c r="AD25" s="116">
        <v>0</v>
      </c>
      <c r="AE25" s="116">
        <v>32</v>
      </c>
      <c r="AF25" s="116">
        <v>16</v>
      </c>
      <c r="AG25" s="116">
        <v>16</v>
      </c>
      <c r="AH25" s="116">
        <v>32</v>
      </c>
      <c r="AI25" s="116">
        <v>16</v>
      </c>
      <c r="AJ25" s="116">
        <v>16</v>
      </c>
      <c r="AK25" s="116">
        <v>0</v>
      </c>
      <c r="AL25" s="116">
        <v>0</v>
      </c>
      <c r="AM25" s="116">
        <v>0</v>
      </c>
      <c r="AN25" s="116">
        <v>464</v>
      </c>
      <c r="AO25" s="116">
        <v>0</v>
      </c>
      <c r="AP25" s="116">
        <v>0</v>
      </c>
      <c r="AQ25" s="116">
        <v>16</v>
      </c>
      <c r="AR25" s="116">
        <v>32</v>
      </c>
      <c r="AS25" s="116">
        <v>32</v>
      </c>
      <c r="AT25" s="116">
        <v>16</v>
      </c>
      <c r="AU25" s="116">
        <v>16</v>
      </c>
      <c r="AV25" s="116">
        <v>0</v>
      </c>
      <c r="AW25" s="116">
        <v>16</v>
      </c>
      <c r="AX25" s="116">
        <v>32</v>
      </c>
      <c r="AY25" s="116">
        <v>16</v>
      </c>
      <c r="AZ25" s="116">
        <v>32</v>
      </c>
      <c r="BA25" s="116">
        <v>32</v>
      </c>
      <c r="BB25" s="116">
        <v>16</v>
      </c>
      <c r="BC25" s="116">
        <v>0</v>
      </c>
      <c r="BD25" s="116">
        <v>32</v>
      </c>
      <c r="BE25" s="116">
        <v>16</v>
      </c>
      <c r="BF25" s="116">
        <v>32</v>
      </c>
      <c r="BG25" s="116">
        <v>16</v>
      </c>
      <c r="BH25" s="116">
        <v>32</v>
      </c>
      <c r="BI25" s="116">
        <v>0</v>
      </c>
      <c r="BJ25" s="116">
        <v>0</v>
      </c>
      <c r="BK25" s="116">
        <v>16</v>
      </c>
      <c r="BL25" s="116">
        <v>32</v>
      </c>
      <c r="BM25" s="116">
        <v>32</v>
      </c>
      <c r="BN25" s="116">
        <v>16</v>
      </c>
      <c r="BO25" s="116">
        <v>32</v>
      </c>
      <c r="BP25" s="116">
        <v>16</v>
      </c>
      <c r="BQ25" s="116">
        <v>0</v>
      </c>
      <c r="BR25" s="116">
        <v>32</v>
      </c>
      <c r="BS25" s="116">
        <v>16</v>
      </c>
      <c r="BT25" s="116">
        <v>576</v>
      </c>
      <c r="BU25" s="116">
        <v>22</v>
      </c>
      <c r="BV25" s="116">
        <v>23</v>
      </c>
      <c r="BW25" s="116">
        <v>22</v>
      </c>
      <c r="BX25" s="116">
        <v>11</v>
      </c>
      <c r="BY25" s="116">
        <v>0</v>
      </c>
      <c r="BZ25" s="116">
        <v>23</v>
      </c>
      <c r="CA25" s="116">
        <v>23</v>
      </c>
      <c r="CB25" s="116">
        <v>22</v>
      </c>
      <c r="CC25" s="116">
        <v>23</v>
      </c>
      <c r="CD25" s="116">
        <v>22</v>
      </c>
      <c r="CE25" s="116">
        <v>0</v>
      </c>
      <c r="CF25" s="116">
        <v>0</v>
      </c>
      <c r="CG25" s="116">
        <v>0</v>
      </c>
      <c r="CH25" s="116">
        <v>0</v>
      </c>
      <c r="CI25" s="116">
        <v>0</v>
      </c>
      <c r="CJ25" s="116">
        <v>0</v>
      </c>
      <c r="CK25" s="116">
        <v>0</v>
      </c>
      <c r="CL25" s="116">
        <v>0</v>
      </c>
      <c r="CM25" s="116">
        <v>0</v>
      </c>
      <c r="CN25" s="116">
        <v>23</v>
      </c>
      <c r="CO25" s="116">
        <v>22</v>
      </c>
      <c r="CP25" s="116">
        <v>23</v>
      </c>
      <c r="CQ25" s="116">
        <v>22</v>
      </c>
      <c r="CR25" s="116">
        <v>23</v>
      </c>
      <c r="CS25" s="116">
        <v>22</v>
      </c>
      <c r="CT25" s="116">
        <v>0</v>
      </c>
      <c r="CU25" s="116">
        <v>23</v>
      </c>
      <c r="CV25" s="116">
        <v>22</v>
      </c>
      <c r="CW25" s="116">
        <v>23</v>
      </c>
      <c r="CX25" s="116">
        <v>22</v>
      </c>
      <c r="CY25" s="116">
        <v>0</v>
      </c>
      <c r="CZ25" s="116">
        <v>416</v>
      </c>
      <c r="DA25" s="116">
        <v>0</v>
      </c>
      <c r="DB25" s="116">
        <v>0</v>
      </c>
      <c r="DC25" s="116">
        <v>0</v>
      </c>
      <c r="DD25" s="116">
        <v>0</v>
      </c>
      <c r="DE25" s="116">
        <v>14</v>
      </c>
      <c r="DF25" s="116">
        <v>14</v>
      </c>
      <c r="DG25" s="116">
        <v>14</v>
      </c>
      <c r="DH25" s="116">
        <v>14</v>
      </c>
      <c r="DI25" s="116">
        <v>15</v>
      </c>
      <c r="DJ25" s="116">
        <v>0</v>
      </c>
      <c r="DK25" s="116">
        <v>14</v>
      </c>
      <c r="DL25" s="116">
        <v>15</v>
      </c>
      <c r="DM25" s="116">
        <v>14</v>
      </c>
      <c r="DN25" s="116">
        <v>15</v>
      </c>
      <c r="DO25" s="116">
        <v>14</v>
      </c>
      <c r="DP25" s="116">
        <v>0</v>
      </c>
      <c r="DQ25" s="116">
        <v>0</v>
      </c>
      <c r="DR25" s="116">
        <v>15</v>
      </c>
      <c r="DS25" s="116">
        <v>14</v>
      </c>
      <c r="DT25" s="116">
        <v>15</v>
      </c>
      <c r="DU25" s="116">
        <v>14</v>
      </c>
      <c r="DV25" s="116">
        <v>15</v>
      </c>
      <c r="DW25" s="116">
        <v>0</v>
      </c>
      <c r="DX25" s="116">
        <v>0</v>
      </c>
      <c r="DY25" s="116">
        <v>14</v>
      </c>
      <c r="DZ25" s="116">
        <v>15</v>
      </c>
      <c r="EA25" s="116">
        <v>14</v>
      </c>
      <c r="EB25" s="116">
        <v>15</v>
      </c>
      <c r="EC25" s="116">
        <v>14</v>
      </c>
      <c r="ED25" s="116">
        <v>0</v>
      </c>
      <c r="EE25" s="116">
        <v>0</v>
      </c>
      <c r="EF25" s="116">
        <v>288</v>
      </c>
      <c r="EH25" t="b">
        <f>A25='Monthly FC (Don''t use)'!E43</f>
        <v>0</v>
      </c>
      <c r="EJ25" t="str">
        <f t="shared" si="3"/>
        <v>86790-0K190-00BN</v>
      </c>
      <c r="EK25" t="s">
        <v>185</v>
      </c>
      <c r="EL25" t="s">
        <v>206</v>
      </c>
      <c r="EM25">
        <v>0</v>
      </c>
      <c r="EN25">
        <v>0</v>
      </c>
      <c r="EO25">
        <v>230</v>
      </c>
      <c r="EP25">
        <v>120</v>
      </c>
    </row>
    <row r="26" spans="1:146" x14ac:dyDescent="0.3">
      <c r="A26" s="115" t="s">
        <v>166</v>
      </c>
      <c r="B26" s="115" t="s">
        <v>344</v>
      </c>
      <c r="C26" s="115" t="s">
        <v>172</v>
      </c>
      <c r="D26" s="115" t="s">
        <v>331</v>
      </c>
      <c r="E26" s="115"/>
      <c r="F26" s="115" t="s">
        <v>201</v>
      </c>
      <c r="G26" s="115" t="s">
        <v>191</v>
      </c>
      <c r="H26" s="116">
        <v>60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  <c r="O26" s="116">
        <v>0</v>
      </c>
      <c r="P26" s="116">
        <v>0</v>
      </c>
      <c r="Q26" s="116">
        <v>0</v>
      </c>
      <c r="R26" s="116">
        <v>0</v>
      </c>
      <c r="S26" s="116">
        <v>0</v>
      </c>
      <c r="T26" s="116">
        <v>0</v>
      </c>
      <c r="U26" s="116">
        <v>0</v>
      </c>
      <c r="V26" s="116">
        <v>0</v>
      </c>
      <c r="W26" s="116">
        <v>0</v>
      </c>
      <c r="X26" s="116">
        <v>0</v>
      </c>
      <c r="Y26" s="116">
        <v>0</v>
      </c>
      <c r="Z26" s="116">
        <v>0</v>
      </c>
      <c r="AA26" s="116">
        <v>0</v>
      </c>
      <c r="AB26" s="116">
        <v>0</v>
      </c>
      <c r="AC26" s="116">
        <v>0</v>
      </c>
      <c r="AD26" s="116">
        <v>0</v>
      </c>
      <c r="AE26" s="116">
        <v>0</v>
      </c>
      <c r="AF26" s="116">
        <v>0</v>
      </c>
      <c r="AG26" s="116">
        <v>0</v>
      </c>
      <c r="AH26" s="116">
        <v>0</v>
      </c>
      <c r="AI26" s="116">
        <v>0</v>
      </c>
      <c r="AJ26" s="116">
        <v>0</v>
      </c>
      <c r="AK26" s="116">
        <v>0</v>
      </c>
      <c r="AL26" s="116">
        <v>0</v>
      </c>
      <c r="AM26" s="116">
        <v>0</v>
      </c>
      <c r="AN26" s="116">
        <v>0</v>
      </c>
      <c r="AO26" s="116">
        <v>0</v>
      </c>
      <c r="AP26" s="116">
        <v>0</v>
      </c>
      <c r="AQ26" s="116">
        <v>60</v>
      </c>
      <c r="AR26" s="116">
        <v>60</v>
      </c>
      <c r="AS26" s="116">
        <v>120</v>
      </c>
      <c r="AT26" s="116">
        <v>120</v>
      </c>
      <c r="AU26" s="116">
        <v>0</v>
      </c>
      <c r="AV26" s="116">
        <v>0</v>
      </c>
      <c r="AW26" s="116">
        <v>120</v>
      </c>
      <c r="AX26" s="116">
        <v>60</v>
      </c>
      <c r="AY26" s="116">
        <v>120</v>
      </c>
      <c r="AZ26" s="116">
        <v>60</v>
      </c>
      <c r="BA26" s="116">
        <v>120</v>
      </c>
      <c r="BB26" s="116">
        <v>120</v>
      </c>
      <c r="BC26" s="116">
        <v>0</v>
      </c>
      <c r="BD26" s="116">
        <v>60</v>
      </c>
      <c r="BE26" s="116">
        <v>120</v>
      </c>
      <c r="BF26" s="116">
        <v>120</v>
      </c>
      <c r="BG26" s="116">
        <v>60</v>
      </c>
      <c r="BH26" s="116">
        <v>120</v>
      </c>
      <c r="BI26" s="116">
        <v>0</v>
      </c>
      <c r="BJ26" s="116">
        <v>0</v>
      </c>
      <c r="BK26" s="116">
        <v>120</v>
      </c>
      <c r="BL26" s="116">
        <v>120</v>
      </c>
      <c r="BM26" s="116">
        <v>120</v>
      </c>
      <c r="BN26" s="116">
        <v>60</v>
      </c>
      <c r="BO26" s="116">
        <v>120</v>
      </c>
      <c r="BP26" s="116">
        <v>120</v>
      </c>
      <c r="BQ26" s="116">
        <v>0</v>
      </c>
      <c r="BR26" s="116">
        <v>120</v>
      </c>
      <c r="BS26" s="116">
        <v>120</v>
      </c>
      <c r="BT26" s="116">
        <v>2340</v>
      </c>
      <c r="BU26" s="116">
        <v>149</v>
      </c>
      <c r="BV26" s="116">
        <v>149</v>
      </c>
      <c r="BW26" s="116">
        <v>149</v>
      </c>
      <c r="BX26" s="116">
        <v>75</v>
      </c>
      <c r="BY26" s="116">
        <v>0</v>
      </c>
      <c r="BZ26" s="116">
        <v>149</v>
      </c>
      <c r="CA26" s="116">
        <v>149</v>
      </c>
      <c r="CB26" s="116">
        <v>149</v>
      </c>
      <c r="CC26" s="116">
        <v>149</v>
      </c>
      <c r="CD26" s="116">
        <v>149</v>
      </c>
      <c r="CE26" s="116">
        <v>0</v>
      </c>
      <c r="CF26" s="116">
        <v>0</v>
      </c>
      <c r="CG26" s="116">
        <v>0</v>
      </c>
      <c r="CH26" s="116">
        <v>0</v>
      </c>
      <c r="CI26" s="116">
        <v>0</v>
      </c>
      <c r="CJ26" s="116">
        <v>0</v>
      </c>
      <c r="CK26" s="116">
        <v>0</v>
      </c>
      <c r="CL26" s="116">
        <v>0</v>
      </c>
      <c r="CM26" s="116">
        <v>0</v>
      </c>
      <c r="CN26" s="116">
        <v>149</v>
      </c>
      <c r="CO26" s="116">
        <v>149</v>
      </c>
      <c r="CP26" s="116">
        <v>149</v>
      </c>
      <c r="CQ26" s="116">
        <v>149</v>
      </c>
      <c r="CR26" s="116">
        <v>150</v>
      </c>
      <c r="CS26" s="116">
        <v>149</v>
      </c>
      <c r="CT26" s="116">
        <v>0</v>
      </c>
      <c r="CU26" s="116">
        <v>150</v>
      </c>
      <c r="CV26" s="116">
        <v>149</v>
      </c>
      <c r="CW26" s="116">
        <v>150</v>
      </c>
      <c r="CX26" s="116">
        <v>149</v>
      </c>
      <c r="CY26" s="116">
        <v>0</v>
      </c>
      <c r="CZ26" s="116">
        <v>2760</v>
      </c>
      <c r="DA26" s="116">
        <v>0</v>
      </c>
      <c r="DB26" s="116">
        <v>0</v>
      </c>
      <c r="DC26" s="116">
        <v>0</v>
      </c>
      <c r="DD26" s="116">
        <v>0</v>
      </c>
      <c r="DE26" s="116">
        <v>120</v>
      </c>
      <c r="DF26" s="116">
        <v>120</v>
      </c>
      <c r="DG26" s="116">
        <v>120</v>
      </c>
      <c r="DH26" s="116">
        <v>120</v>
      </c>
      <c r="DI26" s="116">
        <v>120</v>
      </c>
      <c r="DJ26" s="116">
        <v>0</v>
      </c>
      <c r="DK26" s="116">
        <v>120</v>
      </c>
      <c r="DL26" s="116">
        <v>120</v>
      </c>
      <c r="DM26" s="116">
        <v>120</v>
      </c>
      <c r="DN26" s="116">
        <v>120</v>
      </c>
      <c r="DO26" s="116">
        <v>120</v>
      </c>
      <c r="DP26" s="116">
        <v>0</v>
      </c>
      <c r="DQ26" s="116">
        <v>0</v>
      </c>
      <c r="DR26" s="116">
        <v>120</v>
      </c>
      <c r="DS26" s="116">
        <v>120</v>
      </c>
      <c r="DT26" s="116">
        <v>120</v>
      </c>
      <c r="DU26" s="116">
        <v>120</v>
      </c>
      <c r="DV26" s="116">
        <v>120</v>
      </c>
      <c r="DW26" s="116">
        <v>0</v>
      </c>
      <c r="DX26" s="116">
        <v>0</v>
      </c>
      <c r="DY26" s="116">
        <v>120</v>
      </c>
      <c r="DZ26" s="116">
        <v>120</v>
      </c>
      <c r="EA26" s="116">
        <v>120</v>
      </c>
      <c r="EB26" s="116">
        <v>120</v>
      </c>
      <c r="EC26" s="116">
        <v>120</v>
      </c>
      <c r="ED26" s="116">
        <v>0</v>
      </c>
      <c r="EE26" s="116">
        <v>0</v>
      </c>
      <c r="EF26" s="116">
        <v>2400</v>
      </c>
      <c r="EH26" t="b">
        <f>A26='Monthly FC (Don''t use)'!E45</f>
        <v>0</v>
      </c>
      <c r="EJ26" t="str">
        <f t="shared" si="3"/>
        <v>86790-0K190-00D1</v>
      </c>
      <c r="EK26" t="s">
        <v>185</v>
      </c>
      <c r="EL26" t="s">
        <v>201</v>
      </c>
      <c r="EM26">
        <v>3612</v>
      </c>
      <c r="EN26">
        <v>2226</v>
      </c>
      <c r="EO26">
        <v>2688</v>
      </c>
      <c r="EP26">
        <v>3402</v>
      </c>
    </row>
    <row r="27" spans="1:146" x14ac:dyDescent="0.3">
      <c r="A27" s="115" t="s">
        <v>168</v>
      </c>
      <c r="B27" s="115" t="s">
        <v>345</v>
      </c>
      <c r="C27" s="115" t="s">
        <v>172</v>
      </c>
      <c r="D27" s="115" t="s">
        <v>331</v>
      </c>
      <c r="E27" s="115"/>
      <c r="F27" s="115" t="s">
        <v>201</v>
      </c>
      <c r="G27" s="115" t="s">
        <v>191</v>
      </c>
      <c r="H27" s="116">
        <v>84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  <c r="O27" s="116">
        <v>0</v>
      </c>
      <c r="P27" s="116">
        <v>0</v>
      </c>
      <c r="Q27" s="116">
        <v>0</v>
      </c>
      <c r="R27" s="116">
        <v>0</v>
      </c>
      <c r="S27" s="116">
        <v>0</v>
      </c>
      <c r="T27" s="116">
        <v>0</v>
      </c>
      <c r="U27" s="116">
        <v>0</v>
      </c>
      <c r="V27" s="116">
        <v>0</v>
      </c>
      <c r="W27" s="116">
        <v>0</v>
      </c>
      <c r="X27" s="116">
        <v>0</v>
      </c>
      <c r="Y27" s="116">
        <v>0</v>
      </c>
      <c r="Z27" s="116">
        <v>0</v>
      </c>
      <c r="AA27" s="116">
        <v>0</v>
      </c>
      <c r="AB27" s="116">
        <v>0</v>
      </c>
      <c r="AC27" s="116">
        <v>0</v>
      </c>
      <c r="AD27" s="116">
        <v>0</v>
      </c>
      <c r="AE27" s="116">
        <v>0</v>
      </c>
      <c r="AF27" s="116">
        <v>0</v>
      </c>
      <c r="AG27" s="116">
        <v>0</v>
      </c>
      <c r="AH27" s="116">
        <v>0</v>
      </c>
      <c r="AI27" s="116">
        <v>0</v>
      </c>
      <c r="AJ27" s="116">
        <v>0</v>
      </c>
      <c r="AK27" s="116">
        <v>0</v>
      </c>
      <c r="AL27" s="116">
        <v>0</v>
      </c>
      <c r="AM27" s="116">
        <v>0</v>
      </c>
      <c r="AN27" s="116">
        <v>0</v>
      </c>
      <c r="AO27" s="116">
        <v>0</v>
      </c>
      <c r="AP27" s="116">
        <v>0</v>
      </c>
      <c r="AQ27" s="116">
        <v>84</v>
      </c>
      <c r="AR27" s="116">
        <v>84</v>
      </c>
      <c r="AS27" s="116">
        <v>84</v>
      </c>
      <c r="AT27" s="116">
        <v>84</v>
      </c>
      <c r="AU27" s="116">
        <v>84</v>
      </c>
      <c r="AV27" s="116">
        <v>0</v>
      </c>
      <c r="AW27" s="116">
        <v>84</v>
      </c>
      <c r="AX27" s="116">
        <v>84</v>
      </c>
      <c r="AY27" s="116">
        <v>84</v>
      </c>
      <c r="AZ27" s="116">
        <v>84</v>
      </c>
      <c r="BA27" s="116">
        <v>84</v>
      </c>
      <c r="BB27" s="116">
        <v>84</v>
      </c>
      <c r="BC27" s="116">
        <v>0</v>
      </c>
      <c r="BD27" s="116">
        <v>168</v>
      </c>
      <c r="BE27" s="116">
        <v>84</v>
      </c>
      <c r="BF27" s="116">
        <v>84</v>
      </c>
      <c r="BG27" s="116">
        <v>84</v>
      </c>
      <c r="BH27" s="116">
        <v>84</v>
      </c>
      <c r="BI27" s="116">
        <v>0</v>
      </c>
      <c r="BJ27" s="116">
        <v>0</v>
      </c>
      <c r="BK27" s="116">
        <v>168</v>
      </c>
      <c r="BL27" s="116">
        <v>84</v>
      </c>
      <c r="BM27" s="116">
        <v>84</v>
      </c>
      <c r="BN27" s="116">
        <v>168</v>
      </c>
      <c r="BO27" s="116">
        <v>84</v>
      </c>
      <c r="BP27" s="116">
        <v>84</v>
      </c>
      <c r="BQ27" s="116">
        <v>0</v>
      </c>
      <c r="BR27" s="116">
        <v>168</v>
      </c>
      <c r="BS27" s="116">
        <v>84</v>
      </c>
      <c r="BT27" s="116">
        <v>2352</v>
      </c>
      <c r="BU27" s="116">
        <v>150</v>
      </c>
      <c r="BV27" s="116">
        <v>150</v>
      </c>
      <c r="BW27" s="116">
        <v>150</v>
      </c>
      <c r="BX27" s="116">
        <v>75</v>
      </c>
      <c r="BY27" s="116">
        <v>0</v>
      </c>
      <c r="BZ27" s="116">
        <v>150</v>
      </c>
      <c r="CA27" s="116">
        <v>150</v>
      </c>
      <c r="CB27" s="116">
        <v>150</v>
      </c>
      <c r="CC27" s="116">
        <v>150</v>
      </c>
      <c r="CD27" s="116">
        <v>150</v>
      </c>
      <c r="CE27" s="116">
        <v>0</v>
      </c>
      <c r="CF27" s="116">
        <v>0</v>
      </c>
      <c r="CG27" s="116">
        <v>0</v>
      </c>
      <c r="CH27" s="116">
        <v>0</v>
      </c>
      <c r="CI27" s="116">
        <v>0</v>
      </c>
      <c r="CJ27" s="116">
        <v>0</v>
      </c>
      <c r="CK27" s="116">
        <v>0</v>
      </c>
      <c r="CL27" s="116">
        <v>0</v>
      </c>
      <c r="CM27" s="116">
        <v>0</v>
      </c>
      <c r="CN27" s="116">
        <v>150</v>
      </c>
      <c r="CO27" s="116">
        <v>150</v>
      </c>
      <c r="CP27" s="116">
        <v>150</v>
      </c>
      <c r="CQ27" s="116">
        <v>150</v>
      </c>
      <c r="CR27" s="116">
        <v>150</v>
      </c>
      <c r="CS27" s="116">
        <v>149</v>
      </c>
      <c r="CT27" s="116">
        <v>0</v>
      </c>
      <c r="CU27" s="116">
        <v>150</v>
      </c>
      <c r="CV27" s="116">
        <v>149</v>
      </c>
      <c r="CW27" s="116">
        <v>150</v>
      </c>
      <c r="CX27" s="116">
        <v>149</v>
      </c>
      <c r="CY27" s="116">
        <v>0</v>
      </c>
      <c r="CZ27" s="116">
        <v>2772</v>
      </c>
      <c r="DA27" s="116">
        <v>0</v>
      </c>
      <c r="DB27" s="116">
        <v>0</v>
      </c>
      <c r="DC27" s="116">
        <v>0</v>
      </c>
      <c r="DD27" s="116">
        <v>0</v>
      </c>
      <c r="DE27" s="116">
        <v>122</v>
      </c>
      <c r="DF27" s="116">
        <v>122</v>
      </c>
      <c r="DG27" s="116">
        <v>122</v>
      </c>
      <c r="DH27" s="116">
        <v>122</v>
      </c>
      <c r="DI27" s="116">
        <v>122</v>
      </c>
      <c r="DJ27" s="116">
        <v>0</v>
      </c>
      <c r="DK27" s="116">
        <v>122</v>
      </c>
      <c r="DL27" s="116">
        <v>122</v>
      </c>
      <c r="DM27" s="116">
        <v>122</v>
      </c>
      <c r="DN27" s="116">
        <v>122</v>
      </c>
      <c r="DO27" s="116">
        <v>122</v>
      </c>
      <c r="DP27" s="116">
        <v>0</v>
      </c>
      <c r="DQ27" s="116">
        <v>0</v>
      </c>
      <c r="DR27" s="116">
        <v>122</v>
      </c>
      <c r="DS27" s="116">
        <v>122</v>
      </c>
      <c r="DT27" s="116">
        <v>122</v>
      </c>
      <c r="DU27" s="116">
        <v>121</v>
      </c>
      <c r="DV27" s="116">
        <v>122</v>
      </c>
      <c r="DW27" s="116">
        <v>0</v>
      </c>
      <c r="DX27" s="116">
        <v>0</v>
      </c>
      <c r="DY27" s="116">
        <v>121</v>
      </c>
      <c r="DZ27" s="116">
        <v>122</v>
      </c>
      <c r="EA27" s="116">
        <v>121</v>
      </c>
      <c r="EB27" s="116">
        <v>122</v>
      </c>
      <c r="EC27" s="116">
        <v>121</v>
      </c>
      <c r="ED27" s="116">
        <v>0</v>
      </c>
      <c r="EE27" s="116">
        <v>0</v>
      </c>
      <c r="EF27" s="116">
        <v>2436</v>
      </c>
      <c r="EH27" t="b">
        <f>A27='Monthly FC (Don''t use)'!E46</f>
        <v>0</v>
      </c>
      <c r="EJ27" t="str">
        <f t="shared" si="3"/>
        <v>86790-0K200-00D1</v>
      </c>
      <c r="EK27" t="s">
        <v>220</v>
      </c>
      <c r="EL27" t="s">
        <v>201</v>
      </c>
      <c r="EM27">
        <v>2120</v>
      </c>
      <c r="EN27">
        <v>2300</v>
      </c>
      <c r="EO27">
        <v>2760</v>
      </c>
      <c r="EP27">
        <v>2740</v>
      </c>
    </row>
    <row r="28" spans="1:146" x14ac:dyDescent="0.3">
      <c r="A28" s="115" t="s">
        <v>224</v>
      </c>
      <c r="B28" s="115" t="s">
        <v>225</v>
      </c>
      <c r="C28" s="115" t="s">
        <v>172</v>
      </c>
      <c r="D28" s="115" t="s">
        <v>331</v>
      </c>
      <c r="E28" s="115"/>
      <c r="F28" s="115" t="s">
        <v>201</v>
      </c>
      <c r="G28" s="115" t="s">
        <v>227</v>
      </c>
      <c r="H28" s="116">
        <v>15</v>
      </c>
      <c r="I28" s="116">
        <v>0</v>
      </c>
      <c r="J28" s="116">
        <v>285</v>
      </c>
      <c r="K28" s="116">
        <v>285</v>
      </c>
      <c r="L28" s="116">
        <v>285</v>
      </c>
      <c r="M28" s="116">
        <v>285</v>
      </c>
      <c r="N28" s="116">
        <v>285</v>
      </c>
      <c r="O28" s="116">
        <v>0</v>
      </c>
      <c r="P28" s="116">
        <v>0</v>
      </c>
      <c r="Q28" s="116">
        <v>285</v>
      </c>
      <c r="R28" s="116">
        <v>285</v>
      </c>
      <c r="S28" s="116">
        <v>285</v>
      </c>
      <c r="T28" s="116">
        <v>285</v>
      </c>
      <c r="U28" s="116">
        <v>285</v>
      </c>
      <c r="V28" s="116">
        <v>300</v>
      </c>
      <c r="W28" s="116">
        <v>0</v>
      </c>
      <c r="X28" s="116">
        <v>285</v>
      </c>
      <c r="Y28" s="116">
        <v>270</v>
      </c>
      <c r="Z28" s="116">
        <v>270</v>
      </c>
      <c r="AA28" s="116">
        <v>255</v>
      </c>
      <c r="AB28" s="116">
        <v>255</v>
      </c>
      <c r="AC28" s="116">
        <v>0</v>
      </c>
      <c r="AD28" s="116">
        <v>0</v>
      </c>
      <c r="AE28" s="116">
        <v>255</v>
      </c>
      <c r="AF28" s="116">
        <v>255</v>
      </c>
      <c r="AG28" s="116">
        <v>255</v>
      </c>
      <c r="AH28" s="116">
        <v>255</v>
      </c>
      <c r="AI28" s="116">
        <v>270</v>
      </c>
      <c r="AJ28" s="116">
        <v>255</v>
      </c>
      <c r="AK28" s="116">
        <v>0</v>
      </c>
      <c r="AL28" s="116">
        <v>0</v>
      </c>
      <c r="AM28" s="116">
        <v>0</v>
      </c>
      <c r="AN28" s="116">
        <v>6030</v>
      </c>
      <c r="AO28" s="116">
        <v>0</v>
      </c>
      <c r="AP28" s="116">
        <v>0</v>
      </c>
      <c r="AQ28" s="116">
        <v>210</v>
      </c>
      <c r="AR28" s="116">
        <v>240</v>
      </c>
      <c r="AS28" s="116">
        <v>255</v>
      </c>
      <c r="AT28" s="116">
        <v>240</v>
      </c>
      <c r="AU28" s="116">
        <v>105</v>
      </c>
      <c r="AV28" s="116">
        <v>0</v>
      </c>
      <c r="AW28" s="116">
        <v>240</v>
      </c>
      <c r="AX28" s="116">
        <v>240</v>
      </c>
      <c r="AY28" s="116">
        <v>255</v>
      </c>
      <c r="AZ28" s="116">
        <v>240</v>
      </c>
      <c r="BA28" s="116">
        <v>240</v>
      </c>
      <c r="BB28" s="116">
        <v>255</v>
      </c>
      <c r="BC28" s="116">
        <v>0</v>
      </c>
      <c r="BD28" s="116">
        <v>240</v>
      </c>
      <c r="BE28" s="116">
        <v>255</v>
      </c>
      <c r="BF28" s="116">
        <v>225</v>
      </c>
      <c r="BG28" s="116">
        <v>240</v>
      </c>
      <c r="BH28" s="116">
        <v>225</v>
      </c>
      <c r="BI28" s="116">
        <v>0</v>
      </c>
      <c r="BJ28" s="116">
        <v>0</v>
      </c>
      <c r="BK28" s="116">
        <v>240</v>
      </c>
      <c r="BL28" s="116">
        <v>225</v>
      </c>
      <c r="BM28" s="116">
        <v>240</v>
      </c>
      <c r="BN28" s="116">
        <v>225</v>
      </c>
      <c r="BO28" s="116">
        <v>240</v>
      </c>
      <c r="BP28" s="116">
        <v>225</v>
      </c>
      <c r="BQ28" s="116">
        <v>0</v>
      </c>
      <c r="BR28" s="116">
        <v>240</v>
      </c>
      <c r="BS28" s="116">
        <v>225</v>
      </c>
      <c r="BT28" s="116">
        <v>5565</v>
      </c>
      <c r="BU28" s="116">
        <v>303</v>
      </c>
      <c r="BV28" s="116">
        <v>303</v>
      </c>
      <c r="BW28" s="116">
        <v>303</v>
      </c>
      <c r="BX28" s="116">
        <v>152</v>
      </c>
      <c r="BY28" s="116">
        <v>0</v>
      </c>
      <c r="BZ28" s="116">
        <v>303</v>
      </c>
      <c r="CA28" s="116">
        <v>303</v>
      </c>
      <c r="CB28" s="116">
        <v>303</v>
      </c>
      <c r="CC28" s="116">
        <v>303</v>
      </c>
      <c r="CD28" s="116">
        <v>303</v>
      </c>
      <c r="CE28" s="116">
        <v>0</v>
      </c>
      <c r="CF28" s="116">
        <v>0</v>
      </c>
      <c r="CG28" s="116">
        <v>0</v>
      </c>
      <c r="CH28" s="116">
        <v>0</v>
      </c>
      <c r="CI28" s="116">
        <v>0</v>
      </c>
      <c r="CJ28" s="116">
        <v>0</v>
      </c>
      <c r="CK28" s="116">
        <v>0</v>
      </c>
      <c r="CL28" s="116">
        <v>0</v>
      </c>
      <c r="CM28" s="116">
        <v>0</v>
      </c>
      <c r="CN28" s="116">
        <v>303</v>
      </c>
      <c r="CO28" s="116">
        <v>303</v>
      </c>
      <c r="CP28" s="116">
        <v>304</v>
      </c>
      <c r="CQ28" s="116">
        <v>303</v>
      </c>
      <c r="CR28" s="116">
        <v>304</v>
      </c>
      <c r="CS28" s="116">
        <v>303</v>
      </c>
      <c r="CT28" s="116">
        <v>0</v>
      </c>
      <c r="CU28" s="116">
        <v>304</v>
      </c>
      <c r="CV28" s="116">
        <v>303</v>
      </c>
      <c r="CW28" s="116">
        <v>304</v>
      </c>
      <c r="CX28" s="116">
        <v>303</v>
      </c>
      <c r="CY28" s="116">
        <v>0</v>
      </c>
      <c r="CZ28" s="116">
        <v>5610</v>
      </c>
      <c r="DA28" s="116">
        <v>0</v>
      </c>
      <c r="DB28" s="116">
        <v>0</v>
      </c>
      <c r="DC28" s="116">
        <v>0</v>
      </c>
      <c r="DD28" s="116">
        <v>0</v>
      </c>
      <c r="DE28" s="116">
        <v>246</v>
      </c>
      <c r="DF28" s="116">
        <v>246</v>
      </c>
      <c r="DG28" s="116">
        <v>246</v>
      </c>
      <c r="DH28" s="116">
        <v>246</v>
      </c>
      <c r="DI28" s="116">
        <v>246</v>
      </c>
      <c r="DJ28" s="116">
        <v>0</v>
      </c>
      <c r="DK28" s="116">
        <v>246</v>
      </c>
      <c r="DL28" s="116">
        <v>246</v>
      </c>
      <c r="DM28" s="116">
        <v>246</v>
      </c>
      <c r="DN28" s="116">
        <v>246</v>
      </c>
      <c r="DO28" s="116">
        <v>246</v>
      </c>
      <c r="DP28" s="116">
        <v>0</v>
      </c>
      <c r="DQ28" s="116">
        <v>0</v>
      </c>
      <c r="DR28" s="116">
        <v>246</v>
      </c>
      <c r="DS28" s="116">
        <v>246</v>
      </c>
      <c r="DT28" s="116">
        <v>246</v>
      </c>
      <c r="DU28" s="116">
        <v>246</v>
      </c>
      <c r="DV28" s="116">
        <v>246</v>
      </c>
      <c r="DW28" s="116">
        <v>0</v>
      </c>
      <c r="DX28" s="116">
        <v>0</v>
      </c>
      <c r="DY28" s="116">
        <v>246</v>
      </c>
      <c r="DZ28" s="116">
        <v>246</v>
      </c>
      <c r="EA28" s="116">
        <v>246</v>
      </c>
      <c r="EB28" s="116">
        <v>246</v>
      </c>
      <c r="EC28" s="116">
        <v>246</v>
      </c>
      <c r="ED28" s="116">
        <v>0</v>
      </c>
      <c r="EE28" s="116">
        <v>0</v>
      </c>
      <c r="EF28" s="116">
        <v>4920</v>
      </c>
      <c r="EH28" t="b">
        <f>A28='Monthly FC (Don''t use)'!E48</f>
        <v>0</v>
      </c>
      <c r="EJ28" t="str">
        <f t="shared" si="3"/>
        <v>86790-0K220-00D1</v>
      </c>
      <c r="EK28" t="s">
        <v>199</v>
      </c>
      <c r="EL28" t="s">
        <v>201</v>
      </c>
      <c r="EM28">
        <v>1660</v>
      </c>
      <c r="EN28">
        <v>1080</v>
      </c>
      <c r="EO28">
        <v>1100</v>
      </c>
      <c r="EP28">
        <v>1280</v>
      </c>
    </row>
    <row r="29" spans="1:146" x14ac:dyDescent="0.3">
      <c r="A29" s="228" t="s">
        <v>199</v>
      </c>
      <c r="B29" s="115" t="s">
        <v>200</v>
      </c>
      <c r="C29" s="115" t="s">
        <v>172</v>
      </c>
      <c r="D29" s="115" t="s">
        <v>331</v>
      </c>
      <c r="E29" s="115"/>
      <c r="F29" s="115" t="s">
        <v>201</v>
      </c>
      <c r="G29" s="115" t="s">
        <v>202</v>
      </c>
      <c r="H29" s="116">
        <v>20</v>
      </c>
      <c r="I29" s="116">
        <v>0</v>
      </c>
      <c r="J29" s="116">
        <v>60</v>
      </c>
      <c r="K29" s="116">
        <v>40</v>
      </c>
      <c r="L29" s="116">
        <v>60</v>
      </c>
      <c r="M29" s="116">
        <v>60</v>
      </c>
      <c r="N29" s="116">
        <v>40</v>
      </c>
      <c r="O29" s="116">
        <v>0</v>
      </c>
      <c r="P29" s="116">
        <v>0</v>
      </c>
      <c r="Q29" s="116">
        <v>60</v>
      </c>
      <c r="R29" s="116">
        <v>40</v>
      </c>
      <c r="S29" s="116">
        <v>60</v>
      </c>
      <c r="T29" s="116">
        <v>60</v>
      </c>
      <c r="U29" s="116">
        <v>40</v>
      </c>
      <c r="V29" s="116">
        <v>60</v>
      </c>
      <c r="W29" s="116">
        <v>0</v>
      </c>
      <c r="X29" s="116">
        <v>60</v>
      </c>
      <c r="Y29" s="116">
        <v>40</v>
      </c>
      <c r="Z29" s="116">
        <v>60</v>
      </c>
      <c r="AA29" s="116">
        <v>60</v>
      </c>
      <c r="AB29" s="116">
        <v>40</v>
      </c>
      <c r="AC29" s="116">
        <v>0</v>
      </c>
      <c r="AD29" s="116">
        <v>0</v>
      </c>
      <c r="AE29" s="116">
        <v>60</v>
      </c>
      <c r="AF29" s="116">
        <v>60</v>
      </c>
      <c r="AG29" s="116">
        <v>40</v>
      </c>
      <c r="AH29" s="116">
        <v>60</v>
      </c>
      <c r="AI29" s="116">
        <v>40</v>
      </c>
      <c r="AJ29" s="116">
        <v>60</v>
      </c>
      <c r="AK29" s="116">
        <v>0</v>
      </c>
      <c r="AL29" s="116">
        <v>0</v>
      </c>
      <c r="AM29" s="116">
        <v>0</v>
      </c>
      <c r="AN29" s="116">
        <v>1160</v>
      </c>
      <c r="AO29" s="116">
        <v>0</v>
      </c>
      <c r="AP29" s="116">
        <v>0</v>
      </c>
      <c r="AQ29" s="116">
        <v>80</v>
      </c>
      <c r="AR29" s="116">
        <v>100</v>
      </c>
      <c r="AS29" s="116">
        <v>80</v>
      </c>
      <c r="AT29" s="116">
        <v>80</v>
      </c>
      <c r="AU29" s="116">
        <v>40</v>
      </c>
      <c r="AV29" s="116">
        <v>0</v>
      </c>
      <c r="AW29" s="116">
        <v>100</v>
      </c>
      <c r="AX29" s="116">
        <v>80</v>
      </c>
      <c r="AY29" s="116">
        <v>100</v>
      </c>
      <c r="AZ29" s="116">
        <v>80</v>
      </c>
      <c r="BA29" s="116">
        <v>100</v>
      </c>
      <c r="BB29" s="116">
        <v>80</v>
      </c>
      <c r="BC29" s="116">
        <v>0</v>
      </c>
      <c r="BD29" s="116">
        <v>100</v>
      </c>
      <c r="BE29" s="116">
        <v>80</v>
      </c>
      <c r="BF29" s="116">
        <v>100</v>
      </c>
      <c r="BG29" s="116">
        <v>80</v>
      </c>
      <c r="BH29" s="116">
        <v>100</v>
      </c>
      <c r="BI29" s="116">
        <v>0</v>
      </c>
      <c r="BJ29" s="116">
        <v>0</v>
      </c>
      <c r="BK29" s="116">
        <v>80</v>
      </c>
      <c r="BL29" s="116">
        <v>100</v>
      </c>
      <c r="BM29" s="116">
        <v>80</v>
      </c>
      <c r="BN29" s="116">
        <v>100</v>
      </c>
      <c r="BO29" s="116">
        <v>100</v>
      </c>
      <c r="BP29" s="116">
        <v>80</v>
      </c>
      <c r="BQ29" s="116">
        <v>0</v>
      </c>
      <c r="BR29" s="116">
        <v>80</v>
      </c>
      <c r="BS29" s="116">
        <v>100</v>
      </c>
      <c r="BT29" s="116">
        <v>2100</v>
      </c>
      <c r="BU29" s="116">
        <v>110</v>
      </c>
      <c r="BV29" s="116">
        <v>110</v>
      </c>
      <c r="BW29" s="116">
        <v>110</v>
      </c>
      <c r="BX29" s="116">
        <v>55</v>
      </c>
      <c r="BY29" s="116">
        <v>0</v>
      </c>
      <c r="BZ29" s="116">
        <v>110</v>
      </c>
      <c r="CA29" s="116">
        <v>110</v>
      </c>
      <c r="CB29" s="116">
        <v>110</v>
      </c>
      <c r="CC29" s="116">
        <v>110</v>
      </c>
      <c r="CD29" s="116">
        <v>110</v>
      </c>
      <c r="CE29" s="116">
        <v>0</v>
      </c>
      <c r="CF29" s="116">
        <v>0</v>
      </c>
      <c r="CG29" s="116">
        <v>0</v>
      </c>
      <c r="CH29" s="116">
        <v>0</v>
      </c>
      <c r="CI29" s="116">
        <v>0</v>
      </c>
      <c r="CJ29" s="116">
        <v>0</v>
      </c>
      <c r="CK29" s="116">
        <v>0</v>
      </c>
      <c r="CL29" s="116">
        <v>0</v>
      </c>
      <c r="CM29" s="116">
        <v>0</v>
      </c>
      <c r="CN29" s="116">
        <v>111</v>
      </c>
      <c r="CO29" s="116">
        <v>110</v>
      </c>
      <c r="CP29" s="116">
        <v>111</v>
      </c>
      <c r="CQ29" s="116">
        <v>110</v>
      </c>
      <c r="CR29" s="116">
        <v>111</v>
      </c>
      <c r="CS29" s="116">
        <v>110</v>
      </c>
      <c r="CT29" s="116">
        <v>0</v>
      </c>
      <c r="CU29" s="116">
        <v>111</v>
      </c>
      <c r="CV29" s="116">
        <v>110</v>
      </c>
      <c r="CW29" s="116">
        <v>111</v>
      </c>
      <c r="CX29" s="116">
        <v>110</v>
      </c>
      <c r="CY29" s="116">
        <v>0</v>
      </c>
      <c r="CZ29" s="116">
        <v>2040</v>
      </c>
      <c r="DA29" s="116">
        <v>0</v>
      </c>
      <c r="DB29" s="116">
        <v>0</v>
      </c>
      <c r="DC29" s="116">
        <v>0</v>
      </c>
      <c r="DD29" s="116">
        <v>0</v>
      </c>
      <c r="DE29" s="116">
        <v>52</v>
      </c>
      <c r="DF29" s="116">
        <v>52</v>
      </c>
      <c r="DG29" s="116">
        <v>52</v>
      </c>
      <c r="DH29" s="116">
        <v>52</v>
      </c>
      <c r="DI29" s="116">
        <v>52</v>
      </c>
      <c r="DJ29" s="116">
        <v>0</v>
      </c>
      <c r="DK29" s="116">
        <v>52</v>
      </c>
      <c r="DL29" s="116">
        <v>52</v>
      </c>
      <c r="DM29" s="116">
        <v>52</v>
      </c>
      <c r="DN29" s="116">
        <v>52</v>
      </c>
      <c r="DO29" s="116">
        <v>52</v>
      </c>
      <c r="DP29" s="116">
        <v>0</v>
      </c>
      <c r="DQ29" s="116">
        <v>0</v>
      </c>
      <c r="DR29" s="116">
        <v>52</v>
      </c>
      <c r="DS29" s="116">
        <v>52</v>
      </c>
      <c r="DT29" s="116">
        <v>52</v>
      </c>
      <c r="DU29" s="116">
        <v>52</v>
      </c>
      <c r="DV29" s="116">
        <v>52</v>
      </c>
      <c r="DW29" s="116">
        <v>0</v>
      </c>
      <c r="DX29" s="116">
        <v>0</v>
      </c>
      <c r="DY29" s="116">
        <v>52</v>
      </c>
      <c r="DZ29" s="116">
        <v>52</v>
      </c>
      <c r="EA29" s="116">
        <v>52</v>
      </c>
      <c r="EB29" s="116">
        <v>52</v>
      </c>
      <c r="EC29" s="116">
        <v>52</v>
      </c>
      <c r="ED29" s="116">
        <v>0</v>
      </c>
      <c r="EE29" s="116">
        <v>0</v>
      </c>
      <c r="EF29" s="116">
        <v>1040</v>
      </c>
      <c r="EH29" t="b">
        <f>A29='Monthly FC (Don''t use)'!E49</f>
        <v>0</v>
      </c>
      <c r="EJ29" t="str">
        <f t="shared" si="3"/>
        <v>86790-0K230-00D1</v>
      </c>
      <c r="EK29" t="s">
        <v>187</v>
      </c>
      <c r="EL29" t="s">
        <v>201</v>
      </c>
      <c r="EM29">
        <v>528</v>
      </c>
      <c r="EN29">
        <v>320</v>
      </c>
      <c r="EO29">
        <v>560</v>
      </c>
      <c r="EP29">
        <v>736</v>
      </c>
    </row>
    <row r="30" spans="1:146" x14ac:dyDescent="0.3">
      <c r="A30" s="240"/>
      <c r="B30" s="115"/>
      <c r="C30" s="115"/>
      <c r="D30" s="115"/>
      <c r="E30" s="115"/>
      <c r="F30" s="115"/>
      <c r="G30" s="115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H30" t="b">
        <f>A30='Monthly FC (Don''t use)'!E50</f>
        <v>1</v>
      </c>
      <c r="EJ30" t="str">
        <f t="shared" si="3"/>
        <v>86790-BZ310-00D1</v>
      </c>
      <c r="EK30" t="s">
        <v>224</v>
      </c>
      <c r="EL30" t="s">
        <v>201</v>
      </c>
      <c r="EM30">
        <v>0</v>
      </c>
      <c r="EN30">
        <v>0</v>
      </c>
      <c r="EO30">
        <v>0</v>
      </c>
      <c r="EP30">
        <v>5040</v>
      </c>
    </row>
    <row r="31" spans="1:146" x14ac:dyDescent="0.3">
      <c r="A31" s="240"/>
      <c r="B31" s="115"/>
      <c r="C31" s="115"/>
      <c r="D31" s="115"/>
      <c r="E31" s="115"/>
      <c r="F31" s="115"/>
      <c r="G31" s="115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/>
      <c r="DW31" s="116"/>
      <c r="DX31" s="116"/>
      <c r="DY31" s="116"/>
      <c r="DZ31" s="116"/>
      <c r="EA31" s="116"/>
      <c r="EB31" s="116"/>
      <c r="EC31" s="116"/>
      <c r="ED31" s="116"/>
      <c r="EE31" s="116"/>
      <c r="EF31" s="116"/>
      <c r="EH31" t="b">
        <f>A31='Monthly FC (Don''t use)'!E51</f>
        <v>1</v>
      </c>
      <c r="EK31" t="s">
        <v>346</v>
      </c>
      <c r="EM31">
        <v>27178</v>
      </c>
      <c r="EN31">
        <v>18906</v>
      </c>
      <c r="EO31">
        <v>24626</v>
      </c>
      <c r="EP31">
        <v>33238</v>
      </c>
    </row>
    <row r="32" spans="1:146" x14ac:dyDescent="0.3">
      <c r="A32" s="228"/>
      <c r="B32" s="209"/>
      <c r="C32" s="170"/>
      <c r="D32" s="170"/>
      <c r="E32" s="170"/>
      <c r="F32" s="170"/>
      <c r="G32" s="170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H32" t="b">
        <f>A32='Monthly FC (Don''t use)'!E52</f>
        <v>1</v>
      </c>
    </row>
    <row r="33" spans="1:137" x14ac:dyDescent="0.3">
      <c r="A33" s="170"/>
      <c r="B33" s="170"/>
      <c r="C33" s="170"/>
      <c r="D33" s="170"/>
      <c r="E33" s="170"/>
      <c r="F33" s="170"/>
      <c r="G33" s="170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71"/>
      <c r="BP33" s="171"/>
      <c r="BQ33" s="171"/>
      <c r="BR33" s="171"/>
      <c r="BS33" s="171"/>
      <c r="BT33" s="171"/>
      <c r="BU33" s="171"/>
      <c r="BV33" s="171"/>
      <c r="BW33" s="171"/>
      <c r="BX33" s="171"/>
      <c r="BY33" s="171"/>
      <c r="BZ33" s="171"/>
      <c r="CA33" s="171"/>
      <c r="CB33" s="171"/>
      <c r="CC33" s="171"/>
      <c r="CD33" s="171"/>
      <c r="CE33" s="171"/>
      <c r="CF33" s="171"/>
      <c r="CG33" s="171"/>
      <c r="CH33" s="171"/>
      <c r="CI33" s="171"/>
      <c r="CJ33" s="171"/>
      <c r="CK33" s="171"/>
      <c r="CL33" s="171"/>
      <c r="CM33" s="171"/>
      <c r="CN33" s="171"/>
      <c r="CO33" s="171"/>
      <c r="CP33" s="171"/>
      <c r="CQ33" s="171"/>
      <c r="CR33" s="171"/>
      <c r="CS33" s="171"/>
      <c r="CT33" s="171"/>
      <c r="CU33" s="171"/>
      <c r="CV33" s="171"/>
      <c r="CW33" s="171"/>
      <c r="CX33" s="171"/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71"/>
      <c r="DL33" s="171"/>
      <c r="DM33" s="171"/>
      <c r="DN33" s="171"/>
      <c r="DO33" s="171"/>
      <c r="DP33" s="171"/>
      <c r="DQ33" s="171"/>
      <c r="DR33" s="171"/>
      <c r="DS33" s="171"/>
      <c r="DT33" s="171"/>
      <c r="DU33" s="171"/>
      <c r="DV33" s="171"/>
      <c r="DW33" s="171"/>
      <c r="DX33" s="171"/>
      <c r="DY33" s="171"/>
      <c r="DZ33" s="171"/>
      <c r="EA33" s="171"/>
      <c r="EB33" s="171"/>
      <c r="EC33" s="171"/>
      <c r="ED33" s="171"/>
      <c r="EE33" s="171"/>
      <c r="EF33" s="171"/>
    </row>
    <row r="34" spans="1:137" x14ac:dyDescent="0.3">
      <c r="A34" s="170"/>
      <c r="B34" s="170"/>
      <c r="C34" s="170"/>
      <c r="D34" s="170"/>
      <c r="E34" s="170"/>
      <c r="F34" s="170"/>
      <c r="G34" s="170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  <c r="BE34" s="171"/>
      <c r="BF34" s="171"/>
      <c r="BG34" s="171"/>
      <c r="BH34" s="171"/>
      <c r="BI34" s="171"/>
      <c r="BJ34" s="171"/>
      <c r="BK34" s="171"/>
      <c r="BL34" s="171"/>
      <c r="BM34" s="171"/>
      <c r="BN34" s="171"/>
      <c r="BO34" s="171"/>
      <c r="BP34" s="171"/>
      <c r="BQ34" s="171"/>
      <c r="BR34" s="171"/>
      <c r="BS34" s="171"/>
      <c r="BT34" s="171"/>
      <c r="BU34" s="171"/>
      <c r="BV34" s="171"/>
      <c r="BW34" s="171"/>
      <c r="BX34" s="171"/>
      <c r="BY34" s="171"/>
      <c r="BZ34" s="171"/>
      <c r="CA34" s="171"/>
      <c r="CB34" s="171"/>
      <c r="CC34" s="171"/>
      <c r="CD34" s="171"/>
      <c r="CE34" s="171"/>
      <c r="CF34" s="171"/>
      <c r="CG34" s="171"/>
      <c r="CH34" s="171"/>
      <c r="CI34" s="171"/>
      <c r="CJ34" s="171"/>
      <c r="CK34" s="171"/>
      <c r="CL34" s="171"/>
      <c r="CM34" s="171"/>
      <c r="CN34" s="171"/>
      <c r="CO34" s="171"/>
      <c r="CP34" s="171"/>
      <c r="CQ34" s="171"/>
      <c r="CR34" s="171"/>
      <c r="CS34" s="171"/>
      <c r="CT34" s="171"/>
      <c r="CU34" s="171"/>
      <c r="CV34" s="171"/>
      <c r="CW34" s="171"/>
      <c r="CX34" s="171"/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71"/>
      <c r="DL34" s="171"/>
      <c r="DM34" s="171"/>
      <c r="DN34" s="171"/>
      <c r="DO34" s="171"/>
      <c r="DP34" s="171"/>
      <c r="DQ34" s="171"/>
      <c r="DR34" s="171"/>
      <c r="DS34" s="171"/>
      <c r="DT34" s="171"/>
      <c r="DU34" s="171"/>
      <c r="DV34" s="171"/>
      <c r="DW34" s="171"/>
      <c r="DX34" s="171"/>
      <c r="DY34" s="171"/>
      <c r="DZ34" s="171"/>
      <c r="EA34" s="171"/>
      <c r="EB34" s="171"/>
      <c r="EC34" s="171"/>
      <c r="ED34" s="171"/>
      <c r="EE34" s="171"/>
      <c r="EF34" s="171"/>
    </row>
    <row r="35" spans="1:137" x14ac:dyDescent="0.3">
      <c r="A35" s="170"/>
      <c r="B35" s="170"/>
      <c r="C35" s="170"/>
      <c r="D35" s="170"/>
      <c r="E35" s="170"/>
      <c r="F35" s="170"/>
      <c r="G35" s="170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1"/>
      <c r="BF35" s="171"/>
      <c r="BG35" s="171"/>
      <c r="BH35" s="171"/>
      <c r="BI35" s="171"/>
      <c r="BJ35" s="171"/>
      <c r="BK35" s="171"/>
      <c r="BL35" s="171"/>
      <c r="BM35" s="171"/>
      <c r="BN35" s="171"/>
      <c r="BO35" s="171"/>
      <c r="BP35" s="171"/>
      <c r="BQ35" s="171"/>
      <c r="BR35" s="171"/>
      <c r="BS35" s="171"/>
      <c r="BT35" s="171"/>
      <c r="BU35" s="171"/>
      <c r="BV35" s="171"/>
      <c r="BW35" s="171"/>
      <c r="BX35" s="171"/>
      <c r="BY35" s="171"/>
      <c r="BZ35" s="171"/>
      <c r="CA35" s="171"/>
      <c r="CB35" s="171"/>
      <c r="CC35" s="171"/>
      <c r="CD35" s="171"/>
      <c r="CE35" s="171"/>
      <c r="CF35" s="171"/>
      <c r="CG35" s="171"/>
      <c r="CH35" s="171"/>
      <c r="CI35" s="171"/>
      <c r="CJ35" s="171"/>
      <c r="CK35" s="171"/>
      <c r="CL35" s="171"/>
      <c r="CM35" s="171"/>
      <c r="CN35" s="171"/>
      <c r="CO35" s="171"/>
      <c r="CP35" s="171"/>
      <c r="CQ35" s="171"/>
      <c r="CR35" s="171"/>
      <c r="CS35" s="171"/>
      <c r="CT35" s="171"/>
      <c r="CU35" s="171"/>
      <c r="CV35" s="171"/>
      <c r="CW35" s="171"/>
      <c r="CX35" s="171"/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71"/>
      <c r="DL35" s="171"/>
      <c r="DM35" s="171"/>
      <c r="DN35" s="171"/>
      <c r="DO35" s="171"/>
      <c r="DP35" s="171"/>
      <c r="DQ35" s="171"/>
      <c r="DR35" s="171"/>
      <c r="DS35" s="171"/>
      <c r="DT35" s="171"/>
      <c r="DU35" s="171"/>
      <c r="DV35" s="171"/>
      <c r="DW35" s="171"/>
      <c r="DX35" s="171"/>
      <c r="DY35" s="171"/>
      <c r="DZ35" s="171"/>
      <c r="EA35" s="171"/>
      <c r="EB35" s="171"/>
      <c r="EC35" s="171"/>
      <c r="ED35" s="171"/>
      <c r="EE35" s="171"/>
      <c r="EF35" s="171"/>
    </row>
    <row r="36" spans="1:137" x14ac:dyDescent="0.3">
      <c r="A36" s="147"/>
      <c r="B36" s="147"/>
      <c r="C36" s="147"/>
      <c r="D36" s="147"/>
      <c r="E36" s="147"/>
      <c r="F36" s="147"/>
      <c r="G36" s="147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</row>
    <row r="37" spans="1:137" x14ac:dyDescent="0.3">
      <c r="A37" s="147"/>
      <c r="B37" s="147"/>
      <c r="C37" s="147"/>
      <c r="D37" s="147"/>
      <c r="E37" s="147"/>
      <c r="F37" s="147"/>
      <c r="G37" s="147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</row>
    <row r="38" spans="1:137" x14ac:dyDescent="0.3">
      <c r="A38" s="147"/>
      <c r="B38" s="147"/>
      <c r="C38" s="147"/>
      <c r="D38" s="147"/>
      <c r="E38" s="147"/>
      <c r="F38" s="147"/>
      <c r="G38" s="147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</row>
    <row r="39" spans="1:137" x14ac:dyDescent="0.3">
      <c r="AN39" s="95">
        <f>SUM(AN14:AN38)</f>
        <v>30850</v>
      </c>
      <c r="AO39" s="95">
        <f t="shared" ref="AO39:CZ39" si="4">SUM(AO14:AO38)</f>
        <v>0</v>
      </c>
      <c r="AP39" s="95">
        <f t="shared" si="4"/>
        <v>0</v>
      </c>
      <c r="AQ39" s="95">
        <f t="shared" si="4"/>
        <v>1404</v>
      </c>
      <c r="AR39" s="95">
        <f t="shared" si="4"/>
        <v>1618</v>
      </c>
      <c r="AS39" s="95">
        <f t="shared" si="4"/>
        <v>1677</v>
      </c>
      <c r="AT39" s="95">
        <f t="shared" si="4"/>
        <v>1742</v>
      </c>
      <c r="AU39" s="95">
        <f t="shared" si="4"/>
        <v>767</v>
      </c>
      <c r="AV39" s="95">
        <f t="shared" si="4"/>
        <v>0</v>
      </c>
      <c r="AW39" s="95">
        <f t="shared" si="4"/>
        <v>1668</v>
      </c>
      <c r="AX39" s="95">
        <f t="shared" si="4"/>
        <v>1586</v>
      </c>
      <c r="AY39" s="95">
        <f t="shared" si="4"/>
        <v>1761</v>
      </c>
      <c r="AZ39" s="95">
        <f t="shared" si="4"/>
        <v>1636</v>
      </c>
      <c r="BA39" s="95">
        <f t="shared" si="4"/>
        <v>1736</v>
      </c>
      <c r="BB39" s="95">
        <f t="shared" si="4"/>
        <v>1753</v>
      </c>
      <c r="BC39" s="95">
        <f t="shared" si="4"/>
        <v>0</v>
      </c>
      <c r="BD39" s="95">
        <f t="shared" si="4"/>
        <v>1802</v>
      </c>
      <c r="BE39" s="95">
        <f t="shared" si="4"/>
        <v>1651</v>
      </c>
      <c r="BF39" s="95">
        <f t="shared" si="4"/>
        <v>1789</v>
      </c>
      <c r="BG39" s="95">
        <f t="shared" si="4"/>
        <v>1548</v>
      </c>
      <c r="BH39" s="95">
        <f t="shared" si="4"/>
        <v>1743</v>
      </c>
      <c r="BI39" s="95">
        <f t="shared" si="4"/>
        <v>0</v>
      </c>
      <c r="BJ39" s="95">
        <f t="shared" si="4"/>
        <v>0</v>
      </c>
      <c r="BK39" s="95">
        <f t="shared" si="4"/>
        <v>1748</v>
      </c>
      <c r="BL39" s="95">
        <f t="shared" si="4"/>
        <v>1707</v>
      </c>
      <c r="BM39" s="95">
        <f t="shared" si="4"/>
        <v>1688</v>
      </c>
      <c r="BN39" s="95">
        <f t="shared" si="4"/>
        <v>1765</v>
      </c>
      <c r="BO39" s="95">
        <f t="shared" si="4"/>
        <v>1624</v>
      </c>
      <c r="BP39" s="95">
        <f t="shared" si="4"/>
        <v>1615</v>
      </c>
      <c r="BQ39" s="95">
        <f t="shared" si="4"/>
        <v>0</v>
      </c>
      <c r="BR39" s="95">
        <f t="shared" si="4"/>
        <v>1740</v>
      </c>
      <c r="BS39" s="95">
        <f t="shared" si="4"/>
        <v>1477</v>
      </c>
      <c r="BT39" s="95">
        <f t="shared" si="4"/>
        <v>39245</v>
      </c>
      <c r="BU39" s="95">
        <f t="shared" si="4"/>
        <v>1792</v>
      </c>
      <c r="BV39" s="95">
        <f t="shared" si="4"/>
        <v>1793</v>
      </c>
      <c r="BW39" s="95">
        <f t="shared" si="4"/>
        <v>1793</v>
      </c>
      <c r="BX39" s="95">
        <f t="shared" si="4"/>
        <v>896</v>
      </c>
      <c r="BY39" s="95">
        <f t="shared" si="4"/>
        <v>0</v>
      </c>
      <c r="BZ39" s="95">
        <f t="shared" si="4"/>
        <v>1793</v>
      </c>
      <c r="CA39" s="95">
        <f t="shared" si="4"/>
        <v>1794</v>
      </c>
      <c r="CB39" s="95">
        <f t="shared" si="4"/>
        <v>1792</v>
      </c>
      <c r="CC39" s="95">
        <f t="shared" si="4"/>
        <v>1794</v>
      </c>
      <c r="CD39" s="95">
        <f t="shared" si="4"/>
        <v>1791</v>
      </c>
      <c r="CE39" s="95">
        <f t="shared" si="4"/>
        <v>0</v>
      </c>
      <c r="CF39" s="95">
        <f t="shared" si="4"/>
        <v>0</v>
      </c>
      <c r="CG39" s="95">
        <f t="shared" si="4"/>
        <v>0</v>
      </c>
      <c r="CH39" s="95">
        <f t="shared" si="4"/>
        <v>0</v>
      </c>
      <c r="CI39" s="95">
        <f t="shared" si="4"/>
        <v>0</v>
      </c>
      <c r="CJ39" s="95">
        <f t="shared" si="4"/>
        <v>0</v>
      </c>
      <c r="CK39" s="95">
        <f t="shared" si="4"/>
        <v>0</v>
      </c>
      <c r="CL39" s="95">
        <f t="shared" si="4"/>
        <v>0</v>
      </c>
      <c r="CM39" s="95">
        <f t="shared" si="4"/>
        <v>0</v>
      </c>
      <c r="CN39" s="95">
        <f t="shared" si="4"/>
        <v>1795</v>
      </c>
      <c r="CO39" s="95">
        <f t="shared" si="4"/>
        <v>1790</v>
      </c>
      <c r="CP39" s="95">
        <f t="shared" si="4"/>
        <v>1797</v>
      </c>
      <c r="CQ39" s="95">
        <f t="shared" si="4"/>
        <v>1786</v>
      </c>
      <c r="CR39" s="95">
        <f t="shared" si="4"/>
        <v>1798</v>
      </c>
      <c r="CS39" s="95">
        <f t="shared" si="4"/>
        <v>1784</v>
      </c>
      <c r="CT39" s="95">
        <f t="shared" si="4"/>
        <v>0</v>
      </c>
      <c r="CU39" s="95">
        <f t="shared" si="4"/>
        <v>1798</v>
      </c>
      <c r="CV39" s="95">
        <f t="shared" si="4"/>
        <v>1783</v>
      </c>
      <c r="CW39" s="95">
        <f t="shared" si="4"/>
        <v>1798</v>
      </c>
      <c r="CX39" s="95">
        <f t="shared" si="4"/>
        <v>1783</v>
      </c>
      <c r="CY39" s="95">
        <f t="shared" si="4"/>
        <v>0</v>
      </c>
      <c r="CZ39" s="95">
        <f t="shared" si="4"/>
        <v>33150</v>
      </c>
      <c r="DA39" s="95">
        <f t="shared" ref="DA39:EF39" si="5">SUM(DA14:DA38)</f>
        <v>0</v>
      </c>
      <c r="DB39" s="95">
        <f t="shared" si="5"/>
        <v>0</v>
      </c>
      <c r="DC39" s="95">
        <f t="shared" si="5"/>
        <v>0</v>
      </c>
      <c r="DD39" s="95">
        <f t="shared" si="5"/>
        <v>0</v>
      </c>
      <c r="DE39" s="95">
        <f t="shared" si="5"/>
        <v>1310</v>
      </c>
      <c r="DF39" s="95">
        <f t="shared" si="5"/>
        <v>1307</v>
      </c>
      <c r="DG39" s="95">
        <f t="shared" si="5"/>
        <v>1310</v>
      </c>
      <c r="DH39" s="95">
        <f t="shared" si="5"/>
        <v>1307</v>
      </c>
      <c r="DI39" s="95">
        <f t="shared" si="5"/>
        <v>1311</v>
      </c>
      <c r="DJ39" s="95">
        <f t="shared" si="5"/>
        <v>0</v>
      </c>
      <c r="DK39" s="95">
        <f t="shared" si="5"/>
        <v>1305</v>
      </c>
      <c r="DL39" s="95">
        <f t="shared" si="5"/>
        <v>1311</v>
      </c>
      <c r="DM39" s="95">
        <f t="shared" si="5"/>
        <v>1305</v>
      </c>
      <c r="DN39" s="95">
        <f t="shared" si="5"/>
        <v>1311</v>
      </c>
      <c r="DO39" s="95">
        <f t="shared" si="5"/>
        <v>1305</v>
      </c>
      <c r="DP39" s="95">
        <f t="shared" si="5"/>
        <v>0</v>
      </c>
      <c r="DQ39" s="95">
        <f t="shared" si="5"/>
        <v>0</v>
      </c>
      <c r="DR39" s="95">
        <f t="shared" si="5"/>
        <v>1311</v>
      </c>
      <c r="DS39" s="95">
        <f t="shared" si="5"/>
        <v>1305</v>
      </c>
      <c r="DT39" s="95">
        <f t="shared" si="5"/>
        <v>1311</v>
      </c>
      <c r="DU39" s="95">
        <f t="shared" si="5"/>
        <v>1303</v>
      </c>
      <c r="DV39" s="95">
        <f t="shared" si="5"/>
        <v>1311</v>
      </c>
      <c r="DW39" s="95">
        <f t="shared" si="5"/>
        <v>0</v>
      </c>
      <c r="DX39" s="95">
        <f t="shared" si="5"/>
        <v>0</v>
      </c>
      <c r="DY39" s="95">
        <f t="shared" si="5"/>
        <v>1303</v>
      </c>
      <c r="DZ39" s="95">
        <f t="shared" si="5"/>
        <v>1311</v>
      </c>
      <c r="EA39" s="95">
        <f t="shared" si="5"/>
        <v>1303</v>
      </c>
      <c r="EB39" s="95">
        <f t="shared" si="5"/>
        <v>1311</v>
      </c>
      <c r="EC39" s="95">
        <f t="shared" si="5"/>
        <v>1303</v>
      </c>
      <c r="ED39" s="95">
        <f t="shared" si="5"/>
        <v>0</v>
      </c>
      <c r="EE39" s="95">
        <f t="shared" si="5"/>
        <v>0</v>
      </c>
      <c r="EF39" s="95">
        <f t="shared" si="5"/>
        <v>26154</v>
      </c>
      <c r="EG39" s="117">
        <f>EF39+CZ39+BT39+AN39</f>
        <v>129399</v>
      </c>
    </row>
    <row r="44" spans="1:137" x14ac:dyDescent="0.3">
      <c r="B44" s="115"/>
    </row>
  </sheetData>
  <autoFilter ref="A13:EG39" xr:uid="{00000000-0009-0000-0000-000004000000}"/>
  <conditionalFormatting sqref="A44:A50">
    <cfRule type="duplicateValues" dxfId="25" priority="1"/>
  </conditionalFormatting>
  <conditionalFormatting sqref="EJ16:EJ30">
    <cfRule type="duplicateValues" dxfId="24" priority="2"/>
  </conditionalFormatting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I32"/>
  <sheetViews>
    <sheetView zoomScale="90" zoomScaleNormal="90" workbookViewId="0">
      <selection activeCell="EG20" sqref="EG20"/>
    </sheetView>
  </sheetViews>
  <sheetFormatPr defaultRowHeight="14.4" outlineLevelRow="1" outlineLevelCol="1" x14ac:dyDescent="0.3"/>
  <cols>
    <col min="1" max="1" width="19" bestFit="1" customWidth="1"/>
    <col min="2" max="2" width="15.6640625" customWidth="1"/>
    <col min="3" max="3" width="25.5546875" customWidth="1"/>
    <col min="4" max="4" width="11" bestFit="1" customWidth="1"/>
    <col min="5" max="5" width="8.5546875" customWidth="1"/>
    <col min="6" max="6" width="5.6640625" customWidth="1"/>
    <col min="7" max="7" width="8" bestFit="1" customWidth="1"/>
    <col min="8" max="8" width="7" bestFit="1" customWidth="1"/>
    <col min="9" max="37" width="5" hidden="1" customWidth="1" outlineLevel="1"/>
    <col min="38" max="38" width="7" hidden="1" customWidth="1" outlineLevel="1"/>
    <col min="39" max="39" width="5.6640625" hidden="1" customWidth="1" outlineLevel="1"/>
    <col min="40" max="40" width="7.44140625" customWidth="1" collapsed="1"/>
    <col min="41" max="70" width="5" hidden="1" customWidth="1" outlineLevel="1"/>
    <col min="71" max="71" width="6.6640625" hidden="1" customWidth="1" outlineLevel="1"/>
    <col min="72" max="72" width="8.6640625" customWidth="1" collapsed="1"/>
    <col min="73" max="103" width="5" hidden="1" customWidth="1" outlineLevel="1"/>
    <col min="104" max="104" width="9.33203125" customWidth="1" collapsed="1"/>
    <col min="105" max="135" width="5" hidden="1" customWidth="1" outlineLevel="1"/>
    <col min="136" max="136" width="9.33203125" customWidth="1" collapsed="1"/>
    <col min="138" max="138" width="15.33203125" customWidth="1"/>
    <col min="257" max="257" width="19" bestFit="1" customWidth="1"/>
    <col min="258" max="258" width="9" bestFit="1" customWidth="1"/>
    <col min="259" max="259" width="45" bestFit="1" customWidth="1"/>
    <col min="260" max="260" width="11" bestFit="1" customWidth="1"/>
    <col min="261" max="262" width="7" bestFit="1" customWidth="1"/>
    <col min="263" max="263" width="8" bestFit="1" customWidth="1"/>
    <col min="264" max="264" width="7" bestFit="1" customWidth="1"/>
    <col min="265" max="392" width="5" bestFit="1" customWidth="1"/>
    <col min="513" max="513" width="19" bestFit="1" customWidth="1"/>
    <col min="514" max="514" width="9" bestFit="1" customWidth="1"/>
    <col min="515" max="515" width="45" bestFit="1" customWidth="1"/>
    <col min="516" max="516" width="11" bestFit="1" customWidth="1"/>
    <col min="517" max="518" width="7" bestFit="1" customWidth="1"/>
    <col min="519" max="519" width="8" bestFit="1" customWidth="1"/>
    <col min="520" max="520" width="7" bestFit="1" customWidth="1"/>
    <col min="521" max="648" width="5" bestFit="1" customWidth="1"/>
    <col min="769" max="769" width="19" bestFit="1" customWidth="1"/>
    <col min="770" max="770" width="9" bestFit="1" customWidth="1"/>
    <col min="771" max="771" width="45" bestFit="1" customWidth="1"/>
    <col min="772" max="772" width="11" bestFit="1" customWidth="1"/>
    <col min="773" max="774" width="7" bestFit="1" customWidth="1"/>
    <col min="775" max="775" width="8" bestFit="1" customWidth="1"/>
    <col min="776" max="776" width="7" bestFit="1" customWidth="1"/>
    <col min="777" max="904" width="5" bestFit="1" customWidth="1"/>
    <col min="1025" max="1025" width="19" bestFit="1" customWidth="1"/>
    <col min="1026" max="1026" width="9" bestFit="1" customWidth="1"/>
    <col min="1027" max="1027" width="45" bestFit="1" customWidth="1"/>
    <col min="1028" max="1028" width="11" bestFit="1" customWidth="1"/>
    <col min="1029" max="1030" width="7" bestFit="1" customWidth="1"/>
    <col min="1031" max="1031" width="8" bestFit="1" customWidth="1"/>
    <col min="1032" max="1032" width="7" bestFit="1" customWidth="1"/>
    <col min="1033" max="1160" width="5" bestFit="1" customWidth="1"/>
    <col min="1281" max="1281" width="19" bestFit="1" customWidth="1"/>
    <col min="1282" max="1282" width="9" bestFit="1" customWidth="1"/>
    <col min="1283" max="1283" width="45" bestFit="1" customWidth="1"/>
    <col min="1284" max="1284" width="11" bestFit="1" customWidth="1"/>
    <col min="1285" max="1286" width="7" bestFit="1" customWidth="1"/>
    <col min="1287" max="1287" width="8" bestFit="1" customWidth="1"/>
    <col min="1288" max="1288" width="7" bestFit="1" customWidth="1"/>
    <col min="1289" max="1416" width="5" bestFit="1" customWidth="1"/>
    <col min="1537" max="1537" width="19" bestFit="1" customWidth="1"/>
    <col min="1538" max="1538" width="9" bestFit="1" customWidth="1"/>
    <col min="1539" max="1539" width="45" bestFit="1" customWidth="1"/>
    <col min="1540" max="1540" width="11" bestFit="1" customWidth="1"/>
    <col min="1541" max="1542" width="7" bestFit="1" customWidth="1"/>
    <col min="1543" max="1543" width="8" bestFit="1" customWidth="1"/>
    <col min="1544" max="1544" width="7" bestFit="1" customWidth="1"/>
    <col min="1545" max="1672" width="5" bestFit="1" customWidth="1"/>
    <col min="1793" max="1793" width="19" bestFit="1" customWidth="1"/>
    <col min="1794" max="1794" width="9" bestFit="1" customWidth="1"/>
    <col min="1795" max="1795" width="45" bestFit="1" customWidth="1"/>
    <col min="1796" max="1796" width="11" bestFit="1" customWidth="1"/>
    <col min="1797" max="1798" width="7" bestFit="1" customWidth="1"/>
    <col min="1799" max="1799" width="8" bestFit="1" customWidth="1"/>
    <col min="1800" max="1800" width="7" bestFit="1" customWidth="1"/>
    <col min="1801" max="1928" width="5" bestFit="1" customWidth="1"/>
    <col min="2049" max="2049" width="19" bestFit="1" customWidth="1"/>
    <col min="2050" max="2050" width="9" bestFit="1" customWidth="1"/>
    <col min="2051" max="2051" width="45" bestFit="1" customWidth="1"/>
    <col min="2052" max="2052" width="11" bestFit="1" customWidth="1"/>
    <col min="2053" max="2054" width="7" bestFit="1" customWidth="1"/>
    <col min="2055" max="2055" width="8" bestFit="1" customWidth="1"/>
    <col min="2056" max="2056" width="7" bestFit="1" customWidth="1"/>
    <col min="2057" max="2184" width="5" bestFit="1" customWidth="1"/>
    <col min="2305" max="2305" width="19" bestFit="1" customWidth="1"/>
    <col min="2306" max="2306" width="9" bestFit="1" customWidth="1"/>
    <col min="2307" max="2307" width="45" bestFit="1" customWidth="1"/>
    <col min="2308" max="2308" width="11" bestFit="1" customWidth="1"/>
    <col min="2309" max="2310" width="7" bestFit="1" customWidth="1"/>
    <col min="2311" max="2311" width="8" bestFit="1" customWidth="1"/>
    <col min="2312" max="2312" width="7" bestFit="1" customWidth="1"/>
    <col min="2313" max="2440" width="5" bestFit="1" customWidth="1"/>
    <col min="2561" max="2561" width="19" bestFit="1" customWidth="1"/>
    <col min="2562" max="2562" width="9" bestFit="1" customWidth="1"/>
    <col min="2563" max="2563" width="45" bestFit="1" customWidth="1"/>
    <col min="2564" max="2564" width="11" bestFit="1" customWidth="1"/>
    <col min="2565" max="2566" width="7" bestFit="1" customWidth="1"/>
    <col min="2567" max="2567" width="8" bestFit="1" customWidth="1"/>
    <col min="2568" max="2568" width="7" bestFit="1" customWidth="1"/>
    <col min="2569" max="2696" width="5" bestFit="1" customWidth="1"/>
    <col min="2817" max="2817" width="19" bestFit="1" customWidth="1"/>
    <col min="2818" max="2818" width="9" bestFit="1" customWidth="1"/>
    <col min="2819" max="2819" width="45" bestFit="1" customWidth="1"/>
    <col min="2820" max="2820" width="11" bestFit="1" customWidth="1"/>
    <col min="2821" max="2822" width="7" bestFit="1" customWidth="1"/>
    <col min="2823" max="2823" width="8" bestFit="1" customWidth="1"/>
    <col min="2824" max="2824" width="7" bestFit="1" customWidth="1"/>
    <col min="2825" max="2952" width="5" bestFit="1" customWidth="1"/>
    <col min="3073" max="3073" width="19" bestFit="1" customWidth="1"/>
    <col min="3074" max="3074" width="9" bestFit="1" customWidth="1"/>
    <col min="3075" max="3075" width="45" bestFit="1" customWidth="1"/>
    <col min="3076" max="3076" width="11" bestFit="1" customWidth="1"/>
    <col min="3077" max="3078" width="7" bestFit="1" customWidth="1"/>
    <col min="3079" max="3079" width="8" bestFit="1" customWidth="1"/>
    <col min="3080" max="3080" width="7" bestFit="1" customWidth="1"/>
    <col min="3081" max="3208" width="5" bestFit="1" customWidth="1"/>
    <col min="3329" max="3329" width="19" bestFit="1" customWidth="1"/>
    <col min="3330" max="3330" width="9" bestFit="1" customWidth="1"/>
    <col min="3331" max="3331" width="45" bestFit="1" customWidth="1"/>
    <col min="3332" max="3332" width="11" bestFit="1" customWidth="1"/>
    <col min="3333" max="3334" width="7" bestFit="1" customWidth="1"/>
    <col min="3335" max="3335" width="8" bestFit="1" customWidth="1"/>
    <col min="3336" max="3336" width="7" bestFit="1" customWidth="1"/>
    <col min="3337" max="3464" width="5" bestFit="1" customWidth="1"/>
    <col min="3585" max="3585" width="19" bestFit="1" customWidth="1"/>
    <col min="3586" max="3586" width="9" bestFit="1" customWidth="1"/>
    <col min="3587" max="3587" width="45" bestFit="1" customWidth="1"/>
    <col min="3588" max="3588" width="11" bestFit="1" customWidth="1"/>
    <col min="3589" max="3590" width="7" bestFit="1" customWidth="1"/>
    <col min="3591" max="3591" width="8" bestFit="1" customWidth="1"/>
    <col min="3592" max="3592" width="7" bestFit="1" customWidth="1"/>
    <col min="3593" max="3720" width="5" bestFit="1" customWidth="1"/>
    <col min="3841" max="3841" width="19" bestFit="1" customWidth="1"/>
    <col min="3842" max="3842" width="9" bestFit="1" customWidth="1"/>
    <col min="3843" max="3843" width="45" bestFit="1" customWidth="1"/>
    <col min="3844" max="3844" width="11" bestFit="1" customWidth="1"/>
    <col min="3845" max="3846" width="7" bestFit="1" customWidth="1"/>
    <col min="3847" max="3847" width="8" bestFit="1" customWidth="1"/>
    <col min="3848" max="3848" width="7" bestFit="1" customWidth="1"/>
    <col min="3849" max="3976" width="5" bestFit="1" customWidth="1"/>
    <col min="4097" max="4097" width="19" bestFit="1" customWidth="1"/>
    <col min="4098" max="4098" width="9" bestFit="1" customWidth="1"/>
    <col min="4099" max="4099" width="45" bestFit="1" customWidth="1"/>
    <col min="4100" max="4100" width="11" bestFit="1" customWidth="1"/>
    <col min="4101" max="4102" width="7" bestFit="1" customWidth="1"/>
    <col min="4103" max="4103" width="8" bestFit="1" customWidth="1"/>
    <col min="4104" max="4104" width="7" bestFit="1" customWidth="1"/>
    <col min="4105" max="4232" width="5" bestFit="1" customWidth="1"/>
    <col min="4353" max="4353" width="19" bestFit="1" customWidth="1"/>
    <col min="4354" max="4354" width="9" bestFit="1" customWidth="1"/>
    <col min="4355" max="4355" width="45" bestFit="1" customWidth="1"/>
    <col min="4356" max="4356" width="11" bestFit="1" customWidth="1"/>
    <col min="4357" max="4358" width="7" bestFit="1" customWidth="1"/>
    <col min="4359" max="4359" width="8" bestFit="1" customWidth="1"/>
    <col min="4360" max="4360" width="7" bestFit="1" customWidth="1"/>
    <col min="4361" max="4488" width="5" bestFit="1" customWidth="1"/>
    <col min="4609" max="4609" width="19" bestFit="1" customWidth="1"/>
    <col min="4610" max="4610" width="9" bestFit="1" customWidth="1"/>
    <col min="4611" max="4611" width="45" bestFit="1" customWidth="1"/>
    <col min="4612" max="4612" width="11" bestFit="1" customWidth="1"/>
    <col min="4613" max="4614" width="7" bestFit="1" customWidth="1"/>
    <col min="4615" max="4615" width="8" bestFit="1" customWidth="1"/>
    <col min="4616" max="4616" width="7" bestFit="1" customWidth="1"/>
    <col min="4617" max="4744" width="5" bestFit="1" customWidth="1"/>
    <col min="4865" max="4865" width="19" bestFit="1" customWidth="1"/>
    <col min="4866" max="4866" width="9" bestFit="1" customWidth="1"/>
    <col min="4867" max="4867" width="45" bestFit="1" customWidth="1"/>
    <col min="4868" max="4868" width="11" bestFit="1" customWidth="1"/>
    <col min="4869" max="4870" width="7" bestFit="1" customWidth="1"/>
    <col min="4871" max="4871" width="8" bestFit="1" customWidth="1"/>
    <col min="4872" max="4872" width="7" bestFit="1" customWidth="1"/>
    <col min="4873" max="5000" width="5" bestFit="1" customWidth="1"/>
    <col min="5121" max="5121" width="19" bestFit="1" customWidth="1"/>
    <col min="5122" max="5122" width="9" bestFit="1" customWidth="1"/>
    <col min="5123" max="5123" width="45" bestFit="1" customWidth="1"/>
    <col min="5124" max="5124" width="11" bestFit="1" customWidth="1"/>
    <col min="5125" max="5126" width="7" bestFit="1" customWidth="1"/>
    <col min="5127" max="5127" width="8" bestFit="1" customWidth="1"/>
    <col min="5128" max="5128" width="7" bestFit="1" customWidth="1"/>
    <col min="5129" max="5256" width="5" bestFit="1" customWidth="1"/>
    <col min="5377" max="5377" width="19" bestFit="1" customWidth="1"/>
    <col min="5378" max="5378" width="9" bestFit="1" customWidth="1"/>
    <col min="5379" max="5379" width="45" bestFit="1" customWidth="1"/>
    <col min="5380" max="5380" width="11" bestFit="1" customWidth="1"/>
    <col min="5381" max="5382" width="7" bestFit="1" customWidth="1"/>
    <col min="5383" max="5383" width="8" bestFit="1" customWidth="1"/>
    <col min="5384" max="5384" width="7" bestFit="1" customWidth="1"/>
    <col min="5385" max="5512" width="5" bestFit="1" customWidth="1"/>
    <col min="5633" max="5633" width="19" bestFit="1" customWidth="1"/>
    <col min="5634" max="5634" width="9" bestFit="1" customWidth="1"/>
    <col min="5635" max="5635" width="45" bestFit="1" customWidth="1"/>
    <col min="5636" max="5636" width="11" bestFit="1" customWidth="1"/>
    <col min="5637" max="5638" width="7" bestFit="1" customWidth="1"/>
    <col min="5639" max="5639" width="8" bestFit="1" customWidth="1"/>
    <col min="5640" max="5640" width="7" bestFit="1" customWidth="1"/>
    <col min="5641" max="5768" width="5" bestFit="1" customWidth="1"/>
    <col min="5889" max="5889" width="19" bestFit="1" customWidth="1"/>
    <col min="5890" max="5890" width="9" bestFit="1" customWidth="1"/>
    <col min="5891" max="5891" width="45" bestFit="1" customWidth="1"/>
    <col min="5892" max="5892" width="11" bestFit="1" customWidth="1"/>
    <col min="5893" max="5894" width="7" bestFit="1" customWidth="1"/>
    <col min="5895" max="5895" width="8" bestFit="1" customWidth="1"/>
    <col min="5896" max="5896" width="7" bestFit="1" customWidth="1"/>
    <col min="5897" max="6024" width="5" bestFit="1" customWidth="1"/>
    <col min="6145" max="6145" width="19" bestFit="1" customWidth="1"/>
    <col min="6146" max="6146" width="9" bestFit="1" customWidth="1"/>
    <col min="6147" max="6147" width="45" bestFit="1" customWidth="1"/>
    <col min="6148" max="6148" width="11" bestFit="1" customWidth="1"/>
    <col min="6149" max="6150" width="7" bestFit="1" customWidth="1"/>
    <col min="6151" max="6151" width="8" bestFit="1" customWidth="1"/>
    <col min="6152" max="6152" width="7" bestFit="1" customWidth="1"/>
    <col min="6153" max="6280" width="5" bestFit="1" customWidth="1"/>
    <col min="6401" max="6401" width="19" bestFit="1" customWidth="1"/>
    <col min="6402" max="6402" width="9" bestFit="1" customWidth="1"/>
    <col min="6403" max="6403" width="45" bestFit="1" customWidth="1"/>
    <col min="6404" max="6404" width="11" bestFit="1" customWidth="1"/>
    <col min="6405" max="6406" width="7" bestFit="1" customWidth="1"/>
    <col min="6407" max="6407" width="8" bestFit="1" customWidth="1"/>
    <col min="6408" max="6408" width="7" bestFit="1" customWidth="1"/>
    <col min="6409" max="6536" width="5" bestFit="1" customWidth="1"/>
    <col min="6657" max="6657" width="19" bestFit="1" customWidth="1"/>
    <col min="6658" max="6658" width="9" bestFit="1" customWidth="1"/>
    <col min="6659" max="6659" width="45" bestFit="1" customWidth="1"/>
    <col min="6660" max="6660" width="11" bestFit="1" customWidth="1"/>
    <col min="6661" max="6662" width="7" bestFit="1" customWidth="1"/>
    <col min="6663" max="6663" width="8" bestFit="1" customWidth="1"/>
    <col min="6664" max="6664" width="7" bestFit="1" customWidth="1"/>
    <col min="6665" max="6792" width="5" bestFit="1" customWidth="1"/>
    <col min="6913" max="6913" width="19" bestFit="1" customWidth="1"/>
    <col min="6914" max="6914" width="9" bestFit="1" customWidth="1"/>
    <col min="6915" max="6915" width="45" bestFit="1" customWidth="1"/>
    <col min="6916" max="6916" width="11" bestFit="1" customWidth="1"/>
    <col min="6917" max="6918" width="7" bestFit="1" customWidth="1"/>
    <col min="6919" max="6919" width="8" bestFit="1" customWidth="1"/>
    <col min="6920" max="6920" width="7" bestFit="1" customWidth="1"/>
    <col min="6921" max="7048" width="5" bestFit="1" customWidth="1"/>
    <col min="7169" max="7169" width="19" bestFit="1" customWidth="1"/>
    <col min="7170" max="7170" width="9" bestFit="1" customWidth="1"/>
    <col min="7171" max="7171" width="45" bestFit="1" customWidth="1"/>
    <col min="7172" max="7172" width="11" bestFit="1" customWidth="1"/>
    <col min="7173" max="7174" width="7" bestFit="1" customWidth="1"/>
    <col min="7175" max="7175" width="8" bestFit="1" customWidth="1"/>
    <col min="7176" max="7176" width="7" bestFit="1" customWidth="1"/>
    <col min="7177" max="7304" width="5" bestFit="1" customWidth="1"/>
    <col min="7425" max="7425" width="19" bestFit="1" customWidth="1"/>
    <col min="7426" max="7426" width="9" bestFit="1" customWidth="1"/>
    <col min="7427" max="7427" width="45" bestFit="1" customWidth="1"/>
    <col min="7428" max="7428" width="11" bestFit="1" customWidth="1"/>
    <col min="7429" max="7430" width="7" bestFit="1" customWidth="1"/>
    <col min="7431" max="7431" width="8" bestFit="1" customWidth="1"/>
    <col min="7432" max="7432" width="7" bestFit="1" customWidth="1"/>
    <col min="7433" max="7560" width="5" bestFit="1" customWidth="1"/>
    <col min="7681" max="7681" width="19" bestFit="1" customWidth="1"/>
    <col min="7682" max="7682" width="9" bestFit="1" customWidth="1"/>
    <col min="7683" max="7683" width="45" bestFit="1" customWidth="1"/>
    <col min="7684" max="7684" width="11" bestFit="1" customWidth="1"/>
    <col min="7685" max="7686" width="7" bestFit="1" customWidth="1"/>
    <col min="7687" max="7687" width="8" bestFit="1" customWidth="1"/>
    <col min="7688" max="7688" width="7" bestFit="1" customWidth="1"/>
    <col min="7689" max="7816" width="5" bestFit="1" customWidth="1"/>
    <col min="7937" max="7937" width="19" bestFit="1" customWidth="1"/>
    <col min="7938" max="7938" width="9" bestFit="1" customWidth="1"/>
    <col min="7939" max="7939" width="45" bestFit="1" customWidth="1"/>
    <col min="7940" max="7940" width="11" bestFit="1" customWidth="1"/>
    <col min="7941" max="7942" width="7" bestFit="1" customWidth="1"/>
    <col min="7943" max="7943" width="8" bestFit="1" customWidth="1"/>
    <col min="7944" max="7944" width="7" bestFit="1" customWidth="1"/>
    <col min="7945" max="8072" width="5" bestFit="1" customWidth="1"/>
    <col min="8193" max="8193" width="19" bestFit="1" customWidth="1"/>
    <col min="8194" max="8194" width="9" bestFit="1" customWidth="1"/>
    <col min="8195" max="8195" width="45" bestFit="1" customWidth="1"/>
    <col min="8196" max="8196" width="11" bestFit="1" customWidth="1"/>
    <col min="8197" max="8198" width="7" bestFit="1" customWidth="1"/>
    <col min="8199" max="8199" width="8" bestFit="1" customWidth="1"/>
    <col min="8200" max="8200" width="7" bestFit="1" customWidth="1"/>
    <col min="8201" max="8328" width="5" bestFit="1" customWidth="1"/>
    <col min="8449" max="8449" width="19" bestFit="1" customWidth="1"/>
    <col min="8450" max="8450" width="9" bestFit="1" customWidth="1"/>
    <col min="8451" max="8451" width="45" bestFit="1" customWidth="1"/>
    <col min="8452" max="8452" width="11" bestFit="1" customWidth="1"/>
    <col min="8453" max="8454" width="7" bestFit="1" customWidth="1"/>
    <col min="8455" max="8455" width="8" bestFit="1" customWidth="1"/>
    <col min="8456" max="8456" width="7" bestFit="1" customWidth="1"/>
    <col min="8457" max="8584" width="5" bestFit="1" customWidth="1"/>
    <col min="8705" max="8705" width="19" bestFit="1" customWidth="1"/>
    <col min="8706" max="8706" width="9" bestFit="1" customWidth="1"/>
    <col min="8707" max="8707" width="45" bestFit="1" customWidth="1"/>
    <col min="8708" max="8708" width="11" bestFit="1" customWidth="1"/>
    <col min="8709" max="8710" width="7" bestFit="1" customWidth="1"/>
    <col min="8711" max="8711" width="8" bestFit="1" customWidth="1"/>
    <col min="8712" max="8712" width="7" bestFit="1" customWidth="1"/>
    <col min="8713" max="8840" width="5" bestFit="1" customWidth="1"/>
    <col min="8961" max="8961" width="19" bestFit="1" customWidth="1"/>
    <col min="8962" max="8962" width="9" bestFit="1" customWidth="1"/>
    <col min="8963" max="8963" width="45" bestFit="1" customWidth="1"/>
    <col min="8964" max="8964" width="11" bestFit="1" customWidth="1"/>
    <col min="8965" max="8966" width="7" bestFit="1" customWidth="1"/>
    <col min="8967" max="8967" width="8" bestFit="1" customWidth="1"/>
    <col min="8968" max="8968" width="7" bestFit="1" customWidth="1"/>
    <col min="8969" max="9096" width="5" bestFit="1" customWidth="1"/>
    <col min="9217" max="9217" width="19" bestFit="1" customWidth="1"/>
    <col min="9218" max="9218" width="9" bestFit="1" customWidth="1"/>
    <col min="9219" max="9219" width="45" bestFit="1" customWidth="1"/>
    <col min="9220" max="9220" width="11" bestFit="1" customWidth="1"/>
    <col min="9221" max="9222" width="7" bestFit="1" customWidth="1"/>
    <col min="9223" max="9223" width="8" bestFit="1" customWidth="1"/>
    <col min="9224" max="9224" width="7" bestFit="1" customWidth="1"/>
    <col min="9225" max="9352" width="5" bestFit="1" customWidth="1"/>
    <col min="9473" max="9473" width="19" bestFit="1" customWidth="1"/>
    <col min="9474" max="9474" width="9" bestFit="1" customWidth="1"/>
    <col min="9475" max="9475" width="45" bestFit="1" customWidth="1"/>
    <col min="9476" max="9476" width="11" bestFit="1" customWidth="1"/>
    <col min="9477" max="9478" width="7" bestFit="1" customWidth="1"/>
    <col min="9479" max="9479" width="8" bestFit="1" customWidth="1"/>
    <col min="9480" max="9480" width="7" bestFit="1" customWidth="1"/>
    <col min="9481" max="9608" width="5" bestFit="1" customWidth="1"/>
    <col min="9729" max="9729" width="19" bestFit="1" customWidth="1"/>
    <col min="9730" max="9730" width="9" bestFit="1" customWidth="1"/>
    <col min="9731" max="9731" width="45" bestFit="1" customWidth="1"/>
    <col min="9732" max="9732" width="11" bestFit="1" customWidth="1"/>
    <col min="9733" max="9734" width="7" bestFit="1" customWidth="1"/>
    <col min="9735" max="9735" width="8" bestFit="1" customWidth="1"/>
    <col min="9736" max="9736" width="7" bestFit="1" customWidth="1"/>
    <col min="9737" max="9864" width="5" bestFit="1" customWidth="1"/>
    <col min="9985" max="9985" width="19" bestFit="1" customWidth="1"/>
    <col min="9986" max="9986" width="9" bestFit="1" customWidth="1"/>
    <col min="9987" max="9987" width="45" bestFit="1" customWidth="1"/>
    <col min="9988" max="9988" width="11" bestFit="1" customWidth="1"/>
    <col min="9989" max="9990" width="7" bestFit="1" customWidth="1"/>
    <col min="9991" max="9991" width="8" bestFit="1" customWidth="1"/>
    <col min="9992" max="9992" width="7" bestFit="1" customWidth="1"/>
    <col min="9993" max="10120" width="5" bestFit="1" customWidth="1"/>
    <col min="10241" max="10241" width="19" bestFit="1" customWidth="1"/>
    <col min="10242" max="10242" width="9" bestFit="1" customWidth="1"/>
    <col min="10243" max="10243" width="45" bestFit="1" customWidth="1"/>
    <col min="10244" max="10244" width="11" bestFit="1" customWidth="1"/>
    <col min="10245" max="10246" width="7" bestFit="1" customWidth="1"/>
    <col min="10247" max="10247" width="8" bestFit="1" customWidth="1"/>
    <col min="10248" max="10248" width="7" bestFit="1" customWidth="1"/>
    <col min="10249" max="10376" width="5" bestFit="1" customWidth="1"/>
    <col min="10497" max="10497" width="19" bestFit="1" customWidth="1"/>
    <col min="10498" max="10498" width="9" bestFit="1" customWidth="1"/>
    <col min="10499" max="10499" width="45" bestFit="1" customWidth="1"/>
    <col min="10500" max="10500" width="11" bestFit="1" customWidth="1"/>
    <col min="10501" max="10502" width="7" bestFit="1" customWidth="1"/>
    <col min="10503" max="10503" width="8" bestFit="1" customWidth="1"/>
    <col min="10504" max="10504" width="7" bestFit="1" customWidth="1"/>
    <col min="10505" max="10632" width="5" bestFit="1" customWidth="1"/>
    <col min="10753" max="10753" width="19" bestFit="1" customWidth="1"/>
    <col min="10754" max="10754" width="9" bestFit="1" customWidth="1"/>
    <col min="10755" max="10755" width="45" bestFit="1" customWidth="1"/>
    <col min="10756" max="10756" width="11" bestFit="1" customWidth="1"/>
    <col min="10757" max="10758" width="7" bestFit="1" customWidth="1"/>
    <col min="10759" max="10759" width="8" bestFit="1" customWidth="1"/>
    <col min="10760" max="10760" width="7" bestFit="1" customWidth="1"/>
    <col min="10761" max="10888" width="5" bestFit="1" customWidth="1"/>
    <col min="11009" max="11009" width="19" bestFit="1" customWidth="1"/>
    <col min="11010" max="11010" width="9" bestFit="1" customWidth="1"/>
    <col min="11011" max="11011" width="45" bestFit="1" customWidth="1"/>
    <col min="11012" max="11012" width="11" bestFit="1" customWidth="1"/>
    <col min="11013" max="11014" width="7" bestFit="1" customWidth="1"/>
    <col min="11015" max="11015" width="8" bestFit="1" customWidth="1"/>
    <col min="11016" max="11016" width="7" bestFit="1" customWidth="1"/>
    <col min="11017" max="11144" width="5" bestFit="1" customWidth="1"/>
    <col min="11265" max="11265" width="19" bestFit="1" customWidth="1"/>
    <col min="11266" max="11266" width="9" bestFit="1" customWidth="1"/>
    <col min="11267" max="11267" width="45" bestFit="1" customWidth="1"/>
    <col min="11268" max="11268" width="11" bestFit="1" customWidth="1"/>
    <col min="11269" max="11270" width="7" bestFit="1" customWidth="1"/>
    <col min="11271" max="11271" width="8" bestFit="1" customWidth="1"/>
    <col min="11272" max="11272" width="7" bestFit="1" customWidth="1"/>
    <col min="11273" max="11400" width="5" bestFit="1" customWidth="1"/>
    <col min="11521" max="11521" width="19" bestFit="1" customWidth="1"/>
    <col min="11522" max="11522" width="9" bestFit="1" customWidth="1"/>
    <col min="11523" max="11523" width="45" bestFit="1" customWidth="1"/>
    <col min="11524" max="11524" width="11" bestFit="1" customWidth="1"/>
    <col min="11525" max="11526" width="7" bestFit="1" customWidth="1"/>
    <col min="11527" max="11527" width="8" bestFit="1" customWidth="1"/>
    <col min="11528" max="11528" width="7" bestFit="1" customWidth="1"/>
    <col min="11529" max="11656" width="5" bestFit="1" customWidth="1"/>
    <col min="11777" max="11777" width="19" bestFit="1" customWidth="1"/>
    <col min="11778" max="11778" width="9" bestFit="1" customWidth="1"/>
    <col min="11779" max="11779" width="45" bestFit="1" customWidth="1"/>
    <col min="11780" max="11780" width="11" bestFit="1" customWidth="1"/>
    <col min="11781" max="11782" width="7" bestFit="1" customWidth="1"/>
    <col min="11783" max="11783" width="8" bestFit="1" customWidth="1"/>
    <col min="11784" max="11784" width="7" bestFit="1" customWidth="1"/>
    <col min="11785" max="11912" width="5" bestFit="1" customWidth="1"/>
    <col min="12033" max="12033" width="19" bestFit="1" customWidth="1"/>
    <col min="12034" max="12034" width="9" bestFit="1" customWidth="1"/>
    <col min="12035" max="12035" width="45" bestFit="1" customWidth="1"/>
    <col min="12036" max="12036" width="11" bestFit="1" customWidth="1"/>
    <col min="12037" max="12038" width="7" bestFit="1" customWidth="1"/>
    <col min="12039" max="12039" width="8" bestFit="1" customWidth="1"/>
    <col min="12040" max="12040" width="7" bestFit="1" customWidth="1"/>
    <col min="12041" max="12168" width="5" bestFit="1" customWidth="1"/>
    <col min="12289" max="12289" width="19" bestFit="1" customWidth="1"/>
    <col min="12290" max="12290" width="9" bestFit="1" customWidth="1"/>
    <col min="12291" max="12291" width="45" bestFit="1" customWidth="1"/>
    <col min="12292" max="12292" width="11" bestFit="1" customWidth="1"/>
    <col min="12293" max="12294" width="7" bestFit="1" customWidth="1"/>
    <col min="12295" max="12295" width="8" bestFit="1" customWidth="1"/>
    <col min="12296" max="12296" width="7" bestFit="1" customWidth="1"/>
    <col min="12297" max="12424" width="5" bestFit="1" customWidth="1"/>
    <col min="12545" max="12545" width="19" bestFit="1" customWidth="1"/>
    <col min="12546" max="12546" width="9" bestFit="1" customWidth="1"/>
    <col min="12547" max="12547" width="45" bestFit="1" customWidth="1"/>
    <col min="12548" max="12548" width="11" bestFit="1" customWidth="1"/>
    <col min="12549" max="12550" width="7" bestFit="1" customWidth="1"/>
    <col min="12551" max="12551" width="8" bestFit="1" customWidth="1"/>
    <col min="12552" max="12552" width="7" bestFit="1" customWidth="1"/>
    <col min="12553" max="12680" width="5" bestFit="1" customWidth="1"/>
    <col min="12801" max="12801" width="19" bestFit="1" customWidth="1"/>
    <col min="12802" max="12802" width="9" bestFit="1" customWidth="1"/>
    <col min="12803" max="12803" width="45" bestFit="1" customWidth="1"/>
    <col min="12804" max="12804" width="11" bestFit="1" customWidth="1"/>
    <col min="12805" max="12806" width="7" bestFit="1" customWidth="1"/>
    <col min="12807" max="12807" width="8" bestFit="1" customWidth="1"/>
    <col min="12808" max="12808" width="7" bestFit="1" customWidth="1"/>
    <col min="12809" max="12936" width="5" bestFit="1" customWidth="1"/>
    <col min="13057" max="13057" width="19" bestFit="1" customWidth="1"/>
    <col min="13058" max="13058" width="9" bestFit="1" customWidth="1"/>
    <col min="13059" max="13059" width="45" bestFit="1" customWidth="1"/>
    <col min="13060" max="13060" width="11" bestFit="1" customWidth="1"/>
    <col min="13061" max="13062" width="7" bestFit="1" customWidth="1"/>
    <col min="13063" max="13063" width="8" bestFit="1" customWidth="1"/>
    <col min="13064" max="13064" width="7" bestFit="1" customWidth="1"/>
    <col min="13065" max="13192" width="5" bestFit="1" customWidth="1"/>
    <col min="13313" max="13313" width="19" bestFit="1" customWidth="1"/>
    <col min="13314" max="13314" width="9" bestFit="1" customWidth="1"/>
    <col min="13315" max="13315" width="45" bestFit="1" customWidth="1"/>
    <col min="13316" max="13316" width="11" bestFit="1" customWidth="1"/>
    <col min="13317" max="13318" width="7" bestFit="1" customWidth="1"/>
    <col min="13319" max="13319" width="8" bestFit="1" customWidth="1"/>
    <col min="13320" max="13320" width="7" bestFit="1" customWidth="1"/>
    <col min="13321" max="13448" width="5" bestFit="1" customWidth="1"/>
    <col min="13569" max="13569" width="19" bestFit="1" customWidth="1"/>
    <col min="13570" max="13570" width="9" bestFit="1" customWidth="1"/>
    <col min="13571" max="13571" width="45" bestFit="1" customWidth="1"/>
    <col min="13572" max="13572" width="11" bestFit="1" customWidth="1"/>
    <col min="13573" max="13574" width="7" bestFit="1" customWidth="1"/>
    <col min="13575" max="13575" width="8" bestFit="1" customWidth="1"/>
    <col min="13576" max="13576" width="7" bestFit="1" customWidth="1"/>
    <col min="13577" max="13704" width="5" bestFit="1" customWidth="1"/>
    <col min="13825" max="13825" width="19" bestFit="1" customWidth="1"/>
    <col min="13826" max="13826" width="9" bestFit="1" customWidth="1"/>
    <col min="13827" max="13827" width="45" bestFit="1" customWidth="1"/>
    <col min="13828" max="13828" width="11" bestFit="1" customWidth="1"/>
    <col min="13829" max="13830" width="7" bestFit="1" customWidth="1"/>
    <col min="13831" max="13831" width="8" bestFit="1" customWidth="1"/>
    <col min="13832" max="13832" width="7" bestFit="1" customWidth="1"/>
    <col min="13833" max="13960" width="5" bestFit="1" customWidth="1"/>
    <col min="14081" max="14081" width="19" bestFit="1" customWidth="1"/>
    <col min="14082" max="14082" width="9" bestFit="1" customWidth="1"/>
    <col min="14083" max="14083" width="45" bestFit="1" customWidth="1"/>
    <col min="14084" max="14084" width="11" bestFit="1" customWidth="1"/>
    <col min="14085" max="14086" width="7" bestFit="1" customWidth="1"/>
    <col min="14087" max="14087" width="8" bestFit="1" customWidth="1"/>
    <col min="14088" max="14088" width="7" bestFit="1" customWidth="1"/>
    <col min="14089" max="14216" width="5" bestFit="1" customWidth="1"/>
    <col min="14337" max="14337" width="19" bestFit="1" customWidth="1"/>
    <col min="14338" max="14338" width="9" bestFit="1" customWidth="1"/>
    <col min="14339" max="14339" width="45" bestFit="1" customWidth="1"/>
    <col min="14340" max="14340" width="11" bestFit="1" customWidth="1"/>
    <col min="14341" max="14342" width="7" bestFit="1" customWidth="1"/>
    <col min="14343" max="14343" width="8" bestFit="1" customWidth="1"/>
    <col min="14344" max="14344" width="7" bestFit="1" customWidth="1"/>
    <col min="14345" max="14472" width="5" bestFit="1" customWidth="1"/>
    <col min="14593" max="14593" width="19" bestFit="1" customWidth="1"/>
    <col min="14594" max="14594" width="9" bestFit="1" customWidth="1"/>
    <col min="14595" max="14595" width="45" bestFit="1" customWidth="1"/>
    <col min="14596" max="14596" width="11" bestFit="1" customWidth="1"/>
    <col min="14597" max="14598" width="7" bestFit="1" customWidth="1"/>
    <col min="14599" max="14599" width="8" bestFit="1" customWidth="1"/>
    <col min="14600" max="14600" width="7" bestFit="1" customWidth="1"/>
    <col min="14601" max="14728" width="5" bestFit="1" customWidth="1"/>
    <col min="14849" max="14849" width="19" bestFit="1" customWidth="1"/>
    <col min="14850" max="14850" width="9" bestFit="1" customWidth="1"/>
    <col min="14851" max="14851" width="45" bestFit="1" customWidth="1"/>
    <col min="14852" max="14852" width="11" bestFit="1" customWidth="1"/>
    <col min="14853" max="14854" width="7" bestFit="1" customWidth="1"/>
    <col min="14855" max="14855" width="8" bestFit="1" customWidth="1"/>
    <col min="14856" max="14856" width="7" bestFit="1" customWidth="1"/>
    <col min="14857" max="14984" width="5" bestFit="1" customWidth="1"/>
    <col min="15105" max="15105" width="19" bestFit="1" customWidth="1"/>
    <col min="15106" max="15106" width="9" bestFit="1" customWidth="1"/>
    <col min="15107" max="15107" width="45" bestFit="1" customWidth="1"/>
    <col min="15108" max="15108" width="11" bestFit="1" customWidth="1"/>
    <col min="15109" max="15110" width="7" bestFit="1" customWidth="1"/>
    <col min="15111" max="15111" width="8" bestFit="1" customWidth="1"/>
    <col min="15112" max="15112" width="7" bestFit="1" customWidth="1"/>
    <col min="15113" max="15240" width="5" bestFit="1" customWidth="1"/>
    <col min="15361" max="15361" width="19" bestFit="1" customWidth="1"/>
    <col min="15362" max="15362" width="9" bestFit="1" customWidth="1"/>
    <col min="15363" max="15363" width="45" bestFit="1" customWidth="1"/>
    <col min="15364" max="15364" width="11" bestFit="1" customWidth="1"/>
    <col min="15365" max="15366" width="7" bestFit="1" customWidth="1"/>
    <col min="15367" max="15367" width="8" bestFit="1" customWidth="1"/>
    <col min="15368" max="15368" width="7" bestFit="1" customWidth="1"/>
    <col min="15369" max="15496" width="5" bestFit="1" customWidth="1"/>
    <col min="15617" max="15617" width="19" bestFit="1" customWidth="1"/>
    <col min="15618" max="15618" width="9" bestFit="1" customWidth="1"/>
    <col min="15619" max="15619" width="45" bestFit="1" customWidth="1"/>
    <col min="15620" max="15620" width="11" bestFit="1" customWidth="1"/>
    <col min="15621" max="15622" width="7" bestFit="1" customWidth="1"/>
    <col min="15623" max="15623" width="8" bestFit="1" customWidth="1"/>
    <col min="15624" max="15624" width="7" bestFit="1" customWidth="1"/>
    <col min="15625" max="15752" width="5" bestFit="1" customWidth="1"/>
    <col min="15873" max="15873" width="19" bestFit="1" customWidth="1"/>
    <col min="15874" max="15874" width="9" bestFit="1" customWidth="1"/>
    <col min="15875" max="15875" width="45" bestFit="1" customWidth="1"/>
    <col min="15876" max="15876" width="11" bestFit="1" customWidth="1"/>
    <col min="15877" max="15878" width="7" bestFit="1" customWidth="1"/>
    <col min="15879" max="15879" width="8" bestFit="1" customWidth="1"/>
    <col min="15880" max="15880" width="7" bestFit="1" customWidth="1"/>
    <col min="15881" max="16008" width="5" bestFit="1" customWidth="1"/>
    <col min="16129" max="16129" width="19" bestFit="1" customWidth="1"/>
    <col min="16130" max="16130" width="9" bestFit="1" customWidth="1"/>
    <col min="16131" max="16131" width="45" bestFit="1" customWidth="1"/>
    <col min="16132" max="16132" width="11" bestFit="1" customWidth="1"/>
    <col min="16133" max="16134" width="7" bestFit="1" customWidth="1"/>
    <col min="16135" max="16135" width="8" bestFit="1" customWidth="1"/>
    <col min="16136" max="16136" width="7" bestFit="1" customWidth="1"/>
    <col min="16137" max="16264" width="5" bestFit="1" customWidth="1"/>
  </cols>
  <sheetData>
    <row r="1" spans="1:139" x14ac:dyDescent="0.3">
      <c r="A1" s="200" t="s">
        <v>266</v>
      </c>
      <c r="B1" s="199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  <c r="CI1" s="94"/>
      <c r="CJ1" s="94"/>
      <c r="CK1" s="94"/>
      <c r="CL1" s="94"/>
      <c r="CM1" s="94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94"/>
      <c r="CY1" s="94"/>
      <c r="CZ1" s="94"/>
      <c r="DA1" s="94"/>
      <c r="DB1" s="94"/>
      <c r="DC1" s="94"/>
      <c r="DD1" s="94"/>
      <c r="DE1" s="94"/>
      <c r="DF1" s="94"/>
      <c r="DG1" s="94"/>
      <c r="DH1" s="94"/>
      <c r="DI1" s="94"/>
      <c r="DJ1" s="94"/>
      <c r="DK1" s="94"/>
      <c r="DL1" s="94"/>
      <c r="DM1" s="94"/>
      <c r="DN1" s="94"/>
      <c r="DO1" s="94"/>
      <c r="DP1" s="94"/>
      <c r="DQ1" s="94"/>
      <c r="DR1" s="94"/>
      <c r="DS1" s="94"/>
      <c r="DT1" s="94"/>
      <c r="DU1" s="94"/>
      <c r="DV1" s="94"/>
      <c r="DW1" s="94"/>
      <c r="DX1" s="94"/>
      <c r="DY1" s="94"/>
      <c r="DZ1" s="94"/>
      <c r="EA1" s="94"/>
      <c r="EB1" s="94"/>
      <c r="EC1" s="94"/>
      <c r="ED1" s="94"/>
      <c r="EE1" s="94"/>
      <c r="EF1" s="94"/>
    </row>
    <row r="2" spans="1:139" x14ac:dyDescent="0.3">
      <c r="A2" s="201" t="s">
        <v>273</v>
      </c>
      <c r="B2" s="202" t="s">
        <v>347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4"/>
      <c r="DL2" s="94"/>
      <c r="DM2" s="94"/>
      <c r="DN2" s="94"/>
      <c r="DO2" s="94"/>
      <c r="DP2" s="94"/>
      <c r="DQ2" s="94"/>
      <c r="DR2" s="94"/>
      <c r="DS2" s="94"/>
      <c r="DT2" s="94"/>
      <c r="DU2" s="94"/>
      <c r="DV2" s="94"/>
      <c r="DW2" s="94"/>
      <c r="DX2" s="94"/>
      <c r="DY2" s="94"/>
      <c r="DZ2" s="94"/>
      <c r="EA2" s="94"/>
      <c r="EB2" s="94"/>
      <c r="EC2" s="94"/>
      <c r="ED2" s="94"/>
      <c r="EE2" s="94"/>
      <c r="EF2" s="94"/>
    </row>
    <row r="3" spans="1:139" x14ac:dyDescent="0.3">
      <c r="A3" s="201" t="s">
        <v>275</v>
      </c>
      <c r="B3" s="202" t="s">
        <v>337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</row>
    <row r="4" spans="1:139" x14ac:dyDescent="0.3">
      <c r="A4" s="201" t="s">
        <v>277</v>
      </c>
      <c r="B4" s="202">
        <v>202506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3"/>
      <c r="CP4" s="113"/>
      <c r="CQ4" s="113"/>
      <c r="CR4" s="113"/>
      <c r="CS4" s="113"/>
      <c r="CT4" s="113"/>
      <c r="CU4" s="113"/>
      <c r="CV4" s="113"/>
      <c r="CW4" s="113"/>
      <c r="CX4" s="113"/>
      <c r="CY4" s="113"/>
      <c r="CZ4" s="113"/>
      <c r="DA4" s="113"/>
      <c r="DB4" s="113"/>
      <c r="DC4" s="113"/>
      <c r="DD4" s="113"/>
      <c r="DE4" s="113"/>
      <c r="DF4" s="113"/>
      <c r="DG4" s="113"/>
      <c r="DH4" s="113"/>
      <c r="DI4" s="113"/>
      <c r="DJ4" s="113"/>
      <c r="DK4" s="113"/>
      <c r="DL4" s="113"/>
      <c r="DM4" s="113"/>
      <c r="DN4" s="113"/>
      <c r="DO4" s="113"/>
      <c r="DP4" s="113"/>
      <c r="DQ4" s="113"/>
      <c r="DR4" s="113"/>
      <c r="DS4" s="113"/>
      <c r="DT4" s="113"/>
      <c r="DU4" s="113"/>
      <c r="DV4" s="113"/>
      <c r="DW4" s="113"/>
      <c r="DX4" s="113"/>
      <c r="DY4" s="113"/>
      <c r="DZ4" s="113"/>
      <c r="EA4" s="113"/>
      <c r="EB4" s="113"/>
      <c r="EC4" s="113"/>
      <c r="ED4" s="113"/>
      <c r="EE4" s="113"/>
      <c r="EF4" s="113"/>
    </row>
    <row r="5" spans="1:139" x14ac:dyDescent="0.3">
      <c r="A5" s="201" t="s">
        <v>279</v>
      </c>
      <c r="B5" s="202" t="s">
        <v>339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  <c r="CN5" s="113"/>
      <c r="CO5" s="113"/>
      <c r="CP5" s="113"/>
      <c r="CQ5" s="113"/>
      <c r="CR5" s="113"/>
      <c r="CS5" s="113"/>
      <c r="CT5" s="113"/>
      <c r="CU5" s="113"/>
      <c r="CV5" s="113"/>
      <c r="CW5" s="113"/>
      <c r="CX5" s="113"/>
      <c r="CY5" s="113"/>
      <c r="CZ5" s="113"/>
      <c r="DA5" s="113"/>
      <c r="DB5" s="113"/>
      <c r="DC5" s="113"/>
      <c r="DD5" s="113"/>
      <c r="DE5" s="113"/>
      <c r="DF5" s="113"/>
      <c r="DG5" s="113"/>
      <c r="DH5" s="113"/>
      <c r="DI5" s="113"/>
      <c r="DJ5" s="113"/>
      <c r="DK5" s="113"/>
      <c r="DL5" s="113"/>
      <c r="DM5" s="113"/>
      <c r="DN5" s="113"/>
      <c r="DO5" s="113"/>
      <c r="DP5" s="113"/>
      <c r="DQ5" s="113"/>
      <c r="DR5" s="113"/>
      <c r="DS5" s="113"/>
      <c r="DT5" s="113"/>
      <c r="DU5" s="113"/>
      <c r="DV5" s="113"/>
      <c r="DW5" s="113"/>
      <c r="DX5" s="113"/>
      <c r="DY5" s="113"/>
      <c r="DZ5" s="113"/>
      <c r="EA5" s="113"/>
      <c r="EB5" s="113"/>
      <c r="EC5" s="113"/>
      <c r="ED5" s="113"/>
      <c r="EE5" s="113"/>
      <c r="EF5" s="113"/>
    </row>
    <row r="6" spans="1:139" x14ac:dyDescent="0.3">
      <c r="A6" s="201" t="s">
        <v>281</v>
      </c>
      <c r="B6" s="202" t="s">
        <v>282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3"/>
      <c r="CU6" s="113"/>
      <c r="CV6" s="113"/>
      <c r="CW6" s="113"/>
      <c r="CX6" s="113"/>
      <c r="CY6" s="113"/>
      <c r="CZ6" s="113"/>
      <c r="DA6" s="113"/>
      <c r="DB6" s="113"/>
      <c r="DC6" s="113"/>
      <c r="DD6" s="113"/>
      <c r="DE6" s="113"/>
      <c r="DF6" s="113"/>
      <c r="DG6" s="113"/>
      <c r="DH6" s="113"/>
      <c r="DI6" s="113"/>
      <c r="DJ6" s="113"/>
      <c r="DK6" s="113"/>
      <c r="DL6" s="113"/>
      <c r="DM6" s="113"/>
      <c r="DN6" s="113"/>
      <c r="DO6" s="113"/>
      <c r="DP6" s="113"/>
      <c r="DQ6" s="113"/>
      <c r="DR6" s="113"/>
      <c r="DS6" s="113"/>
      <c r="DT6" s="113"/>
      <c r="DU6" s="113"/>
      <c r="DV6" s="113"/>
      <c r="DW6" s="113"/>
      <c r="DX6" s="113"/>
      <c r="DY6" s="113"/>
      <c r="DZ6" s="113"/>
      <c r="EA6" s="113"/>
      <c r="EB6" s="113"/>
      <c r="EC6" s="113"/>
      <c r="ED6" s="113"/>
      <c r="EE6" s="113"/>
      <c r="EF6" s="113"/>
    </row>
    <row r="7" spans="1:139" x14ac:dyDescent="0.3">
      <c r="A7" s="201" t="s">
        <v>283</v>
      </c>
      <c r="B7" s="202" t="s">
        <v>284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3"/>
      <c r="CP7" s="113"/>
      <c r="CQ7" s="113"/>
      <c r="CR7" s="113"/>
      <c r="CS7" s="113"/>
      <c r="CT7" s="113"/>
      <c r="CU7" s="113"/>
      <c r="CV7" s="113"/>
      <c r="CW7" s="113"/>
      <c r="CX7" s="113"/>
      <c r="CY7" s="113"/>
      <c r="CZ7" s="113"/>
      <c r="DA7" s="113"/>
      <c r="DB7" s="113"/>
      <c r="DC7" s="113"/>
      <c r="DD7" s="113"/>
      <c r="DE7" s="113"/>
      <c r="DF7" s="113"/>
      <c r="DG7" s="113"/>
      <c r="DH7" s="113"/>
      <c r="DI7" s="113"/>
      <c r="DJ7" s="113"/>
      <c r="DK7" s="113"/>
      <c r="DL7" s="113"/>
      <c r="DM7" s="113"/>
      <c r="DN7" s="113"/>
      <c r="DO7" s="113"/>
      <c r="DP7" s="113"/>
      <c r="DQ7" s="113"/>
      <c r="DR7" s="113"/>
      <c r="DS7" s="113"/>
      <c r="DT7" s="113"/>
      <c r="DU7" s="113"/>
      <c r="DV7" s="113"/>
      <c r="DW7" s="113"/>
      <c r="DX7" s="113"/>
      <c r="DY7" s="113"/>
      <c r="DZ7" s="113"/>
      <c r="EA7" s="113"/>
      <c r="EB7" s="113"/>
      <c r="EC7" s="113"/>
      <c r="ED7" s="113"/>
      <c r="EE7" s="113"/>
      <c r="EF7" s="113"/>
    </row>
    <row r="8" spans="1:139" x14ac:dyDescent="0.3">
      <c r="A8" s="201" t="s">
        <v>285</v>
      </c>
      <c r="B8" s="202" t="s">
        <v>286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3"/>
      <c r="DY8" s="113"/>
      <c r="DZ8" s="113"/>
      <c r="EA8" s="113"/>
      <c r="EB8" s="113"/>
      <c r="EC8" s="113"/>
      <c r="ED8" s="113"/>
      <c r="EE8" s="113"/>
      <c r="EF8" s="113"/>
    </row>
    <row r="9" spans="1:139" x14ac:dyDescent="0.3">
      <c r="A9" s="201" t="s">
        <v>287</v>
      </c>
      <c r="B9" s="133" t="s">
        <v>288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3"/>
      <c r="DY9" s="113"/>
      <c r="DZ9" s="113"/>
      <c r="EA9" s="113"/>
      <c r="EB9" s="113"/>
      <c r="EC9" s="113"/>
      <c r="ED9" s="113"/>
      <c r="EE9" s="113"/>
      <c r="EF9" s="113"/>
    </row>
    <row r="10" spans="1:139" x14ac:dyDescent="0.3">
      <c r="A10" s="201" t="s">
        <v>289</v>
      </c>
      <c r="B10" s="199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13"/>
      <c r="DK10" s="113"/>
      <c r="DL10" s="113"/>
      <c r="DM10" s="113"/>
      <c r="DN10" s="113"/>
      <c r="DO10" s="113"/>
      <c r="DP10" s="113"/>
      <c r="DQ10" s="113"/>
      <c r="DR10" s="113"/>
      <c r="DS10" s="113"/>
      <c r="DT10" s="113"/>
      <c r="DU10" s="113"/>
      <c r="DV10" s="113"/>
      <c r="DW10" s="113"/>
      <c r="DX10" s="113"/>
      <c r="DY10" s="113"/>
      <c r="DZ10" s="113"/>
      <c r="EA10" s="113"/>
      <c r="EB10" s="113"/>
      <c r="EC10" s="113"/>
      <c r="ED10" s="113"/>
      <c r="EE10" s="113"/>
      <c r="EF10" s="113"/>
    </row>
    <row r="11" spans="1:139" x14ac:dyDescent="0.3">
      <c r="A11" s="200" t="s">
        <v>290</v>
      </c>
      <c r="B11" s="199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13"/>
      <c r="CP11" s="113"/>
      <c r="CQ11" s="113"/>
      <c r="CR11" s="113"/>
      <c r="CS11" s="113"/>
      <c r="CT11" s="113"/>
      <c r="CU11" s="113"/>
      <c r="CV11" s="113"/>
      <c r="CW11" s="113"/>
      <c r="CX11" s="113"/>
      <c r="CY11" s="113"/>
      <c r="CZ11" s="113"/>
      <c r="DA11" s="113"/>
      <c r="DB11" s="113"/>
      <c r="DC11" s="113"/>
      <c r="DD11" s="113"/>
      <c r="DE11" s="113"/>
      <c r="DF11" s="113"/>
      <c r="DG11" s="113"/>
      <c r="DH11" s="113"/>
      <c r="DI11" s="113"/>
      <c r="DJ11" s="113"/>
      <c r="DK11" s="113"/>
      <c r="DL11" s="113"/>
      <c r="DM11" s="113"/>
      <c r="DN11" s="113"/>
      <c r="DO11" s="113"/>
      <c r="DP11" s="113"/>
      <c r="DQ11" s="113"/>
      <c r="DR11" s="113"/>
      <c r="DS11" s="113"/>
      <c r="DT11" s="113"/>
      <c r="DU11" s="113"/>
      <c r="DV11" s="113"/>
      <c r="DW11" s="113"/>
      <c r="DX11" s="113"/>
      <c r="DY11" s="113"/>
      <c r="DZ11" s="113"/>
      <c r="EA11" s="113"/>
      <c r="EB11" s="113"/>
      <c r="EC11" s="113"/>
      <c r="ED11" s="113"/>
      <c r="EE11" s="113"/>
      <c r="EF11" s="113"/>
    </row>
    <row r="12" spans="1:139" x14ac:dyDescent="0.3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4" t="s">
        <v>291</v>
      </c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4" t="s">
        <v>140</v>
      </c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4" t="s">
        <v>141</v>
      </c>
      <c r="CL12" s="113"/>
      <c r="CM12" s="113"/>
      <c r="CN12" s="113"/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13"/>
      <c r="DD12" s="113"/>
      <c r="DE12" s="113"/>
      <c r="DF12" s="113"/>
      <c r="DG12" s="113"/>
      <c r="DH12" s="113"/>
      <c r="DI12" s="113"/>
      <c r="DJ12" s="113"/>
      <c r="DK12" s="113"/>
      <c r="DL12" s="113"/>
      <c r="DM12" s="113"/>
      <c r="DN12" s="113"/>
      <c r="DO12" s="113"/>
      <c r="DP12" s="113"/>
      <c r="DQ12" s="114" t="s">
        <v>142</v>
      </c>
      <c r="DR12" s="113"/>
      <c r="DS12" s="113"/>
      <c r="DT12" s="113"/>
      <c r="DU12" s="113"/>
      <c r="DV12" s="113"/>
      <c r="DW12" s="113"/>
      <c r="DX12" s="113"/>
      <c r="DY12" s="113"/>
      <c r="DZ12" s="113"/>
      <c r="EA12" s="113"/>
      <c r="EB12" s="113"/>
      <c r="EC12" s="113"/>
      <c r="ED12" s="113"/>
      <c r="EE12" s="113"/>
      <c r="EF12" s="113"/>
    </row>
    <row r="13" spans="1:139" x14ac:dyDescent="0.3">
      <c r="A13" s="127" t="s">
        <v>292</v>
      </c>
      <c r="B13" s="127" t="s">
        <v>293</v>
      </c>
      <c r="C13" s="127" t="s">
        <v>294</v>
      </c>
      <c r="D13" s="127" t="s">
        <v>295</v>
      </c>
      <c r="E13" s="127" t="s">
        <v>296</v>
      </c>
      <c r="F13" s="127" t="s">
        <v>297</v>
      </c>
      <c r="G13" s="127" t="s">
        <v>298</v>
      </c>
      <c r="H13" s="127" t="s">
        <v>299</v>
      </c>
      <c r="I13" s="127" t="s">
        <v>300</v>
      </c>
      <c r="J13" s="127" t="s">
        <v>301</v>
      </c>
      <c r="K13" s="127" t="s">
        <v>302</v>
      </c>
      <c r="L13" s="127" t="s">
        <v>303</v>
      </c>
      <c r="M13" s="127" t="s">
        <v>304</v>
      </c>
      <c r="N13" s="127" t="s">
        <v>305</v>
      </c>
      <c r="O13" s="127" t="s">
        <v>306</v>
      </c>
      <c r="P13" s="127" t="s">
        <v>307</v>
      </c>
      <c r="Q13" s="127" t="s">
        <v>308</v>
      </c>
      <c r="R13" s="127" t="s">
        <v>309</v>
      </c>
      <c r="S13" s="127" t="s">
        <v>310</v>
      </c>
      <c r="T13" s="127" t="s">
        <v>311</v>
      </c>
      <c r="U13" s="127" t="s">
        <v>312</v>
      </c>
      <c r="V13" s="127" t="s">
        <v>313</v>
      </c>
      <c r="W13" s="127" t="s">
        <v>314</v>
      </c>
      <c r="X13" s="127" t="s">
        <v>315</v>
      </c>
      <c r="Y13" s="127" t="s">
        <v>316</v>
      </c>
      <c r="Z13" s="127" t="s">
        <v>317</v>
      </c>
      <c r="AA13" s="127" t="s">
        <v>318</v>
      </c>
      <c r="AB13" s="127" t="s">
        <v>319</v>
      </c>
      <c r="AC13" s="127" t="s">
        <v>320</v>
      </c>
      <c r="AD13" s="127" t="s">
        <v>321</v>
      </c>
      <c r="AE13" s="127" t="s">
        <v>322</v>
      </c>
      <c r="AF13" s="127" t="s">
        <v>323</v>
      </c>
      <c r="AG13" s="127" t="s">
        <v>324</v>
      </c>
      <c r="AH13" s="127" t="s">
        <v>325</v>
      </c>
      <c r="AI13" s="127" t="s">
        <v>326</v>
      </c>
      <c r="AJ13" s="127" t="s">
        <v>327</v>
      </c>
      <c r="AK13" s="127" t="s">
        <v>328</v>
      </c>
      <c r="AL13" s="127" t="s">
        <v>329</v>
      </c>
      <c r="AM13" s="127" t="s">
        <v>330</v>
      </c>
      <c r="AN13" s="127" t="s">
        <v>291</v>
      </c>
      <c r="AO13" s="127" t="s">
        <v>300</v>
      </c>
      <c r="AP13" s="127" t="s">
        <v>301</v>
      </c>
      <c r="AQ13" s="127" t="s">
        <v>302</v>
      </c>
      <c r="AR13" s="127" t="s">
        <v>303</v>
      </c>
      <c r="AS13" s="127" t="s">
        <v>304</v>
      </c>
      <c r="AT13" s="127" t="s">
        <v>305</v>
      </c>
      <c r="AU13" s="127" t="s">
        <v>306</v>
      </c>
      <c r="AV13" s="127" t="s">
        <v>307</v>
      </c>
      <c r="AW13" s="127" t="s">
        <v>308</v>
      </c>
      <c r="AX13" s="127" t="s">
        <v>309</v>
      </c>
      <c r="AY13" s="127" t="s">
        <v>310</v>
      </c>
      <c r="AZ13" s="127" t="s">
        <v>311</v>
      </c>
      <c r="BA13" s="127" t="s">
        <v>312</v>
      </c>
      <c r="BB13" s="127" t="s">
        <v>313</v>
      </c>
      <c r="BC13" s="127" t="s">
        <v>314</v>
      </c>
      <c r="BD13" s="127" t="s">
        <v>315</v>
      </c>
      <c r="BE13" s="127" t="s">
        <v>316</v>
      </c>
      <c r="BF13" s="127" t="s">
        <v>317</v>
      </c>
      <c r="BG13" s="127" t="s">
        <v>318</v>
      </c>
      <c r="BH13" s="127" t="s">
        <v>319</v>
      </c>
      <c r="BI13" s="127" t="s">
        <v>320</v>
      </c>
      <c r="BJ13" s="127" t="s">
        <v>321</v>
      </c>
      <c r="BK13" s="127" t="s">
        <v>322</v>
      </c>
      <c r="BL13" s="127" t="s">
        <v>323</v>
      </c>
      <c r="BM13" s="127" t="s">
        <v>324</v>
      </c>
      <c r="BN13" s="127" t="s">
        <v>325</v>
      </c>
      <c r="BO13" s="127" t="s">
        <v>326</v>
      </c>
      <c r="BP13" s="127" t="s">
        <v>327</v>
      </c>
      <c r="BQ13" s="127" t="s">
        <v>328</v>
      </c>
      <c r="BR13" s="127" t="s">
        <v>329</v>
      </c>
      <c r="BS13" s="127" t="s">
        <v>330</v>
      </c>
      <c r="BT13" s="127" t="s">
        <v>140</v>
      </c>
      <c r="BU13" s="127" t="s">
        <v>300</v>
      </c>
      <c r="BV13" s="127" t="s">
        <v>301</v>
      </c>
      <c r="BW13" s="127" t="s">
        <v>302</v>
      </c>
      <c r="BX13" s="127" t="s">
        <v>303</v>
      </c>
      <c r="BY13" s="127" t="s">
        <v>304</v>
      </c>
      <c r="BZ13" s="127" t="s">
        <v>305</v>
      </c>
      <c r="CA13" s="127" t="s">
        <v>306</v>
      </c>
      <c r="CB13" s="127" t="s">
        <v>307</v>
      </c>
      <c r="CC13" s="127" t="s">
        <v>308</v>
      </c>
      <c r="CD13" s="127" t="s">
        <v>309</v>
      </c>
      <c r="CE13" s="127" t="s">
        <v>310</v>
      </c>
      <c r="CF13" s="127" t="s">
        <v>311</v>
      </c>
      <c r="CG13" s="127" t="s">
        <v>312</v>
      </c>
      <c r="CH13" s="127" t="s">
        <v>313</v>
      </c>
      <c r="CI13" s="127" t="s">
        <v>314</v>
      </c>
      <c r="CJ13" s="127" t="s">
        <v>315</v>
      </c>
      <c r="CK13" s="127" t="s">
        <v>316</v>
      </c>
      <c r="CL13" s="127" t="s">
        <v>317</v>
      </c>
      <c r="CM13" s="127" t="s">
        <v>318</v>
      </c>
      <c r="CN13" s="127" t="s">
        <v>319</v>
      </c>
      <c r="CO13" s="127" t="s">
        <v>320</v>
      </c>
      <c r="CP13" s="127" t="s">
        <v>321</v>
      </c>
      <c r="CQ13" s="127" t="s">
        <v>322</v>
      </c>
      <c r="CR13" s="127" t="s">
        <v>323</v>
      </c>
      <c r="CS13" s="127" t="s">
        <v>324</v>
      </c>
      <c r="CT13" s="127" t="s">
        <v>325</v>
      </c>
      <c r="CU13" s="127" t="s">
        <v>326</v>
      </c>
      <c r="CV13" s="127" t="s">
        <v>327</v>
      </c>
      <c r="CW13" s="127" t="s">
        <v>328</v>
      </c>
      <c r="CX13" s="127" t="s">
        <v>329</v>
      </c>
      <c r="CY13" s="127" t="s">
        <v>330</v>
      </c>
      <c r="CZ13" s="127" t="s">
        <v>141</v>
      </c>
      <c r="DA13" s="127" t="s">
        <v>300</v>
      </c>
      <c r="DB13" s="127" t="s">
        <v>301</v>
      </c>
      <c r="DC13" s="127" t="s">
        <v>302</v>
      </c>
      <c r="DD13" s="127" t="s">
        <v>303</v>
      </c>
      <c r="DE13" s="127" t="s">
        <v>304</v>
      </c>
      <c r="DF13" s="127" t="s">
        <v>305</v>
      </c>
      <c r="DG13" s="127" t="s">
        <v>306</v>
      </c>
      <c r="DH13" s="127" t="s">
        <v>307</v>
      </c>
      <c r="DI13" s="127" t="s">
        <v>308</v>
      </c>
      <c r="DJ13" s="127" t="s">
        <v>309</v>
      </c>
      <c r="DK13" s="127" t="s">
        <v>310</v>
      </c>
      <c r="DL13" s="127" t="s">
        <v>311</v>
      </c>
      <c r="DM13" s="127" t="s">
        <v>312</v>
      </c>
      <c r="DN13" s="127" t="s">
        <v>313</v>
      </c>
      <c r="DO13" s="127" t="s">
        <v>314</v>
      </c>
      <c r="DP13" s="127" t="s">
        <v>315</v>
      </c>
      <c r="DQ13" s="127" t="s">
        <v>316</v>
      </c>
      <c r="DR13" s="127" t="s">
        <v>317</v>
      </c>
      <c r="DS13" s="127" t="s">
        <v>318</v>
      </c>
      <c r="DT13" s="127" t="s">
        <v>319</v>
      </c>
      <c r="DU13" s="127" t="s">
        <v>320</v>
      </c>
      <c r="DV13" s="127" t="s">
        <v>321</v>
      </c>
      <c r="DW13" s="127" t="s">
        <v>322</v>
      </c>
      <c r="DX13" s="127" t="s">
        <v>323</v>
      </c>
      <c r="DY13" s="127" t="s">
        <v>324</v>
      </c>
      <c r="DZ13" s="127" t="s">
        <v>325</v>
      </c>
      <c r="EA13" s="127" t="s">
        <v>326</v>
      </c>
      <c r="EB13" s="127" t="s">
        <v>327</v>
      </c>
      <c r="EC13" s="127" t="s">
        <v>328</v>
      </c>
      <c r="ED13" s="127" t="s">
        <v>329</v>
      </c>
      <c r="EE13" s="127" t="s">
        <v>330</v>
      </c>
      <c r="EF13" s="127" t="s">
        <v>142</v>
      </c>
    </row>
    <row r="14" spans="1:139" outlineLevel="1" x14ac:dyDescent="0.3">
      <c r="A14" s="205" t="s">
        <v>243</v>
      </c>
      <c r="B14" s="170" t="s">
        <v>244</v>
      </c>
      <c r="C14" s="170" t="s">
        <v>172</v>
      </c>
      <c r="D14" s="170" t="s">
        <v>331</v>
      </c>
      <c r="E14" s="170"/>
      <c r="F14" s="170" t="s">
        <v>233</v>
      </c>
      <c r="G14" s="170" t="s">
        <v>234</v>
      </c>
      <c r="H14" s="171">
        <v>36</v>
      </c>
      <c r="I14" s="171">
        <v>0</v>
      </c>
      <c r="J14" s="171">
        <v>108</v>
      </c>
      <c r="K14" s="171">
        <v>108</v>
      </c>
      <c r="L14" s="171">
        <v>72</v>
      </c>
      <c r="M14" s="171">
        <v>108</v>
      </c>
      <c r="N14" s="171">
        <v>108</v>
      </c>
      <c r="O14" s="171">
        <v>0</v>
      </c>
      <c r="P14" s="171">
        <v>0</v>
      </c>
      <c r="Q14" s="171">
        <v>108</v>
      </c>
      <c r="R14" s="171">
        <v>108</v>
      </c>
      <c r="S14" s="171">
        <v>72</v>
      </c>
      <c r="T14" s="171">
        <v>72</v>
      </c>
      <c r="U14" s="171">
        <v>108</v>
      </c>
      <c r="V14" s="171">
        <v>108</v>
      </c>
      <c r="W14" s="171">
        <v>0</v>
      </c>
      <c r="X14" s="171">
        <v>72</v>
      </c>
      <c r="Y14" s="171">
        <v>108</v>
      </c>
      <c r="Z14" s="171">
        <v>108</v>
      </c>
      <c r="AA14" s="171">
        <v>72</v>
      </c>
      <c r="AB14" s="171">
        <v>108</v>
      </c>
      <c r="AC14" s="171">
        <v>0</v>
      </c>
      <c r="AD14" s="171">
        <v>0</v>
      </c>
      <c r="AE14" s="171">
        <v>108</v>
      </c>
      <c r="AF14" s="171">
        <v>72</v>
      </c>
      <c r="AG14" s="171">
        <v>108</v>
      </c>
      <c r="AH14" s="171">
        <v>72</v>
      </c>
      <c r="AI14" s="171">
        <v>108</v>
      </c>
      <c r="AJ14" s="171">
        <v>72</v>
      </c>
      <c r="AK14" s="171">
        <v>0</v>
      </c>
      <c r="AL14" s="171">
        <v>0</v>
      </c>
      <c r="AM14" s="171">
        <v>0</v>
      </c>
      <c r="AN14" s="171">
        <v>2088</v>
      </c>
      <c r="AO14" s="171">
        <v>0</v>
      </c>
      <c r="AP14" s="171">
        <v>0</v>
      </c>
      <c r="AQ14" s="171">
        <v>108</v>
      </c>
      <c r="AR14" s="171">
        <v>72</v>
      </c>
      <c r="AS14" s="171">
        <v>72</v>
      </c>
      <c r="AT14" s="171">
        <v>108</v>
      </c>
      <c r="AU14" s="171">
        <v>36</v>
      </c>
      <c r="AV14" s="171">
        <v>0</v>
      </c>
      <c r="AW14" s="171">
        <v>108</v>
      </c>
      <c r="AX14" s="171">
        <v>72</v>
      </c>
      <c r="AY14" s="171">
        <v>72</v>
      </c>
      <c r="AZ14" s="171">
        <v>108</v>
      </c>
      <c r="BA14" s="171">
        <v>72</v>
      </c>
      <c r="BB14" s="171">
        <v>72</v>
      </c>
      <c r="BC14" s="171">
        <v>0</v>
      </c>
      <c r="BD14" s="171">
        <v>108</v>
      </c>
      <c r="BE14" s="171">
        <v>72</v>
      </c>
      <c r="BF14" s="171">
        <v>72</v>
      </c>
      <c r="BG14" s="171">
        <v>108</v>
      </c>
      <c r="BH14" s="171">
        <v>72</v>
      </c>
      <c r="BI14" s="171">
        <v>0</v>
      </c>
      <c r="BJ14" s="171">
        <v>0</v>
      </c>
      <c r="BK14" s="171">
        <v>108</v>
      </c>
      <c r="BL14" s="171">
        <v>72</v>
      </c>
      <c r="BM14" s="171">
        <v>72</v>
      </c>
      <c r="BN14" s="171">
        <v>108</v>
      </c>
      <c r="BO14" s="171">
        <v>72</v>
      </c>
      <c r="BP14" s="171">
        <v>72</v>
      </c>
      <c r="BQ14" s="171">
        <v>0</v>
      </c>
      <c r="BR14" s="171">
        <v>108</v>
      </c>
      <c r="BS14" s="171">
        <v>36</v>
      </c>
      <c r="BT14" s="171">
        <v>1980</v>
      </c>
      <c r="BU14" s="171">
        <v>97</v>
      </c>
      <c r="BV14" s="171">
        <v>97</v>
      </c>
      <c r="BW14" s="171">
        <v>97</v>
      </c>
      <c r="BX14" s="171">
        <v>49</v>
      </c>
      <c r="BY14" s="171">
        <v>0</v>
      </c>
      <c r="BZ14" s="171">
        <v>97</v>
      </c>
      <c r="CA14" s="171">
        <v>97</v>
      </c>
      <c r="CB14" s="171">
        <v>97</v>
      </c>
      <c r="CC14" s="171">
        <v>97</v>
      </c>
      <c r="CD14" s="171">
        <v>97</v>
      </c>
      <c r="CE14" s="171">
        <v>0</v>
      </c>
      <c r="CF14" s="171">
        <v>0</v>
      </c>
      <c r="CG14" s="171">
        <v>0</v>
      </c>
      <c r="CH14" s="171">
        <v>0</v>
      </c>
      <c r="CI14" s="171">
        <v>0</v>
      </c>
      <c r="CJ14" s="171">
        <v>0</v>
      </c>
      <c r="CK14" s="171">
        <v>0</v>
      </c>
      <c r="CL14" s="171">
        <v>0</v>
      </c>
      <c r="CM14" s="171">
        <v>0</v>
      </c>
      <c r="CN14" s="171">
        <v>98</v>
      </c>
      <c r="CO14" s="171">
        <v>97</v>
      </c>
      <c r="CP14" s="171">
        <v>98</v>
      </c>
      <c r="CQ14" s="171">
        <v>97</v>
      </c>
      <c r="CR14" s="171">
        <v>98</v>
      </c>
      <c r="CS14" s="171">
        <v>97</v>
      </c>
      <c r="CT14" s="171">
        <v>0</v>
      </c>
      <c r="CU14" s="171">
        <v>98</v>
      </c>
      <c r="CV14" s="171">
        <v>97</v>
      </c>
      <c r="CW14" s="171">
        <v>98</v>
      </c>
      <c r="CX14" s="171">
        <v>97</v>
      </c>
      <c r="CY14" s="171">
        <v>0</v>
      </c>
      <c r="CZ14" s="171">
        <v>1800</v>
      </c>
      <c r="DA14" s="171">
        <v>0</v>
      </c>
      <c r="DB14" s="171">
        <v>0</v>
      </c>
      <c r="DC14" s="171">
        <v>0</v>
      </c>
      <c r="DD14" s="171">
        <v>0</v>
      </c>
      <c r="DE14" s="171">
        <v>92</v>
      </c>
      <c r="DF14" s="171">
        <v>92</v>
      </c>
      <c r="DG14" s="171">
        <v>92</v>
      </c>
      <c r="DH14" s="171">
        <v>92</v>
      </c>
      <c r="DI14" s="171">
        <v>92</v>
      </c>
      <c r="DJ14" s="171">
        <v>0</v>
      </c>
      <c r="DK14" s="171">
        <v>92</v>
      </c>
      <c r="DL14" s="171">
        <v>92</v>
      </c>
      <c r="DM14" s="171">
        <v>92</v>
      </c>
      <c r="DN14" s="171">
        <v>92</v>
      </c>
      <c r="DO14" s="171">
        <v>92</v>
      </c>
      <c r="DP14" s="171">
        <v>0</v>
      </c>
      <c r="DQ14" s="171">
        <v>0</v>
      </c>
      <c r="DR14" s="171">
        <v>92</v>
      </c>
      <c r="DS14" s="171">
        <v>92</v>
      </c>
      <c r="DT14" s="171">
        <v>92</v>
      </c>
      <c r="DU14" s="171">
        <v>91</v>
      </c>
      <c r="DV14" s="171">
        <v>92</v>
      </c>
      <c r="DW14" s="171">
        <v>0</v>
      </c>
      <c r="DX14" s="171">
        <v>0</v>
      </c>
      <c r="DY14" s="171">
        <v>91</v>
      </c>
      <c r="DZ14" s="171">
        <v>92</v>
      </c>
      <c r="EA14" s="171">
        <v>91</v>
      </c>
      <c r="EB14" s="171">
        <v>92</v>
      </c>
      <c r="EC14" s="171">
        <v>91</v>
      </c>
      <c r="ED14" s="171">
        <v>0</v>
      </c>
      <c r="EE14" s="171">
        <v>0</v>
      </c>
      <c r="EF14" s="171">
        <v>1836</v>
      </c>
      <c r="EH14" s="47" t="s">
        <v>231</v>
      </c>
      <c r="EI14" t="b">
        <f t="shared" ref="EI14:EI21" si="0">EH14=A14</f>
        <v>0</v>
      </c>
    </row>
    <row r="15" spans="1:139" outlineLevel="1" x14ac:dyDescent="0.3">
      <c r="A15" s="233" t="s">
        <v>246</v>
      </c>
      <c r="B15" s="115" t="s">
        <v>247</v>
      </c>
      <c r="C15" s="115" t="s">
        <v>172</v>
      </c>
      <c r="D15" s="115" t="s">
        <v>331</v>
      </c>
      <c r="E15" s="115"/>
      <c r="F15" s="115" t="s">
        <v>233</v>
      </c>
      <c r="G15" s="115" t="s">
        <v>234</v>
      </c>
      <c r="H15" s="116">
        <v>10</v>
      </c>
      <c r="I15" s="116">
        <v>0</v>
      </c>
      <c r="J15" s="116">
        <v>410</v>
      </c>
      <c r="K15" s="116">
        <v>430</v>
      </c>
      <c r="L15" s="116">
        <v>390</v>
      </c>
      <c r="M15" s="116">
        <v>400</v>
      </c>
      <c r="N15" s="116">
        <v>390</v>
      </c>
      <c r="O15" s="116">
        <v>0</v>
      </c>
      <c r="P15" s="116">
        <v>0</v>
      </c>
      <c r="Q15" s="116">
        <v>420</v>
      </c>
      <c r="R15" s="116">
        <v>390</v>
      </c>
      <c r="S15" s="116">
        <v>410</v>
      </c>
      <c r="T15" s="116">
        <v>410</v>
      </c>
      <c r="U15" s="116">
        <v>350</v>
      </c>
      <c r="V15" s="116">
        <v>420</v>
      </c>
      <c r="W15" s="116">
        <v>0</v>
      </c>
      <c r="X15" s="116">
        <v>320</v>
      </c>
      <c r="Y15" s="116">
        <v>360</v>
      </c>
      <c r="Z15" s="116">
        <v>380</v>
      </c>
      <c r="AA15" s="116">
        <v>340</v>
      </c>
      <c r="AB15" s="116">
        <v>350</v>
      </c>
      <c r="AC15" s="116">
        <v>0</v>
      </c>
      <c r="AD15" s="116">
        <v>0</v>
      </c>
      <c r="AE15" s="116">
        <v>330</v>
      </c>
      <c r="AF15" s="116">
        <v>350</v>
      </c>
      <c r="AG15" s="116">
        <v>350</v>
      </c>
      <c r="AH15" s="116">
        <v>340</v>
      </c>
      <c r="AI15" s="116">
        <v>340</v>
      </c>
      <c r="AJ15" s="116">
        <v>330</v>
      </c>
      <c r="AK15" s="116">
        <v>0</v>
      </c>
      <c r="AL15" s="116">
        <v>0</v>
      </c>
      <c r="AM15" s="116">
        <v>0</v>
      </c>
      <c r="AN15" s="116">
        <v>8210</v>
      </c>
      <c r="AO15" s="116">
        <v>0</v>
      </c>
      <c r="AP15" s="116">
        <v>0</v>
      </c>
      <c r="AQ15" s="116">
        <v>210</v>
      </c>
      <c r="AR15" s="116">
        <v>230</v>
      </c>
      <c r="AS15" s="116">
        <v>240</v>
      </c>
      <c r="AT15" s="116">
        <v>240</v>
      </c>
      <c r="AU15" s="116">
        <v>120</v>
      </c>
      <c r="AV15" s="116">
        <v>0</v>
      </c>
      <c r="AW15" s="116">
        <v>230</v>
      </c>
      <c r="AX15" s="116">
        <v>240</v>
      </c>
      <c r="AY15" s="116">
        <v>210</v>
      </c>
      <c r="AZ15" s="116">
        <v>240</v>
      </c>
      <c r="BA15" s="116">
        <v>250</v>
      </c>
      <c r="BB15" s="116">
        <v>230</v>
      </c>
      <c r="BC15" s="116">
        <v>0</v>
      </c>
      <c r="BD15" s="116">
        <v>230</v>
      </c>
      <c r="BE15" s="116">
        <v>240</v>
      </c>
      <c r="BF15" s="116">
        <v>230</v>
      </c>
      <c r="BG15" s="116">
        <v>240</v>
      </c>
      <c r="BH15" s="116">
        <v>230</v>
      </c>
      <c r="BI15" s="116">
        <v>0</v>
      </c>
      <c r="BJ15" s="116">
        <v>0</v>
      </c>
      <c r="BK15" s="116">
        <v>230</v>
      </c>
      <c r="BL15" s="116">
        <v>210</v>
      </c>
      <c r="BM15" s="116">
        <v>220</v>
      </c>
      <c r="BN15" s="116">
        <v>250</v>
      </c>
      <c r="BO15" s="116">
        <v>230</v>
      </c>
      <c r="BP15" s="116">
        <v>240</v>
      </c>
      <c r="BQ15" s="116">
        <v>0</v>
      </c>
      <c r="BR15" s="116">
        <v>240</v>
      </c>
      <c r="BS15" s="116">
        <v>200</v>
      </c>
      <c r="BT15" s="116">
        <v>5430</v>
      </c>
      <c r="BU15" s="116">
        <v>298</v>
      </c>
      <c r="BV15" s="116">
        <v>298</v>
      </c>
      <c r="BW15" s="116">
        <v>298</v>
      </c>
      <c r="BX15" s="116">
        <v>149</v>
      </c>
      <c r="BY15" s="116">
        <v>0</v>
      </c>
      <c r="BZ15" s="116">
        <v>298</v>
      </c>
      <c r="CA15" s="116">
        <v>299</v>
      </c>
      <c r="CB15" s="116">
        <v>298</v>
      </c>
      <c r="CC15" s="116">
        <v>299</v>
      </c>
      <c r="CD15" s="116">
        <v>298</v>
      </c>
      <c r="CE15" s="116">
        <v>0</v>
      </c>
      <c r="CF15" s="116">
        <v>0</v>
      </c>
      <c r="CG15" s="116">
        <v>0</v>
      </c>
      <c r="CH15" s="116">
        <v>0</v>
      </c>
      <c r="CI15" s="116">
        <v>0</v>
      </c>
      <c r="CJ15" s="116">
        <v>0</v>
      </c>
      <c r="CK15" s="116">
        <v>0</v>
      </c>
      <c r="CL15" s="116">
        <v>0</v>
      </c>
      <c r="CM15" s="116">
        <v>0</v>
      </c>
      <c r="CN15" s="116">
        <v>299</v>
      </c>
      <c r="CO15" s="116">
        <v>298</v>
      </c>
      <c r="CP15" s="116">
        <v>299</v>
      </c>
      <c r="CQ15" s="116">
        <v>298</v>
      </c>
      <c r="CR15" s="116">
        <v>299</v>
      </c>
      <c r="CS15" s="116">
        <v>298</v>
      </c>
      <c r="CT15" s="116">
        <v>0</v>
      </c>
      <c r="CU15" s="116">
        <v>299</v>
      </c>
      <c r="CV15" s="116">
        <v>298</v>
      </c>
      <c r="CW15" s="116">
        <v>299</v>
      </c>
      <c r="CX15" s="116">
        <v>298</v>
      </c>
      <c r="CY15" s="116">
        <v>0</v>
      </c>
      <c r="CZ15" s="116">
        <v>5520</v>
      </c>
      <c r="DA15" s="116">
        <v>0</v>
      </c>
      <c r="DB15" s="116">
        <v>0</v>
      </c>
      <c r="DC15" s="116">
        <v>0</v>
      </c>
      <c r="DD15" s="116">
        <v>0</v>
      </c>
      <c r="DE15" s="116">
        <v>259</v>
      </c>
      <c r="DF15" s="116">
        <v>258</v>
      </c>
      <c r="DG15" s="116">
        <v>259</v>
      </c>
      <c r="DH15" s="116">
        <v>258</v>
      </c>
      <c r="DI15" s="116">
        <v>259</v>
      </c>
      <c r="DJ15" s="116">
        <v>0</v>
      </c>
      <c r="DK15" s="116">
        <v>258</v>
      </c>
      <c r="DL15" s="116">
        <v>259</v>
      </c>
      <c r="DM15" s="116">
        <v>258</v>
      </c>
      <c r="DN15" s="116">
        <v>259</v>
      </c>
      <c r="DO15" s="116">
        <v>258</v>
      </c>
      <c r="DP15" s="116">
        <v>0</v>
      </c>
      <c r="DQ15" s="116">
        <v>0</v>
      </c>
      <c r="DR15" s="116">
        <v>259</v>
      </c>
      <c r="DS15" s="116">
        <v>258</v>
      </c>
      <c r="DT15" s="116">
        <v>259</v>
      </c>
      <c r="DU15" s="116">
        <v>258</v>
      </c>
      <c r="DV15" s="116">
        <v>259</v>
      </c>
      <c r="DW15" s="116">
        <v>0</v>
      </c>
      <c r="DX15" s="116">
        <v>0</v>
      </c>
      <c r="DY15" s="116">
        <v>258</v>
      </c>
      <c r="DZ15" s="116">
        <v>259</v>
      </c>
      <c r="EA15" s="116">
        <v>258</v>
      </c>
      <c r="EB15" s="116">
        <v>259</v>
      </c>
      <c r="EC15" s="116">
        <v>258</v>
      </c>
      <c r="ED15" s="116">
        <v>0</v>
      </c>
      <c r="EE15" s="116">
        <v>0</v>
      </c>
      <c r="EF15" s="116">
        <v>5170</v>
      </c>
      <c r="EH15" s="47" t="s">
        <v>246</v>
      </c>
      <c r="EI15" t="b">
        <f t="shared" si="0"/>
        <v>1</v>
      </c>
    </row>
    <row r="16" spans="1:139" outlineLevel="1" x14ac:dyDescent="0.3">
      <c r="A16" s="233" t="s">
        <v>224</v>
      </c>
      <c r="B16" s="115" t="s">
        <v>258</v>
      </c>
      <c r="C16" s="115" t="s">
        <v>172</v>
      </c>
      <c r="D16" s="115" t="s">
        <v>331</v>
      </c>
      <c r="E16" s="115"/>
      <c r="F16" s="115" t="s">
        <v>233</v>
      </c>
      <c r="G16" s="115" t="s">
        <v>239</v>
      </c>
      <c r="H16" s="116">
        <v>15</v>
      </c>
      <c r="I16" s="116">
        <v>0</v>
      </c>
      <c r="J16" s="116">
        <v>90</v>
      </c>
      <c r="K16" s="116">
        <v>105</v>
      </c>
      <c r="L16" s="116">
        <v>120</v>
      </c>
      <c r="M16" s="116">
        <v>90</v>
      </c>
      <c r="N16" s="116">
        <v>135</v>
      </c>
      <c r="O16" s="116">
        <v>0</v>
      </c>
      <c r="P16" s="116">
        <v>0</v>
      </c>
      <c r="Q16" s="116">
        <v>120</v>
      </c>
      <c r="R16" s="116">
        <v>90</v>
      </c>
      <c r="S16" s="116">
        <v>135</v>
      </c>
      <c r="T16" s="116">
        <v>90</v>
      </c>
      <c r="U16" s="116">
        <v>120</v>
      </c>
      <c r="V16" s="116">
        <v>195</v>
      </c>
      <c r="W16" s="116">
        <v>0</v>
      </c>
      <c r="X16" s="116">
        <v>135</v>
      </c>
      <c r="Y16" s="116">
        <v>150</v>
      </c>
      <c r="Z16" s="116">
        <v>120</v>
      </c>
      <c r="AA16" s="116">
        <v>135</v>
      </c>
      <c r="AB16" s="116">
        <v>105</v>
      </c>
      <c r="AC16" s="116">
        <v>0</v>
      </c>
      <c r="AD16" s="116">
        <v>0</v>
      </c>
      <c r="AE16" s="116">
        <v>135</v>
      </c>
      <c r="AF16" s="116">
        <v>180</v>
      </c>
      <c r="AG16" s="116">
        <v>45</v>
      </c>
      <c r="AH16" s="116">
        <v>135</v>
      </c>
      <c r="AI16" s="116">
        <v>120</v>
      </c>
      <c r="AJ16" s="116">
        <v>120</v>
      </c>
      <c r="AK16" s="116">
        <v>0</v>
      </c>
      <c r="AL16" s="116">
        <v>0</v>
      </c>
      <c r="AM16" s="116">
        <v>0</v>
      </c>
      <c r="AN16" s="116">
        <v>2670</v>
      </c>
      <c r="AO16" s="116">
        <v>0</v>
      </c>
      <c r="AP16" s="116">
        <v>0</v>
      </c>
      <c r="AQ16" s="116">
        <v>120</v>
      </c>
      <c r="AR16" s="116">
        <v>105</v>
      </c>
      <c r="AS16" s="116">
        <v>150</v>
      </c>
      <c r="AT16" s="116">
        <v>60</v>
      </c>
      <c r="AU16" s="116">
        <v>45</v>
      </c>
      <c r="AV16" s="116">
        <v>0</v>
      </c>
      <c r="AW16" s="116">
        <v>135</v>
      </c>
      <c r="AX16" s="116">
        <v>120</v>
      </c>
      <c r="AY16" s="116">
        <v>90</v>
      </c>
      <c r="AZ16" s="116">
        <v>105</v>
      </c>
      <c r="BA16" s="116">
        <v>120</v>
      </c>
      <c r="BB16" s="116">
        <v>165</v>
      </c>
      <c r="BC16" s="116">
        <v>0</v>
      </c>
      <c r="BD16" s="116">
        <v>60</v>
      </c>
      <c r="BE16" s="116">
        <v>120</v>
      </c>
      <c r="BF16" s="116">
        <v>105</v>
      </c>
      <c r="BG16" s="116">
        <v>120</v>
      </c>
      <c r="BH16" s="116">
        <v>120</v>
      </c>
      <c r="BI16" s="116">
        <v>0</v>
      </c>
      <c r="BJ16" s="116">
        <v>0</v>
      </c>
      <c r="BK16" s="116">
        <v>165</v>
      </c>
      <c r="BL16" s="116">
        <v>120</v>
      </c>
      <c r="BM16" s="116">
        <v>120</v>
      </c>
      <c r="BN16" s="116">
        <v>90</v>
      </c>
      <c r="BO16" s="116">
        <v>105</v>
      </c>
      <c r="BP16" s="116">
        <v>120</v>
      </c>
      <c r="BQ16" s="116">
        <v>0</v>
      </c>
      <c r="BR16" s="116">
        <v>150</v>
      </c>
      <c r="BS16" s="116">
        <v>135</v>
      </c>
      <c r="BT16" s="116">
        <v>2745</v>
      </c>
      <c r="BU16" s="116">
        <v>208</v>
      </c>
      <c r="BV16" s="116">
        <v>208</v>
      </c>
      <c r="BW16" s="116">
        <v>208</v>
      </c>
      <c r="BX16" s="116">
        <v>104</v>
      </c>
      <c r="BY16" s="116">
        <v>0</v>
      </c>
      <c r="BZ16" s="116">
        <v>207</v>
      </c>
      <c r="CA16" s="116">
        <v>208</v>
      </c>
      <c r="CB16" s="116">
        <v>207</v>
      </c>
      <c r="CC16" s="116">
        <v>208</v>
      </c>
      <c r="CD16" s="116">
        <v>207</v>
      </c>
      <c r="CE16" s="116">
        <v>0</v>
      </c>
      <c r="CF16" s="116">
        <v>0</v>
      </c>
      <c r="CG16" s="116">
        <v>0</v>
      </c>
      <c r="CH16" s="116">
        <v>0</v>
      </c>
      <c r="CI16" s="116">
        <v>0</v>
      </c>
      <c r="CJ16" s="116">
        <v>0</v>
      </c>
      <c r="CK16" s="116">
        <v>0</v>
      </c>
      <c r="CL16" s="116">
        <v>0</v>
      </c>
      <c r="CM16" s="116">
        <v>0</v>
      </c>
      <c r="CN16" s="116">
        <v>208</v>
      </c>
      <c r="CO16" s="116">
        <v>207</v>
      </c>
      <c r="CP16" s="116">
        <v>208</v>
      </c>
      <c r="CQ16" s="116">
        <v>207</v>
      </c>
      <c r="CR16" s="116">
        <v>208</v>
      </c>
      <c r="CS16" s="116">
        <v>207</v>
      </c>
      <c r="CT16" s="116">
        <v>0</v>
      </c>
      <c r="CU16" s="116">
        <v>208</v>
      </c>
      <c r="CV16" s="116">
        <v>207</v>
      </c>
      <c r="CW16" s="116">
        <v>208</v>
      </c>
      <c r="CX16" s="116">
        <v>207</v>
      </c>
      <c r="CY16" s="116">
        <v>0</v>
      </c>
      <c r="CZ16" s="116">
        <v>3840</v>
      </c>
      <c r="DA16" s="116">
        <v>0</v>
      </c>
      <c r="DB16" s="116">
        <v>0</v>
      </c>
      <c r="DC16" s="116">
        <v>0</v>
      </c>
      <c r="DD16" s="116">
        <v>0</v>
      </c>
      <c r="DE16" s="116">
        <v>126</v>
      </c>
      <c r="DF16" s="116">
        <v>126</v>
      </c>
      <c r="DG16" s="116">
        <v>126</v>
      </c>
      <c r="DH16" s="116">
        <v>126</v>
      </c>
      <c r="DI16" s="116">
        <v>126</v>
      </c>
      <c r="DJ16" s="116">
        <v>0</v>
      </c>
      <c r="DK16" s="116">
        <v>126</v>
      </c>
      <c r="DL16" s="116">
        <v>126</v>
      </c>
      <c r="DM16" s="116">
        <v>126</v>
      </c>
      <c r="DN16" s="116">
        <v>126</v>
      </c>
      <c r="DO16" s="116">
        <v>126</v>
      </c>
      <c r="DP16" s="116">
        <v>0</v>
      </c>
      <c r="DQ16" s="116">
        <v>0</v>
      </c>
      <c r="DR16" s="116">
        <v>126</v>
      </c>
      <c r="DS16" s="116">
        <v>126</v>
      </c>
      <c r="DT16" s="116">
        <v>126</v>
      </c>
      <c r="DU16" s="116">
        <v>126</v>
      </c>
      <c r="DV16" s="116">
        <v>126</v>
      </c>
      <c r="DW16" s="116">
        <v>0</v>
      </c>
      <c r="DX16" s="116">
        <v>0</v>
      </c>
      <c r="DY16" s="116">
        <v>126</v>
      </c>
      <c r="DZ16" s="116">
        <v>126</v>
      </c>
      <c r="EA16" s="116">
        <v>126</v>
      </c>
      <c r="EB16" s="116">
        <v>126</v>
      </c>
      <c r="EC16" s="116">
        <v>126</v>
      </c>
      <c r="ED16" s="116">
        <v>0</v>
      </c>
      <c r="EE16" s="116">
        <v>0</v>
      </c>
      <c r="EF16" s="116">
        <v>2520</v>
      </c>
      <c r="EH16" s="4" t="s">
        <v>250</v>
      </c>
      <c r="EI16" t="b">
        <f t="shared" si="0"/>
        <v>0</v>
      </c>
    </row>
    <row r="17" spans="1:139" outlineLevel="1" x14ac:dyDescent="0.3">
      <c r="A17" s="233" t="s">
        <v>224</v>
      </c>
      <c r="B17" s="115" t="s">
        <v>259</v>
      </c>
      <c r="C17" s="115" t="s">
        <v>172</v>
      </c>
      <c r="D17" s="115" t="s">
        <v>331</v>
      </c>
      <c r="E17" s="115"/>
      <c r="F17" s="115" t="s">
        <v>238</v>
      </c>
      <c r="G17" s="115" t="s">
        <v>239</v>
      </c>
      <c r="H17" s="116">
        <v>15</v>
      </c>
      <c r="I17" s="116">
        <v>0</v>
      </c>
      <c r="J17" s="116">
        <v>149</v>
      </c>
      <c r="K17" s="116">
        <v>148</v>
      </c>
      <c r="L17" s="116">
        <v>149</v>
      </c>
      <c r="M17" s="116">
        <v>158</v>
      </c>
      <c r="N17" s="116">
        <v>149</v>
      </c>
      <c r="O17" s="116">
        <v>0</v>
      </c>
      <c r="P17" s="116">
        <v>0</v>
      </c>
      <c r="Q17" s="116">
        <v>148</v>
      </c>
      <c r="R17" s="116">
        <v>149</v>
      </c>
      <c r="S17" s="116">
        <v>149</v>
      </c>
      <c r="T17" s="116">
        <v>148</v>
      </c>
      <c r="U17" s="116">
        <v>163</v>
      </c>
      <c r="V17" s="116">
        <v>149</v>
      </c>
      <c r="W17" s="116">
        <v>0</v>
      </c>
      <c r="X17" s="116">
        <v>148</v>
      </c>
      <c r="Y17" s="116">
        <v>149</v>
      </c>
      <c r="Z17" s="116">
        <v>148</v>
      </c>
      <c r="AA17" s="116">
        <v>149</v>
      </c>
      <c r="AB17" s="116">
        <v>149</v>
      </c>
      <c r="AC17" s="116">
        <v>0</v>
      </c>
      <c r="AD17" s="116">
        <v>0</v>
      </c>
      <c r="AE17" s="116">
        <v>158</v>
      </c>
      <c r="AF17" s="116">
        <v>149</v>
      </c>
      <c r="AG17" s="116">
        <v>148</v>
      </c>
      <c r="AH17" s="116">
        <v>149</v>
      </c>
      <c r="AI17" s="116">
        <v>148</v>
      </c>
      <c r="AJ17" s="116">
        <v>149</v>
      </c>
      <c r="AK17" s="116">
        <v>0</v>
      </c>
      <c r="AL17" s="116">
        <v>0</v>
      </c>
      <c r="AM17" s="116">
        <v>0</v>
      </c>
      <c r="AN17" s="116">
        <v>3303</v>
      </c>
      <c r="AO17" s="116">
        <v>0</v>
      </c>
      <c r="AP17" s="116">
        <v>0</v>
      </c>
      <c r="AQ17" s="116">
        <v>0</v>
      </c>
      <c r="AR17" s="116">
        <v>161</v>
      </c>
      <c r="AS17" s="116">
        <v>162</v>
      </c>
      <c r="AT17" s="116">
        <v>161</v>
      </c>
      <c r="AU17" s="116">
        <v>0</v>
      </c>
      <c r="AV17" s="116">
        <v>0</v>
      </c>
      <c r="AW17" s="116">
        <v>161</v>
      </c>
      <c r="AX17" s="116">
        <v>171</v>
      </c>
      <c r="AY17" s="116">
        <v>161</v>
      </c>
      <c r="AZ17" s="116">
        <v>170</v>
      </c>
      <c r="BA17" s="116">
        <v>161</v>
      </c>
      <c r="BB17" s="116">
        <v>142</v>
      </c>
      <c r="BC17" s="116">
        <v>0</v>
      </c>
      <c r="BD17" s="116">
        <v>161</v>
      </c>
      <c r="BE17" s="116">
        <v>170</v>
      </c>
      <c r="BF17" s="116">
        <v>161</v>
      </c>
      <c r="BG17" s="116">
        <v>161</v>
      </c>
      <c r="BH17" s="116">
        <v>161</v>
      </c>
      <c r="BI17" s="116">
        <v>0</v>
      </c>
      <c r="BJ17" s="116">
        <v>0</v>
      </c>
      <c r="BK17" s="116">
        <v>161</v>
      </c>
      <c r="BL17" s="116">
        <v>171</v>
      </c>
      <c r="BM17" s="116">
        <v>142</v>
      </c>
      <c r="BN17" s="116">
        <v>161</v>
      </c>
      <c r="BO17" s="116">
        <v>161</v>
      </c>
      <c r="BP17" s="116">
        <v>142</v>
      </c>
      <c r="BQ17" s="116">
        <v>0</v>
      </c>
      <c r="BR17" s="116">
        <v>161</v>
      </c>
      <c r="BS17" s="116">
        <v>142</v>
      </c>
      <c r="BT17" s="116">
        <v>3505</v>
      </c>
      <c r="BU17" s="116">
        <v>146</v>
      </c>
      <c r="BV17" s="116">
        <v>146</v>
      </c>
      <c r="BW17" s="116">
        <v>146</v>
      </c>
      <c r="BX17" s="116">
        <v>0</v>
      </c>
      <c r="BY17" s="116">
        <v>0</v>
      </c>
      <c r="BZ17" s="116">
        <v>146</v>
      </c>
      <c r="CA17" s="116">
        <v>146</v>
      </c>
      <c r="CB17" s="116">
        <v>146</v>
      </c>
      <c r="CC17" s="116">
        <v>146</v>
      </c>
      <c r="CD17" s="116">
        <v>146</v>
      </c>
      <c r="CE17" s="116">
        <v>0</v>
      </c>
      <c r="CF17" s="116">
        <v>0</v>
      </c>
      <c r="CG17" s="116">
        <v>0</v>
      </c>
      <c r="CH17" s="116">
        <v>0</v>
      </c>
      <c r="CI17" s="116">
        <v>0</v>
      </c>
      <c r="CJ17" s="116">
        <v>0</v>
      </c>
      <c r="CK17" s="116">
        <v>0</v>
      </c>
      <c r="CL17" s="116">
        <v>0</v>
      </c>
      <c r="CM17" s="116">
        <v>0</v>
      </c>
      <c r="CN17" s="116">
        <v>146</v>
      </c>
      <c r="CO17" s="116">
        <v>146</v>
      </c>
      <c r="CP17" s="116">
        <v>146</v>
      </c>
      <c r="CQ17" s="116">
        <v>146</v>
      </c>
      <c r="CR17" s="116">
        <v>146</v>
      </c>
      <c r="CS17" s="116">
        <v>146</v>
      </c>
      <c r="CT17" s="116">
        <v>0</v>
      </c>
      <c r="CU17" s="116">
        <v>146</v>
      </c>
      <c r="CV17" s="116">
        <v>145</v>
      </c>
      <c r="CW17" s="116">
        <v>146</v>
      </c>
      <c r="CX17" s="116">
        <v>145</v>
      </c>
      <c r="CY17" s="116">
        <v>0</v>
      </c>
      <c r="CZ17" s="116">
        <v>2626</v>
      </c>
      <c r="DA17" s="116">
        <v>0</v>
      </c>
      <c r="DB17" s="116">
        <v>0</v>
      </c>
      <c r="DC17" s="116">
        <v>0</v>
      </c>
      <c r="DD17" s="116">
        <v>0</v>
      </c>
      <c r="DE17" s="116">
        <v>142</v>
      </c>
      <c r="DF17" s="116">
        <v>142</v>
      </c>
      <c r="DG17" s="116">
        <v>142</v>
      </c>
      <c r="DH17" s="116">
        <v>141</v>
      </c>
      <c r="DI17" s="116">
        <v>142</v>
      </c>
      <c r="DJ17" s="116">
        <v>0</v>
      </c>
      <c r="DK17" s="116">
        <v>141</v>
      </c>
      <c r="DL17" s="116">
        <v>142</v>
      </c>
      <c r="DM17" s="116">
        <v>141</v>
      </c>
      <c r="DN17" s="116">
        <v>142</v>
      </c>
      <c r="DO17" s="116">
        <v>141</v>
      </c>
      <c r="DP17" s="116">
        <v>0</v>
      </c>
      <c r="DQ17" s="116">
        <v>0</v>
      </c>
      <c r="DR17" s="116">
        <v>142</v>
      </c>
      <c r="DS17" s="116">
        <v>141</v>
      </c>
      <c r="DT17" s="116">
        <v>142</v>
      </c>
      <c r="DU17" s="116">
        <v>141</v>
      </c>
      <c r="DV17" s="116">
        <v>142</v>
      </c>
      <c r="DW17" s="116">
        <v>0</v>
      </c>
      <c r="DX17" s="116">
        <v>0</v>
      </c>
      <c r="DY17" s="116">
        <v>141</v>
      </c>
      <c r="DZ17" s="116">
        <v>142</v>
      </c>
      <c r="EA17" s="116">
        <v>141</v>
      </c>
      <c r="EB17" s="116">
        <v>142</v>
      </c>
      <c r="EC17" s="116">
        <v>141</v>
      </c>
      <c r="ED17" s="116">
        <v>0</v>
      </c>
      <c r="EE17" s="116">
        <v>0</v>
      </c>
      <c r="EF17" s="116">
        <v>2831</v>
      </c>
      <c r="EH17" s="4" t="s">
        <v>255</v>
      </c>
      <c r="EI17" t="b">
        <f t="shared" si="0"/>
        <v>0</v>
      </c>
    </row>
    <row r="18" spans="1:139" ht="15.75" customHeight="1" outlineLevel="1" x14ac:dyDescent="0.3">
      <c r="A18" s="233" t="s">
        <v>262</v>
      </c>
      <c r="B18" s="115" t="s">
        <v>263</v>
      </c>
      <c r="C18" s="115" t="s">
        <v>172</v>
      </c>
      <c r="D18" s="115" t="s">
        <v>331</v>
      </c>
      <c r="E18" s="115" t="s">
        <v>348</v>
      </c>
      <c r="F18" s="115" t="s">
        <v>238</v>
      </c>
      <c r="G18" s="115" t="s">
        <v>239</v>
      </c>
      <c r="H18" s="116">
        <v>6</v>
      </c>
      <c r="I18" s="116">
        <v>0</v>
      </c>
      <c r="J18" s="116">
        <v>61</v>
      </c>
      <c r="K18" s="116">
        <v>60</v>
      </c>
      <c r="L18" s="116">
        <v>60</v>
      </c>
      <c r="M18" s="116">
        <v>62</v>
      </c>
      <c r="N18" s="116">
        <v>61</v>
      </c>
      <c r="O18" s="116">
        <v>0</v>
      </c>
      <c r="P18" s="116">
        <v>0</v>
      </c>
      <c r="Q18" s="116">
        <v>60</v>
      </c>
      <c r="R18" s="116">
        <v>61</v>
      </c>
      <c r="S18" s="116">
        <v>60</v>
      </c>
      <c r="T18" s="116">
        <v>60</v>
      </c>
      <c r="U18" s="116">
        <v>65</v>
      </c>
      <c r="V18" s="116">
        <v>61</v>
      </c>
      <c r="W18" s="116">
        <v>0</v>
      </c>
      <c r="X18" s="116">
        <v>60</v>
      </c>
      <c r="Y18" s="116">
        <v>60</v>
      </c>
      <c r="Z18" s="116">
        <v>60</v>
      </c>
      <c r="AA18" s="116">
        <v>60</v>
      </c>
      <c r="AB18" s="116">
        <v>61</v>
      </c>
      <c r="AC18" s="116">
        <v>0</v>
      </c>
      <c r="AD18" s="116">
        <v>0</v>
      </c>
      <c r="AE18" s="116">
        <v>62</v>
      </c>
      <c r="AF18" s="116">
        <v>61</v>
      </c>
      <c r="AG18" s="116">
        <v>59</v>
      </c>
      <c r="AH18" s="116">
        <v>61</v>
      </c>
      <c r="AI18" s="116">
        <v>59</v>
      </c>
      <c r="AJ18" s="116">
        <v>61</v>
      </c>
      <c r="AK18" s="116">
        <v>0</v>
      </c>
      <c r="AL18" s="116">
        <v>0</v>
      </c>
      <c r="AM18" s="116">
        <v>0</v>
      </c>
      <c r="AN18" s="116">
        <v>1335</v>
      </c>
      <c r="AO18" s="116">
        <v>0</v>
      </c>
      <c r="AP18" s="116">
        <v>0</v>
      </c>
      <c r="AQ18" s="116">
        <v>0</v>
      </c>
      <c r="AR18" s="116">
        <v>81</v>
      </c>
      <c r="AS18" s="116">
        <v>81</v>
      </c>
      <c r="AT18" s="116">
        <v>82</v>
      </c>
      <c r="AU18" s="116">
        <v>0</v>
      </c>
      <c r="AV18" s="116">
        <v>0</v>
      </c>
      <c r="AW18" s="116">
        <v>81</v>
      </c>
      <c r="AX18" s="116">
        <v>86</v>
      </c>
      <c r="AY18" s="116">
        <v>81</v>
      </c>
      <c r="AZ18" s="116">
        <v>87</v>
      </c>
      <c r="BA18" s="116">
        <v>80</v>
      </c>
      <c r="BB18" s="116">
        <v>72</v>
      </c>
      <c r="BC18" s="116">
        <v>0</v>
      </c>
      <c r="BD18" s="116">
        <v>81</v>
      </c>
      <c r="BE18" s="116">
        <v>86</v>
      </c>
      <c r="BF18" s="116">
        <v>81</v>
      </c>
      <c r="BG18" s="116">
        <v>81</v>
      </c>
      <c r="BH18" s="116">
        <v>82</v>
      </c>
      <c r="BI18" s="116">
        <v>0</v>
      </c>
      <c r="BJ18" s="116">
        <v>0</v>
      </c>
      <c r="BK18" s="116">
        <v>80</v>
      </c>
      <c r="BL18" s="116">
        <v>87</v>
      </c>
      <c r="BM18" s="116">
        <v>71</v>
      </c>
      <c r="BN18" s="116">
        <v>82</v>
      </c>
      <c r="BO18" s="116">
        <v>80</v>
      </c>
      <c r="BP18" s="116">
        <v>72</v>
      </c>
      <c r="BQ18" s="116">
        <v>0</v>
      </c>
      <c r="BR18" s="116">
        <v>81</v>
      </c>
      <c r="BS18" s="116">
        <v>72</v>
      </c>
      <c r="BT18" s="116">
        <v>1767</v>
      </c>
      <c r="BU18" s="116">
        <v>67</v>
      </c>
      <c r="BV18" s="116">
        <v>67</v>
      </c>
      <c r="BW18" s="116">
        <v>67</v>
      </c>
      <c r="BX18" s="116">
        <v>0</v>
      </c>
      <c r="BY18" s="116">
        <v>0</v>
      </c>
      <c r="BZ18" s="116">
        <v>67</v>
      </c>
      <c r="CA18" s="116">
        <v>67</v>
      </c>
      <c r="CB18" s="116">
        <v>67</v>
      </c>
      <c r="CC18" s="116">
        <v>67</v>
      </c>
      <c r="CD18" s="116">
        <v>66</v>
      </c>
      <c r="CE18" s="116">
        <v>0</v>
      </c>
      <c r="CF18" s="116">
        <v>0</v>
      </c>
      <c r="CG18" s="116">
        <v>0</v>
      </c>
      <c r="CH18" s="116">
        <v>0</v>
      </c>
      <c r="CI18" s="116">
        <v>0</v>
      </c>
      <c r="CJ18" s="116">
        <v>0</v>
      </c>
      <c r="CK18" s="116">
        <v>0</v>
      </c>
      <c r="CL18" s="116">
        <v>0</v>
      </c>
      <c r="CM18" s="116">
        <v>0</v>
      </c>
      <c r="CN18" s="116">
        <v>67</v>
      </c>
      <c r="CO18" s="116">
        <v>66</v>
      </c>
      <c r="CP18" s="116">
        <v>67</v>
      </c>
      <c r="CQ18" s="116">
        <v>66</v>
      </c>
      <c r="CR18" s="116">
        <v>67</v>
      </c>
      <c r="CS18" s="116">
        <v>66</v>
      </c>
      <c r="CT18" s="116">
        <v>0</v>
      </c>
      <c r="CU18" s="116">
        <v>67</v>
      </c>
      <c r="CV18" s="116">
        <v>66</v>
      </c>
      <c r="CW18" s="116">
        <v>67</v>
      </c>
      <c r="CX18" s="116">
        <v>66</v>
      </c>
      <c r="CY18" s="116">
        <v>0</v>
      </c>
      <c r="CZ18" s="116">
        <v>1200</v>
      </c>
      <c r="DA18" s="116">
        <v>0</v>
      </c>
      <c r="DB18" s="116">
        <v>0</v>
      </c>
      <c r="DC18" s="116">
        <v>0</v>
      </c>
      <c r="DD18" s="116">
        <v>0</v>
      </c>
      <c r="DE18" s="116">
        <v>71</v>
      </c>
      <c r="DF18" s="116">
        <v>71</v>
      </c>
      <c r="DG18" s="116">
        <v>71</v>
      </c>
      <c r="DH18" s="116">
        <v>71</v>
      </c>
      <c r="DI18" s="116">
        <v>71</v>
      </c>
      <c r="DJ18" s="116">
        <v>0</v>
      </c>
      <c r="DK18" s="116">
        <v>71</v>
      </c>
      <c r="DL18" s="116">
        <v>71</v>
      </c>
      <c r="DM18" s="116">
        <v>71</v>
      </c>
      <c r="DN18" s="116">
        <v>71</v>
      </c>
      <c r="DO18" s="116">
        <v>71</v>
      </c>
      <c r="DP18" s="116">
        <v>0</v>
      </c>
      <c r="DQ18" s="116">
        <v>0</v>
      </c>
      <c r="DR18" s="116">
        <v>72</v>
      </c>
      <c r="DS18" s="116">
        <v>71</v>
      </c>
      <c r="DT18" s="116">
        <v>72</v>
      </c>
      <c r="DU18" s="116">
        <v>71</v>
      </c>
      <c r="DV18" s="116">
        <v>72</v>
      </c>
      <c r="DW18" s="116">
        <v>0</v>
      </c>
      <c r="DX18" s="116">
        <v>0</v>
      </c>
      <c r="DY18" s="116">
        <v>71</v>
      </c>
      <c r="DZ18" s="116">
        <v>72</v>
      </c>
      <c r="EA18" s="116">
        <v>71</v>
      </c>
      <c r="EB18" s="116">
        <v>72</v>
      </c>
      <c r="EC18" s="116">
        <v>71</v>
      </c>
      <c r="ED18" s="116">
        <v>0</v>
      </c>
      <c r="EE18" s="116">
        <v>0</v>
      </c>
      <c r="EF18" s="116">
        <v>1425</v>
      </c>
      <c r="EH18" s="4" t="s">
        <v>224</v>
      </c>
      <c r="EI18" t="b">
        <f t="shared" si="0"/>
        <v>0</v>
      </c>
    </row>
    <row r="19" spans="1:139" outlineLevel="1" x14ac:dyDescent="0.3">
      <c r="A19" s="233" t="s">
        <v>250</v>
      </c>
      <c r="B19" s="115" t="s">
        <v>251</v>
      </c>
      <c r="C19" s="115" t="s">
        <v>172</v>
      </c>
      <c r="D19" s="240" t="s">
        <v>331</v>
      </c>
      <c r="E19" s="240"/>
      <c r="F19" s="240" t="s">
        <v>238</v>
      </c>
      <c r="G19" s="240" t="s">
        <v>252</v>
      </c>
      <c r="H19" s="116">
        <v>21</v>
      </c>
      <c r="I19" s="116">
        <v>0</v>
      </c>
      <c r="J19" s="116">
        <v>254</v>
      </c>
      <c r="K19" s="116">
        <v>254</v>
      </c>
      <c r="L19" s="116">
        <v>254</v>
      </c>
      <c r="M19" s="116">
        <v>270</v>
      </c>
      <c r="N19" s="116">
        <v>255</v>
      </c>
      <c r="O19" s="116">
        <v>0</v>
      </c>
      <c r="P19" s="116">
        <v>0</v>
      </c>
      <c r="Q19" s="116">
        <v>258</v>
      </c>
      <c r="R19" s="116">
        <v>251</v>
      </c>
      <c r="S19" s="116">
        <v>256</v>
      </c>
      <c r="T19" s="116">
        <v>252</v>
      </c>
      <c r="U19" s="116">
        <v>278</v>
      </c>
      <c r="V19" s="116">
        <v>259</v>
      </c>
      <c r="W19" s="116">
        <v>0</v>
      </c>
      <c r="X19" s="116">
        <v>251</v>
      </c>
      <c r="Y19" s="116">
        <v>255</v>
      </c>
      <c r="Z19" s="116">
        <v>255</v>
      </c>
      <c r="AA19" s="116">
        <v>253</v>
      </c>
      <c r="AB19" s="116">
        <v>253</v>
      </c>
      <c r="AC19" s="116">
        <v>0</v>
      </c>
      <c r="AD19" s="116">
        <v>0</v>
      </c>
      <c r="AE19" s="116">
        <v>274</v>
      </c>
      <c r="AF19" s="116">
        <v>253</v>
      </c>
      <c r="AG19" s="116">
        <v>256</v>
      </c>
      <c r="AH19" s="116">
        <v>253</v>
      </c>
      <c r="AI19" s="116">
        <v>254</v>
      </c>
      <c r="AJ19" s="116">
        <v>253</v>
      </c>
      <c r="AK19" s="116">
        <v>0</v>
      </c>
      <c r="AL19" s="116">
        <v>0</v>
      </c>
      <c r="AM19" s="116">
        <v>0</v>
      </c>
      <c r="AN19" s="116">
        <v>5651</v>
      </c>
      <c r="AO19" s="116">
        <v>0</v>
      </c>
      <c r="AP19" s="116">
        <v>0</v>
      </c>
      <c r="AQ19" s="116">
        <v>0</v>
      </c>
      <c r="AR19" s="116">
        <v>321</v>
      </c>
      <c r="AS19" s="116">
        <v>325</v>
      </c>
      <c r="AT19" s="116">
        <v>322</v>
      </c>
      <c r="AU19" s="116">
        <v>0</v>
      </c>
      <c r="AV19" s="116">
        <v>0</v>
      </c>
      <c r="AW19" s="116">
        <v>324</v>
      </c>
      <c r="AX19" s="116">
        <v>341</v>
      </c>
      <c r="AY19" s="116">
        <v>325</v>
      </c>
      <c r="AZ19" s="116">
        <v>342</v>
      </c>
      <c r="BA19" s="116">
        <v>322</v>
      </c>
      <c r="BB19" s="116">
        <v>288</v>
      </c>
      <c r="BC19" s="116">
        <v>0</v>
      </c>
      <c r="BD19" s="116">
        <v>324</v>
      </c>
      <c r="BE19" s="116">
        <v>344</v>
      </c>
      <c r="BF19" s="116">
        <v>324</v>
      </c>
      <c r="BG19" s="116">
        <v>322</v>
      </c>
      <c r="BH19" s="116">
        <v>323</v>
      </c>
      <c r="BI19" s="116">
        <v>0</v>
      </c>
      <c r="BJ19" s="116">
        <v>0</v>
      </c>
      <c r="BK19" s="116">
        <v>324</v>
      </c>
      <c r="BL19" s="116">
        <v>343</v>
      </c>
      <c r="BM19" s="116">
        <v>286</v>
      </c>
      <c r="BN19" s="116">
        <v>323</v>
      </c>
      <c r="BO19" s="116">
        <v>325</v>
      </c>
      <c r="BP19" s="116">
        <v>286</v>
      </c>
      <c r="BQ19" s="116">
        <v>0</v>
      </c>
      <c r="BR19" s="116">
        <v>327</v>
      </c>
      <c r="BS19" s="116">
        <v>283</v>
      </c>
      <c r="BT19" s="116">
        <v>7044</v>
      </c>
      <c r="BU19" s="116">
        <v>290</v>
      </c>
      <c r="BV19" s="116">
        <v>290</v>
      </c>
      <c r="BW19" s="116">
        <v>290</v>
      </c>
      <c r="BX19" s="116">
        <v>0</v>
      </c>
      <c r="BY19" s="116">
        <v>0</v>
      </c>
      <c r="BZ19" s="116">
        <v>290</v>
      </c>
      <c r="CA19" s="116">
        <v>290</v>
      </c>
      <c r="CB19" s="116">
        <v>290</v>
      </c>
      <c r="CC19" s="116">
        <v>290</v>
      </c>
      <c r="CD19" s="116">
        <v>290</v>
      </c>
      <c r="CE19" s="116">
        <v>0</v>
      </c>
      <c r="CF19" s="116">
        <v>0</v>
      </c>
      <c r="CG19" s="116">
        <v>0</v>
      </c>
      <c r="CH19" s="116">
        <v>0</v>
      </c>
      <c r="CI19" s="116">
        <v>0</v>
      </c>
      <c r="CJ19" s="116">
        <v>0</v>
      </c>
      <c r="CK19" s="116">
        <v>0</v>
      </c>
      <c r="CL19" s="116">
        <v>0</v>
      </c>
      <c r="CM19" s="116">
        <v>0</v>
      </c>
      <c r="CN19" s="116">
        <v>290</v>
      </c>
      <c r="CO19" s="116">
        <v>290</v>
      </c>
      <c r="CP19" s="116">
        <v>291</v>
      </c>
      <c r="CQ19" s="116">
        <v>290</v>
      </c>
      <c r="CR19" s="116">
        <v>291</v>
      </c>
      <c r="CS19" s="116">
        <v>290</v>
      </c>
      <c r="CT19" s="116">
        <v>0</v>
      </c>
      <c r="CU19" s="116">
        <v>291</v>
      </c>
      <c r="CV19" s="116">
        <v>290</v>
      </c>
      <c r="CW19" s="116">
        <v>291</v>
      </c>
      <c r="CX19" s="116">
        <v>290</v>
      </c>
      <c r="CY19" s="116">
        <v>0</v>
      </c>
      <c r="CZ19" s="116">
        <v>5224</v>
      </c>
      <c r="DA19" s="116">
        <v>0</v>
      </c>
      <c r="DB19" s="116">
        <v>0</v>
      </c>
      <c r="DC19" s="116">
        <v>0</v>
      </c>
      <c r="DD19" s="116">
        <v>0</v>
      </c>
      <c r="DE19" s="116">
        <v>396</v>
      </c>
      <c r="DF19" s="116">
        <v>396</v>
      </c>
      <c r="DG19" s="116">
        <v>396</v>
      </c>
      <c r="DH19" s="116">
        <v>396</v>
      </c>
      <c r="DI19" s="116">
        <v>396</v>
      </c>
      <c r="DJ19" s="116">
        <v>0</v>
      </c>
      <c r="DK19" s="116">
        <v>395</v>
      </c>
      <c r="DL19" s="116">
        <v>396</v>
      </c>
      <c r="DM19" s="116">
        <v>395</v>
      </c>
      <c r="DN19" s="116">
        <v>396</v>
      </c>
      <c r="DO19" s="116">
        <v>395</v>
      </c>
      <c r="DP19" s="116">
        <v>0</v>
      </c>
      <c r="DQ19" s="116">
        <v>0</v>
      </c>
      <c r="DR19" s="116">
        <v>396</v>
      </c>
      <c r="DS19" s="116">
        <v>395</v>
      </c>
      <c r="DT19" s="116">
        <v>396</v>
      </c>
      <c r="DU19" s="116">
        <v>395</v>
      </c>
      <c r="DV19" s="116">
        <v>396</v>
      </c>
      <c r="DW19" s="116">
        <v>0</v>
      </c>
      <c r="DX19" s="116">
        <v>0</v>
      </c>
      <c r="DY19" s="116">
        <v>395</v>
      </c>
      <c r="DZ19" s="116">
        <v>396</v>
      </c>
      <c r="EA19" s="116">
        <v>395</v>
      </c>
      <c r="EB19" s="116">
        <v>396</v>
      </c>
      <c r="EC19" s="116">
        <v>395</v>
      </c>
      <c r="ED19" s="116">
        <v>0</v>
      </c>
      <c r="EE19" s="116">
        <v>0</v>
      </c>
      <c r="EF19" s="116">
        <v>7912</v>
      </c>
      <c r="EH19" s="4" t="s">
        <v>224</v>
      </c>
      <c r="EI19" t="b">
        <f t="shared" si="0"/>
        <v>0</v>
      </c>
    </row>
    <row r="20" spans="1:139" outlineLevel="1" x14ac:dyDescent="0.3">
      <c r="A20" s="233" t="s">
        <v>255</v>
      </c>
      <c r="B20" s="115" t="s">
        <v>256</v>
      </c>
      <c r="C20" s="115" t="s">
        <v>172</v>
      </c>
      <c r="D20" s="240" t="s">
        <v>331</v>
      </c>
      <c r="E20" s="240" t="s">
        <v>348</v>
      </c>
      <c r="F20" s="240" t="s">
        <v>238</v>
      </c>
      <c r="G20" s="240" t="s">
        <v>252</v>
      </c>
      <c r="H20" s="116">
        <v>8</v>
      </c>
      <c r="I20" s="116">
        <v>0</v>
      </c>
      <c r="J20" s="116">
        <v>34</v>
      </c>
      <c r="K20" s="116">
        <v>36</v>
      </c>
      <c r="L20" s="116">
        <v>35</v>
      </c>
      <c r="M20" s="116">
        <v>36</v>
      </c>
      <c r="N20" s="116">
        <v>36</v>
      </c>
      <c r="O20" s="116">
        <v>0</v>
      </c>
      <c r="P20" s="116">
        <v>0</v>
      </c>
      <c r="Q20" s="116">
        <v>33</v>
      </c>
      <c r="R20" s="116">
        <v>35</v>
      </c>
      <c r="S20" s="116">
        <v>36</v>
      </c>
      <c r="T20" s="116">
        <v>34</v>
      </c>
      <c r="U20" s="116">
        <v>38</v>
      </c>
      <c r="V20" s="116">
        <v>35</v>
      </c>
      <c r="W20" s="116">
        <v>0</v>
      </c>
      <c r="X20" s="116">
        <v>35</v>
      </c>
      <c r="Y20" s="116">
        <v>34</v>
      </c>
      <c r="Z20" s="116">
        <v>35</v>
      </c>
      <c r="AA20" s="116">
        <v>35</v>
      </c>
      <c r="AB20" s="116">
        <v>35</v>
      </c>
      <c r="AC20" s="116">
        <v>0</v>
      </c>
      <c r="AD20" s="116">
        <v>0</v>
      </c>
      <c r="AE20" s="116">
        <v>36</v>
      </c>
      <c r="AF20" s="116">
        <v>35</v>
      </c>
      <c r="AG20" s="116">
        <v>34</v>
      </c>
      <c r="AH20" s="116">
        <v>35</v>
      </c>
      <c r="AI20" s="116">
        <v>35</v>
      </c>
      <c r="AJ20" s="116">
        <v>35</v>
      </c>
      <c r="AK20" s="116">
        <v>0</v>
      </c>
      <c r="AL20" s="116">
        <v>0</v>
      </c>
      <c r="AM20" s="116">
        <v>0</v>
      </c>
      <c r="AN20" s="116">
        <v>772</v>
      </c>
      <c r="AO20" s="116">
        <v>0</v>
      </c>
      <c r="AP20" s="116">
        <v>0</v>
      </c>
      <c r="AQ20" s="116">
        <v>0</v>
      </c>
      <c r="AR20" s="116">
        <v>64</v>
      </c>
      <c r="AS20" s="116">
        <v>63</v>
      </c>
      <c r="AT20" s="116">
        <v>64</v>
      </c>
      <c r="AU20" s="116">
        <v>0</v>
      </c>
      <c r="AV20" s="116">
        <v>0</v>
      </c>
      <c r="AW20" s="116">
        <v>64</v>
      </c>
      <c r="AX20" s="116">
        <v>67</v>
      </c>
      <c r="AY20" s="116">
        <v>64</v>
      </c>
      <c r="AZ20" s="116">
        <v>67</v>
      </c>
      <c r="BA20" s="116">
        <v>64</v>
      </c>
      <c r="BB20" s="116">
        <v>57</v>
      </c>
      <c r="BC20" s="116">
        <v>0</v>
      </c>
      <c r="BD20" s="116">
        <v>64</v>
      </c>
      <c r="BE20" s="116">
        <v>67</v>
      </c>
      <c r="BF20" s="116">
        <v>64</v>
      </c>
      <c r="BG20" s="116">
        <v>64</v>
      </c>
      <c r="BH20" s="116">
        <v>64</v>
      </c>
      <c r="BI20" s="116">
        <v>0</v>
      </c>
      <c r="BJ20" s="116">
        <v>0</v>
      </c>
      <c r="BK20" s="116">
        <v>63</v>
      </c>
      <c r="BL20" s="116">
        <v>68</v>
      </c>
      <c r="BM20" s="116">
        <v>55</v>
      </c>
      <c r="BN20" s="116">
        <v>65</v>
      </c>
      <c r="BO20" s="116">
        <v>63</v>
      </c>
      <c r="BP20" s="116">
        <v>57</v>
      </c>
      <c r="BQ20" s="116">
        <v>0</v>
      </c>
      <c r="BR20" s="116">
        <v>64</v>
      </c>
      <c r="BS20" s="116">
        <v>56</v>
      </c>
      <c r="BT20" s="116">
        <v>1388</v>
      </c>
      <c r="BU20" s="116">
        <v>41</v>
      </c>
      <c r="BV20" s="116">
        <v>41</v>
      </c>
      <c r="BW20" s="116">
        <v>41</v>
      </c>
      <c r="BX20" s="116">
        <v>0</v>
      </c>
      <c r="BY20" s="116">
        <v>0</v>
      </c>
      <c r="BZ20" s="116">
        <v>41</v>
      </c>
      <c r="CA20" s="116">
        <v>41</v>
      </c>
      <c r="CB20" s="116">
        <v>41</v>
      </c>
      <c r="CC20" s="116">
        <v>41</v>
      </c>
      <c r="CD20" s="116">
        <v>41</v>
      </c>
      <c r="CE20" s="116">
        <v>0</v>
      </c>
      <c r="CF20" s="116">
        <v>0</v>
      </c>
      <c r="CG20" s="116">
        <v>0</v>
      </c>
      <c r="CH20" s="116">
        <v>0</v>
      </c>
      <c r="CI20" s="116">
        <v>0</v>
      </c>
      <c r="CJ20" s="116">
        <v>0</v>
      </c>
      <c r="CK20" s="116">
        <v>0</v>
      </c>
      <c r="CL20" s="116">
        <v>0</v>
      </c>
      <c r="CM20" s="116">
        <v>0</v>
      </c>
      <c r="CN20" s="116">
        <v>41</v>
      </c>
      <c r="CO20" s="116">
        <v>40</v>
      </c>
      <c r="CP20" s="116">
        <v>41</v>
      </c>
      <c r="CQ20" s="116">
        <v>40</v>
      </c>
      <c r="CR20" s="116">
        <v>41</v>
      </c>
      <c r="CS20" s="116">
        <v>40</v>
      </c>
      <c r="CT20" s="116">
        <v>0</v>
      </c>
      <c r="CU20" s="116">
        <v>41</v>
      </c>
      <c r="CV20" s="116">
        <v>40</v>
      </c>
      <c r="CW20" s="116">
        <v>41</v>
      </c>
      <c r="CX20" s="116">
        <v>40</v>
      </c>
      <c r="CY20" s="116">
        <v>0</v>
      </c>
      <c r="CZ20" s="116">
        <v>733</v>
      </c>
      <c r="DA20" s="116">
        <v>0</v>
      </c>
      <c r="DB20" s="116">
        <v>0</v>
      </c>
      <c r="DC20" s="116">
        <v>0</v>
      </c>
      <c r="DD20" s="116">
        <v>0</v>
      </c>
      <c r="DE20" s="116">
        <v>68</v>
      </c>
      <c r="DF20" s="116">
        <v>68</v>
      </c>
      <c r="DG20" s="116">
        <v>68</v>
      </c>
      <c r="DH20" s="116">
        <v>68</v>
      </c>
      <c r="DI20" s="116">
        <v>68</v>
      </c>
      <c r="DJ20" s="116">
        <v>0</v>
      </c>
      <c r="DK20" s="116">
        <v>68</v>
      </c>
      <c r="DL20" s="116">
        <v>68</v>
      </c>
      <c r="DM20" s="116">
        <v>67</v>
      </c>
      <c r="DN20" s="116">
        <v>68</v>
      </c>
      <c r="DO20" s="116">
        <v>67</v>
      </c>
      <c r="DP20" s="116">
        <v>0</v>
      </c>
      <c r="DQ20" s="116">
        <v>0</v>
      </c>
      <c r="DR20" s="116">
        <v>68</v>
      </c>
      <c r="DS20" s="116">
        <v>67</v>
      </c>
      <c r="DT20" s="116">
        <v>68</v>
      </c>
      <c r="DU20" s="116">
        <v>67</v>
      </c>
      <c r="DV20" s="116">
        <v>68</v>
      </c>
      <c r="DW20" s="116">
        <v>0</v>
      </c>
      <c r="DX20" s="116">
        <v>0</v>
      </c>
      <c r="DY20" s="116">
        <v>67</v>
      </c>
      <c r="DZ20" s="116">
        <v>68</v>
      </c>
      <c r="EA20" s="116">
        <v>67</v>
      </c>
      <c r="EB20" s="116">
        <v>68</v>
      </c>
      <c r="EC20" s="116">
        <v>67</v>
      </c>
      <c r="ED20" s="116">
        <v>0</v>
      </c>
      <c r="EE20" s="116">
        <v>0</v>
      </c>
      <c r="EF20" s="116">
        <v>1353</v>
      </c>
      <c r="EG20" s="95"/>
      <c r="EH20" s="4" t="s">
        <v>236</v>
      </c>
      <c r="EI20" t="b">
        <f t="shared" si="0"/>
        <v>0</v>
      </c>
    </row>
    <row r="21" spans="1:139" x14ac:dyDescent="0.3">
      <c r="A21" s="233" t="s">
        <v>264</v>
      </c>
      <c r="B21" s="115" t="s">
        <v>265</v>
      </c>
      <c r="C21" s="115" t="s">
        <v>172</v>
      </c>
      <c r="D21" s="240" t="s">
        <v>331</v>
      </c>
      <c r="E21" s="240" t="s">
        <v>348</v>
      </c>
      <c r="F21" s="240" t="s">
        <v>238</v>
      </c>
      <c r="G21" s="240" t="s">
        <v>252</v>
      </c>
      <c r="H21" s="116">
        <v>8</v>
      </c>
      <c r="I21" s="116">
        <v>0</v>
      </c>
      <c r="J21" s="116">
        <v>43</v>
      </c>
      <c r="K21" s="116">
        <v>37</v>
      </c>
      <c r="L21" s="116">
        <v>40</v>
      </c>
      <c r="M21" s="116">
        <v>44</v>
      </c>
      <c r="N21" s="116">
        <v>41</v>
      </c>
      <c r="O21" s="116">
        <v>0</v>
      </c>
      <c r="P21" s="116">
        <v>0</v>
      </c>
      <c r="Q21" s="116">
        <v>37</v>
      </c>
      <c r="R21" s="116">
        <v>39</v>
      </c>
      <c r="S21" s="116">
        <v>39</v>
      </c>
      <c r="T21" s="116">
        <v>37</v>
      </c>
      <c r="U21" s="116">
        <v>43</v>
      </c>
      <c r="V21" s="116">
        <v>41</v>
      </c>
      <c r="W21" s="116">
        <v>0</v>
      </c>
      <c r="X21" s="116">
        <v>39</v>
      </c>
      <c r="Y21" s="116">
        <v>39</v>
      </c>
      <c r="Z21" s="116">
        <v>39</v>
      </c>
      <c r="AA21" s="116">
        <v>39</v>
      </c>
      <c r="AB21" s="116">
        <v>39</v>
      </c>
      <c r="AC21" s="116">
        <v>0</v>
      </c>
      <c r="AD21" s="116">
        <v>0</v>
      </c>
      <c r="AE21" s="116">
        <v>41</v>
      </c>
      <c r="AF21" s="116">
        <v>38</v>
      </c>
      <c r="AG21" s="116">
        <v>41</v>
      </c>
      <c r="AH21" s="116">
        <v>38</v>
      </c>
      <c r="AI21" s="116">
        <v>39</v>
      </c>
      <c r="AJ21" s="116">
        <v>40</v>
      </c>
      <c r="AK21" s="116">
        <v>0</v>
      </c>
      <c r="AL21" s="116">
        <v>0</v>
      </c>
      <c r="AM21" s="116">
        <v>0</v>
      </c>
      <c r="AN21" s="116">
        <v>873</v>
      </c>
      <c r="AO21" s="116">
        <v>0</v>
      </c>
      <c r="AP21" s="116">
        <v>0</v>
      </c>
      <c r="AQ21" s="116">
        <v>0</v>
      </c>
      <c r="AR21" s="116">
        <v>51</v>
      </c>
      <c r="AS21" s="116">
        <v>52</v>
      </c>
      <c r="AT21" s="116">
        <v>50</v>
      </c>
      <c r="AU21" s="116">
        <v>0</v>
      </c>
      <c r="AV21" s="116">
        <v>0</v>
      </c>
      <c r="AW21" s="116">
        <v>54</v>
      </c>
      <c r="AX21" s="116">
        <v>54</v>
      </c>
      <c r="AY21" s="116">
        <v>53</v>
      </c>
      <c r="AZ21" s="116">
        <v>54</v>
      </c>
      <c r="BA21" s="116">
        <v>53</v>
      </c>
      <c r="BB21" s="116">
        <v>47</v>
      </c>
      <c r="BC21" s="116">
        <v>0</v>
      </c>
      <c r="BD21" s="116">
        <v>52</v>
      </c>
      <c r="BE21" s="116">
        <v>55</v>
      </c>
      <c r="BF21" s="116">
        <v>51</v>
      </c>
      <c r="BG21" s="116">
        <v>52</v>
      </c>
      <c r="BH21" s="116">
        <v>53</v>
      </c>
      <c r="BI21" s="116">
        <v>0</v>
      </c>
      <c r="BJ21" s="116">
        <v>0</v>
      </c>
      <c r="BK21" s="116">
        <v>52</v>
      </c>
      <c r="BL21" s="116">
        <v>55</v>
      </c>
      <c r="BM21" s="116">
        <v>45</v>
      </c>
      <c r="BN21" s="116">
        <v>51</v>
      </c>
      <c r="BO21" s="116">
        <v>53</v>
      </c>
      <c r="BP21" s="116">
        <v>48</v>
      </c>
      <c r="BQ21" s="116">
        <v>0</v>
      </c>
      <c r="BR21" s="116">
        <v>52</v>
      </c>
      <c r="BS21" s="116">
        <v>47</v>
      </c>
      <c r="BT21" s="116">
        <v>1134</v>
      </c>
      <c r="BU21" s="116">
        <v>75</v>
      </c>
      <c r="BV21" s="116">
        <v>75</v>
      </c>
      <c r="BW21" s="116">
        <v>75</v>
      </c>
      <c r="BX21" s="116">
        <v>0</v>
      </c>
      <c r="BY21" s="116">
        <v>0</v>
      </c>
      <c r="BZ21" s="116">
        <v>75</v>
      </c>
      <c r="CA21" s="116">
        <v>75</v>
      </c>
      <c r="CB21" s="116">
        <v>75</v>
      </c>
      <c r="CC21" s="116">
        <v>76</v>
      </c>
      <c r="CD21" s="116">
        <v>75</v>
      </c>
      <c r="CE21" s="116">
        <v>0</v>
      </c>
      <c r="CF21" s="116">
        <v>0</v>
      </c>
      <c r="CG21" s="116">
        <v>0</v>
      </c>
      <c r="CH21" s="116">
        <v>0</v>
      </c>
      <c r="CI21" s="116">
        <v>0</v>
      </c>
      <c r="CJ21" s="116">
        <v>0</v>
      </c>
      <c r="CK21" s="116">
        <v>0</v>
      </c>
      <c r="CL21" s="116">
        <v>0</v>
      </c>
      <c r="CM21" s="116">
        <v>0</v>
      </c>
      <c r="CN21" s="116">
        <v>76</v>
      </c>
      <c r="CO21" s="116">
        <v>75</v>
      </c>
      <c r="CP21" s="116">
        <v>76</v>
      </c>
      <c r="CQ21" s="116">
        <v>75</v>
      </c>
      <c r="CR21" s="116">
        <v>76</v>
      </c>
      <c r="CS21" s="116">
        <v>75</v>
      </c>
      <c r="CT21" s="116">
        <v>0</v>
      </c>
      <c r="CU21" s="116">
        <v>76</v>
      </c>
      <c r="CV21" s="116">
        <v>75</v>
      </c>
      <c r="CW21" s="116">
        <v>76</v>
      </c>
      <c r="CX21" s="116">
        <v>75</v>
      </c>
      <c r="CY21" s="116">
        <v>0</v>
      </c>
      <c r="CZ21" s="116">
        <v>1356</v>
      </c>
      <c r="DA21" s="116">
        <v>0</v>
      </c>
      <c r="DB21" s="116">
        <v>0</v>
      </c>
      <c r="DC21" s="116">
        <v>0</v>
      </c>
      <c r="DD21" s="116">
        <v>0</v>
      </c>
      <c r="DE21" s="116">
        <v>73</v>
      </c>
      <c r="DF21" s="116">
        <v>73</v>
      </c>
      <c r="DG21" s="116">
        <v>73</v>
      </c>
      <c r="DH21" s="116">
        <v>73</v>
      </c>
      <c r="DI21" s="116">
        <v>74</v>
      </c>
      <c r="DJ21" s="116">
        <v>0</v>
      </c>
      <c r="DK21" s="116">
        <v>73</v>
      </c>
      <c r="DL21" s="116">
        <v>74</v>
      </c>
      <c r="DM21" s="116">
        <v>73</v>
      </c>
      <c r="DN21" s="116">
        <v>74</v>
      </c>
      <c r="DO21" s="116">
        <v>73</v>
      </c>
      <c r="DP21" s="116">
        <v>0</v>
      </c>
      <c r="DQ21" s="116">
        <v>0</v>
      </c>
      <c r="DR21" s="116">
        <v>74</v>
      </c>
      <c r="DS21" s="116">
        <v>73</v>
      </c>
      <c r="DT21" s="116">
        <v>74</v>
      </c>
      <c r="DU21" s="116">
        <v>73</v>
      </c>
      <c r="DV21" s="116">
        <v>74</v>
      </c>
      <c r="DW21" s="116">
        <v>0</v>
      </c>
      <c r="DX21" s="116">
        <v>0</v>
      </c>
      <c r="DY21" s="116">
        <v>73</v>
      </c>
      <c r="DZ21" s="116">
        <v>74</v>
      </c>
      <c r="EA21" s="116">
        <v>73</v>
      </c>
      <c r="EB21" s="116">
        <v>74</v>
      </c>
      <c r="EC21" s="116">
        <v>73</v>
      </c>
      <c r="ED21" s="116">
        <v>0</v>
      </c>
      <c r="EE21" s="116">
        <v>0</v>
      </c>
      <c r="EF21" s="116">
        <v>1468</v>
      </c>
      <c r="EG21" s="95"/>
      <c r="EH21" s="4" t="s">
        <v>262</v>
      </c>
      <c r="EI21" t="b">
        <f t="shared" si="0"/>
        <v>0</v>
      </c>
    </row>
    <row r="22" spans="1:139" x14ac:dyDescent="0.3">
      <c r="A22" s="230"/>
      <c r="B22" s="115"/>
      <c r="C22" s="115"/>
      <c r="D22" s="115"/>
      <c r="E22" s="115"/>
      <c r="F22" s="115"/>
      <c r="G22" s="115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7"/>
    </row>
    <row r="23" spans="1:139" x14ac:dyDescent="0.3">
      <c r="AN23" s="95">
        <f>SUM(AN14:AN22)</f>
        <v>24902</v>
      </c>
      <c r="AO23" s="95">
        <f t="shared" ref="AO23:CZ23" si="1">SUM(AO14:AO22)</f>
        <v>0</v>
      </c>
      <c r="AP23" s="95">
        <f t="shared" si="1"/>
        <v>0</v>
      </c>
      <c r="AQ23" s="95">
        <f t="shared" si="1"/>
        <v>438</v>
      </c>
      <c r="AR23" s="95">
        <f t="shared" si="1"/>
        <v>1085</v>
      </c>
      <c r="AS23" s="95">
        <f t="shared" si="1"/>
        <v>1145</v>
      </c>
      <c r="AT23" s="95">
        <f t="shared" si="1"/>
        <v>1087</v>
      </c>
      <c r="AU23" s="95">
        <f t="shared" si="1"/>
        <v>201</v>
      </c>
      <c r="AV23" s="95">
        <f t="shared" si="1"/>
        <v>0</v>
      </c>
      <c r="AW23" s="95">
        <f t="shared" si="1"/>
        <v>1157</v>
      </c>
      <c r="AX23" s="95">
        <f t="shared" si="1"/>
        <v>1151</v>
      </c>
      <c r="AY23" s="95">
        <f t="shared" si="1"/>
        <v>1056</v>
      </c>
      <c r="AZ23" s="95">
        <f t="shared" si="1"/>
        <v>1173</v>
      </c>
      <c r="BA23" s="95">
        <f t="shared" si="1"/>
        <v>1122</v>
      </c>
      <c r="BB23" s="95">
        <f t="shared" si="1"/>
        <v>1073</v>
      </c>
      <c r="BC23" s="95">
        <f t="shared" si="1"/>
        <v>0</v>
      </c>
      <c r="BD23" s="95">
        <f t="shared" si="1"/>
        <v>1080</v>
      </c>
      <c r="BE23" s="95">
        <f t="shared" si="1"/>
        <v>1154</v>
      </c>
      <c r="BF23" s="95">
        <f t="shared" si="1"/>
        <v>1088</v>
      </c>
      <c r="BG23" s="95">
        <f t="shared" si="1"/>
        <v>1148</v>
      </c>
      <c r="BH23" s="95">
        <f t="shared" si="1"/>
        <v>1105</v>
      </c>
      <c r="BI23" s="95">
        <f t="shared" si="1"/>
        <v>0</v>
      </c>
      <c r="BJ23" s="95">
        <f t="shared" si="1"/>
        <v>0</v>
      </c>
      <c r="BK23" s="95">
        <f t="shared" si="1"/>
        <v>1183</v>
      </c>
      <c r="BL23" s="95">
        <f t="shared" si="1"/>
        <v>1126</v>
      </c>
      <c r="BM23" s="95">
        <f t="shared" si="1"/>
        <v>1011</v>
      </c>
      <c r="BN23" s="95">
        <f t="shared" si="1"/>
        <v>1130</v>
      </c>
      <c r="BO23" s="95">
        <f t="shared" si="1"/>
        <v>1089</v>
      </c>
      <c r="BP23" s="95">
        <f t="shared" si="1"/>
        <v>1037</v>
      </c>
      <c r="BQ23" s="95">
        <f t="shared" si="1"/>
        <v>0</v>
      </c>
      <c r="BR23" s="95">
        <f t="shared" si="1"/>
        <v>1183</v>
      </c>
      <c r="BS23" s="95">
        <f t="shared" si="1"/>
        <v>971</v>
      </c>
      <c r="BT23" s="95">
        <f t="shared" si="1"/>
        <v>24993</v>
      </c>
      <c r="BU23" s="95">
        <f t="shared" si="1"/>
        <v>1222</v>
      </c>
      <c r="BV23" s="95">
        <f t="shared" si="1"/>
        <v>1222</v>
      </c>
      <c r="BW23" s="95">
        <f t="shared" si="1"/>
        <v>1222</v>
      </c>
      <c r="BX23" s="95">
        <f t="shared" si="1"/>
        <v>302</v>
      </c>
      <c r="BY23" s="95">
        <f t="shared" si="1"/>
        <v>0</v>
      </c>
      <c r="BZ23" s="95">
        <f t="shared" si="1"/>
        <v>1221</v>
      </c>
      <c r="CA23" s="95">
        <f t="shared" si="1"/>
        <v>1223</v>
      </c>
      <c r="CB23" s="95">
        <f t="shared" si="1"/>
        <v>1221</v>
      </c>
      <c r="CC23" s="95">
        <f t="shared" si="1"/>
        <v>1224</v>
      </c>
      <c r="CD23" s="95">
        <f t="shared" si="1"/>
        <v>1220</v>
      </c>
      <c r="CE23" s="95">
        <f t="shared" si="1"/>
        <v>0</v>
      </c>
      <c r="CF23" s="95">
        <f t="shared" si="1"/>
        <v>0</v>
      </c>
      <c r="CG23" s="95">
        <f t="shared" si="1"/>
        <v>0</v>
      </c>
      <c r="CH23" s="95">
        <f t="shared" si="1"/>
        <v>0</v>
      </c>
      <c r="CI23" s="95">
        <f t="shared" si="1"/>
        <v>0</v>
      </c>
      <c r="CJ23" s="95">
        <f t="shared" si="1"/>
        <v>0</v>
      </c>
      <c r="CK23" s="95">
        <f t="shared" si="1"/>
        <v>0</v>
      </c>
      <c r="CL23" s="95">
        <f t="shared" si="1"/>
        <v>0</v>
      </c>
      <c r="CM23" s="95">
        <f t="shared" si="1"/>
        <v>0</v>
      </c>
      <c r="CN23" s="95">
        <f t="shared" si="1"/>
        <v>1225</v>
      </c>
      <c r="CO23" s="95">
        <f t="shared" si="1"/>
        <v>1219</v>
      </c>
      <c r="CP23" s="95">
        <f t="shared" si="1"/>
        <v>1226</v>
      </c>
      <c r="CQ23" s="95">
        <f t="shared" si="1"/>
        <v>1219</v>
      </c>
      <c r="CR23" s="95">
        <f t="shared" si="1"/>
        <v>1226</v>
      </c>
      <c r="CS23" s="95">
        <f t="shared" si="1"/>
        <v>1219</v>
      </c>
      <c r="CT23" s="95">
        <f t="shared" si="1"/>
        <v>0</v>
      </c>
      <c r="CU23" s="95">
        <f t="shared" si="1"/>
        <v>1226</v>
      </c>
      <c r="CV23" s="95">
        <f t="shared" si="1"/>
        <v>1218</v>
      </c>
      <c r="CW23" s="95">
        <f t="shared" si="1"/>
        <v>1226</v>
      </c>
      <c r="CX23" s="95">
        <f t="shared" si="1"/>
        <v>1218</v>
      </c>
      <c r="CY23" s="95">
        <f t="shared" si="1"/>
        <v>0</v>
      </c>
      <c r="CZ23" s="95">
        <f t="shared" si="1"/>
        <v>22299</v>
      </c>
      <c r="DA23" s="95">
        <f t="shared" ref="DA23:EF23" si="2">SUM(DA14:DA22)</f>
        <v>0</v>
      </c>
      <c r="DB23" s="95">
        <f t="shared" si="2"/>
        <v>0</v>
      </c>
      <c r="DC23" s="95">
        <f t="shared" si="2"/>
        <v>0</v>
      </c>
      <c r="DD23" s="95">
        <f t="shared" si="2"/>
        <v>0</v>
      </c>
      <c r="DE23" s="95">
        <f t="shared" si="2"/>
        <v>1227</v>
      </c>
      <c r="DF23" s="95">
        <f t="shared" si="2"/>
        <v>1226</v>
      </c>
      <c r="DG23" s="95">
        <f t="shared" si="2"/>
        <v>1227</v>
      </c>
      <c r="DH23" s="95">
        <f t="shared" si="2"/>
        <v>1225</v>
      </c>
      <c r="DI23" s="95">
        <f t="shared" si="2"/>
        <v>1228</v>
      </c>
      <c r="DJ23" s="95">
        <f t="shared" si="2"/>
        <v>0</v>
      </c>
      <c r="DK23" s="95">
        <f t="shared" si="2"/>
        <v>1224</v>
      </c>
      <c r="DL23" s="95">
        <f t="shared" si="2"/>
        <v>1228</v>
      </c>
      <c r="DM23" s="95">
        <f t="shared" si="2"/>
        <v>1223</v>
      </c>
      <c r="DN23" s="95">
        <f t="shared" si="2"/>
        <v>1228</v>
      </c>
      <c r="DO23" s="95">
        <f t="shared" si="2"/>
        <v>1223</v>
      </c>
      <c r="DP23" s="95">
        <f t="shared" si="2"/>
        <v>0</v>
      </c>
      <c r="DQ23" s="95">
        <f t="shared" si="2"/>
        <v>0</v>
      </c>
      <c r="DR23" s="95">
        <f t="shared" si="2"/>
        <v>1229</v>
      </c>
      <c r="DS23" s="95">
        <f t="shared" si="2"/>
        <v>1223</v>
      </c>
      <c r="DT23" s="95">
        <f t="shared" si="2"/>
        <v>1229</v>
      </c>
      <c r="DU23" s="95">
        <f t="shared" si="2"/>
        <v>1222</v>
      </c>
      <c r="DV23" s="95">
        <f t="shared" si="2"/>
        <v>1229</v>
      </c>
      <c r="DW23" s="95">
        <f t="shared" si="2"/>
        <v>0</v>
      </c>
      <c r="DX23" s="95">
        <f t="shared" si="2"/>
        <v>0</v>
      </c>
      <c r="DY23" s="95">
        <f t="shared" si="2"/>
        <v>1222</v>
      </c>
      <c r="DZ23" s="95">
        <f t="shared" si="2"/>
        <v>1229</v>
      </c>
      <c r="EA23" s="95">
        <f t="shared" si="2"/>
        <v>1222</v>
      </c>
      <c r="EB23" s="95">
        <f t="shared" si="2"/>
        <v>1229</v>
      </c>
      <c r="EC23" s="95">
        <f t="shared" si="2"/>
        <v>1222</v>
      </c>
      <c r="ED23" s="95">
        <f t="shared" si="2"/>
        <v>0</v>
      </c>
      <c r="EE23" s="95">
        <f t="shared" si="2"/>
        <v>0</v>
      </c>
      <c r="EF23" s="95">
        <f t="shared" si="2"/>
        <v>24515</v>
      </c>
      <c r="EG23" s="117">
        <f>SUM(AN23,BT23,CZ23,EF233,EF23)</f>
        <v>96709</v>
      </c>
    </row>
    <row r="24" spans="1:139" x14ac:dyDescent="0.3">
      <c r="I24" s="165"/>
      <c r="AN24" s="141"/>
    </row>
    <row r="25" spans="1:139" x14ac:dyDescent="0.3">
      <c r="I25" s="95"/>
    </row>
    <row r="26" spans="1:139" x14ac:dyDescent="0.3">
      <c r="I26" s="166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</row>
    <row r="27" spans="1:139" x14ac:dyDescent="0.3">
      <c r="I27" s="167"/>
    </row>
    <row r="28" spans="1:139" x14ac:dyDescent="0.3">
      <c r="AB28" s="167"/>
    </row>
    <row r="29" spans="1:139" x14ac:dyDescent="0.3">
      <c r="AB29" s="167"/>
    </row>
    <row r="32" spans="1:139" x14ac:dyDescent="0.3"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H22"/>
  <sheetViews>
    <sheetView topLeftCell="A4" zoomScale="90" zoomScaleNormal="90" workbookViewId="0">
      <selection activeCell="K17" sqref="K17"/>
    </sheetView>
  </sheetViews>
  <sheetFormatPr defaultRowHeight="14.4" outlineLevelCol="1" x14ac:dyDescent="0.3"/>
  <cols>
    <col min="1" max="1" width="16.88671875" customWidth="1"/>
    <col min="2" max="2" width="11.21875" customWidth="1"/>
    <col min="3" max="3" width="8.5546875" customWidth="1"/>
    <col min="4" max="4" width="6.21875" customWidth="1"/>
    <col min="5" max="6" width="7" bestFit="1" customWidth="1"/>
    <col min="7" max="7" width="7.44140625" customWidth="1"/>
    <col min="8" max="8" width="12.88671875" customWidth="1"/>
    <col min="9" max="10" width="5" hidden="1" customWidth="1" outlineLevel="1"/>
    <col min="11" max="11" width="10.33203125" hidden="1" customWidth="1" outlineLevel="1"/>
    <col min="12" max="12" width="8" hidden="1" customWidth="1" outlineLevel="1"/>
    <col min="13" max="13" width="7.77734375" hidden="1" customWidth="1" outlineLevel="1"/>
    <col min="14" max="14" width="8.109375" hidden="1" customWidth="1" outlineLevel="1"/>
    <col min="15" max="16" width="5" hidden="1" customWidth="1" outlineLevel="1"/>
    <col min="17" max="17" width="4.33203125" hidden="1" customWidth="1" outlineLevel="1"/>
    <col min="18" max="23" width="5.33203125" hidden="1" customWidth="1" outlineLevel="1"/>
    <col min="24" max="39" width="5" hidden="1" customWidth="1" outlineLevel="1"/>
    <col min="40" max="40" width="8.44140625" customWidth="1" collapsed="1"/>
    <col min="41" max="71" width="5.6640625" hidden="1" customWidth="1" outlineLevel="1"/>
    <col min="72" max="72" width="7.5546875" customWidth="1" collapsed="1"/>
    <col min="73" max="103" width="5.6640625" hidden="1" customWidth="1" outlineLevel="1"/>
    <col min="104" max="104" width="8.44140625" customWidth="1" collapsed="1"/>
    <col min="105" max="135" width="5" hidden="1" customWidth="1" outlineLevel="1"/>
    <col min="136" max="136" width="9.33203125" customWidth="1" collapsed="1"/>
    <col min="141" max="141" width="8.6640625" customWidth="1"/>
    <col min="257" max="257" width="19" bestFit="1" customWidth="1"/>
    <col min="258" max="258" width="9" bestFit="1" customWidth="1"/>
    <col min="259" max="259" width="45" bestFit="1" customWidth="1"/>
    <col min="260" max="260" width="11" bestFit="1" customWidth="1"/>
    <col min="261" max="262" width="7" bestFit="1" customWidth="1"/>
    <col min="263" max="263" width="8" bestFit="1" customWidth="1"/>
    <col min="264" max="264" width="7" bestFit="1" customWidth="1"/>
    <col min="265" max="392" width="5" bestFit="1" customWidth="1"/>
    <col min="513" max="513" width="19" bestFit="1" customWidth="1"/>
    <col min="514" max="514" width="9" bestFit="1" customWidth="1"/>
    <col min="515" max="515" width="45" bestFit="1" customWidth="1"/>
    <col min="516" max="516" width="11" bestFit="1" customWidth="1"/>
    <col min="517" max="518" width="7" bestFit="1" customWidth="1"/>
    <col min="519" max="519" width="8" bestFit="1" customWidth="1"/>
    <col min="520" max="520" width="7" bestFit="1" customWidth="1"/>
    <col min="521" max="648" width="5" bestFit="1" customWidth="1"/>
    <col min="769" max="769" width="19" bestFit="1" customWidth="1"/>
    <col min="770" max="770" width="9" bestFit="1" customWidth="1"/>
    <col min="771" max="771" width="45" bestFit="1" customWidth="1"/>
    <col min="772" max="772" width="11" bestFit="1" customWidth="1"/>
    <col min="773" max="774" width="7" bestFit="1" customWidth="1"/>
    <col min="775" max="775" width="8" bestFit="1" customWidth="1"/>
    <col min="776" max="776" width="7" bestFit="1" customWidth="1"/>
    <col min="777" max="904" width="5" bestFit="1" customWidth="1"/>
    <col min="1025" max="1025" width="19" bestFit="1" customWidth="1"/>
    <col min="1026" max="1026" width="9" bestFit="1" customWidth="1"/>
    <col min="1027" max="1027" width="45" bestFit="1" customWidth="1"/>
    <col min="1028" max="1028" width="11" bestFit="1" customWidth="1"/>
    <col min="1029" max="1030" width="7" bestFit="1" customWidth="1"/>
    <col min="1031" max="1031" width="8" bestFit="1" customWidth="1"/>
    <col min="1032" max="1032" width="7" bestFit="1" customWidth="1"/>
    <col min="1033" max="1160" width="5" bestFit="1" customWidth="1"/>
    <col min="1281" max="1281" width="19" bestFit="1" customWidth="1"/>
    <col min="1282" max="1282" width="9" bestFit="1" customWidth="1"/>
    <col min="1283" max="1283" width="45" bestFit="1" customWidth="1"/>
    <col min="1284" max="1284" width="11" bestFit="1" customWidth="1"/>
    <col min="1285" max="1286" width="7" bestFit="1" customWidth="1"/>
    <col min="1287" max="1287" width="8" bestFit="1" customWidth="1"/>
    <col min="1288" max="1288" width="7" bestFit="1" customWidth="1"/>
    <col min="1289" max="1416" width="5" bestFit="1" customWidth="1"/>
    <col min="1537" max="1537" width="19" bestFit="1" customWidth="1"/>
    <col min="1538" max="1538" width="9" bestFit="1" customWidth="1"/>
    <col min="1539" max="1539" width="45" bestFit="1" customWidth="1"/>
    <col min="1540" max="1540" width="11" bestFit="1" customWidth="1"/>
    <col min="1541" max="1542" width="7" bestFit="1" customWidth="1"/>
    <col min="1543" max="1543" width="8" bestFit="1" customWidth="1"/>
    <col min="1544" max="1544" width="7" bestFit="1" customWidth="1"/>
    <col min="1545" max="1672" width="5" bestFit="1" customWidth="1"/>
    <col min="1793" max="1793" width="19" bestFit="1" customWidth="1"/>
    <col min="1794" max="1794" width="9" bestFit="1" customWidth="1"/>
    <col min="1795" max="1795" width="45" bestFit="1" customWidth="1"/>
    <col min="1796" max="1796" width="11" bestFit="1" customWidth="1"/>
    <col min="1797" max="1798" width="7" bestFit="1" customWidth="1"/>
    <col min="1799" max="1799" width="8" bestFit="1" customWidth="1"/>
    <col min="1800" max="1800" width="7" bestFit="1" customWidth="1"/>
    <col min="1801" max="1928" width="5" bestFit="1" customWidth="1"/>
    <col min="2049" max="2049" width="19" bestFit="1" customWidth="1"/>
    <col min="2050" max="2050" width="9" bestFit="1" customWidth="1"/>
    <col min="2051" max="2051" width="45" bestFit="1" customWidth="1"/>
    <col min="2052" max="2052" width="11" bestFit="1" customWidth="1"/>
    <col min="2053" max="2054" width="7" bestFit="1" customWidth="1"/>
    <col min="2055" max="2055" width="8" bestFit="1" customWidth="1"/>
    <col min="2056" max="2056" width="7" bestFit="1" customWidth="1"/>
    <col min="2057" max="2184" width="5" bestFit="1" customWidth="1"/>
    <col min="2305" max="2305" width="19" bestFit="1" customWidth="1"/>
    <col min="2306" max="2306" width="9" bestFit="1" customWidth="1"/>
    <col min="2307" max="2307" width="45" bestFit="1" customWidth="1"/>
    <col min="2308" max="2308" width="11" bestFit="1" customWidth="1"/>
    <col min="2309" max="2310" width="7" bestFit="1" customWidth="1"/>
    <col min="2311" max="2311" width="8" bestFit="1" customWidth="1"/>
    <col min="2312" max="2312" width="7" bestFit="1" customWidth="1"/>
    <col min="2313" max="2440" width="5" bestFit="1" customWidth="1"/>
    <col min="2561" max="2561" width="19" bestFit="1" customWidth="1"/>
    <col min="2562" max="2562" width="9" bestFit="1" customWidth="1"/>
    <col min="2563" max="2563" width="45" bestFit="1" customWidth="1"/>
    <col min="2564" max="2564" width="11" bestFit="1" customWidth="1"/>
    <col min="2565" max="2566" width="7" bestFit="1" customWidth="1"/>
    <col min="2567" max="2567" width="8" bestFit="1" customWidth="1"/>
    <col min="2568" max="2568" width="7" bestFit="1" customWidth="1"/>
    <col min="2569" max="2696" width="5" bestFit="1" customWidth="1"/>
    <col min="2817" max="2817" width="19" bestFit="1" customWidth="1"/>
    <col min="2818" max="2818" width="9" bestFit="1" customWidth="1"/>
    <col min="2819" max="2819" width="45" bestFit="1" customWidth="1"/>
    <col min="2820" max="2820" width="11" bestFit="1" customWidth="1"/>
    <col min="2821" max="2822" width="7" bestFit="1" customWidth="1"/>
    <col min="2823" max="2823" width="8" bestFit="1" customWidth="1"/>
    <col min="2824" max="2824" width="7" bestFit="1" customWidth="1"/>
    <col min="2825" max="2952" width="5" bestFit="1" customWidth="1"/>
    <col min="3073" max="3073" width="19" bestFit="1" customWidth="1"/>
    <col min="3074" max="3074" width="9" bestFit="1" customWidth="1"/>
    <col min="3075" max="3075" width="45" bestFit="1" customWidth="1"/>
    <col min="3076" max="3076" width="11" bestFit="1" customWidth="1"/>
    <col min="3077" max="3078" width="7" bestFit="1" customWidth="1"/>
    <col min="3079" max="3079" width="8" bestFit="1" customWidth="1"/>
    <col min="3080" max="3080" width="7" bestFit="1" customWidth="1"/>
    <col min="3081" max="3208" width="5" bestFit="1" customWidth="1"/>
    <col min="3329" max="3329" width="19" bestFit="1" customWidth="1"/>
    <col min="3330" max="3330" width="9" bestFit="1" customWidth="1"/>
    <col min="3331" max="3331" width="45" bestFit="1" customWidth="1"/>
    <col min="3332" max="3332" width="11" bestFit="1" customWidth="1"/>
    <col min="3333" max="3334" width="7" bestFit="1" customWidth="1"/>
    <col min="3335" max="3335" width="8" bestFit="1" customWidth="1"/>
    <col min="3336" max="3336" width="7" bestFit="1" customWidth="1"/>
    <col min="3337" max="3464" width="5" bestFit="1" customWidth="1"/>
    <col min="3585" max="3585" width="19" bestFit="1" customWidth="1"/>
    <col min="3586" max="3586" width="9" bestFit="1" customWidth="1"/>
    <col min="3587" max="3587" width="45" bestFit="1" customWidth="1"/>
    <col min="3588" max="3588" width="11" bestFit="1" customWidth="1"/>
    <col min="3589" max="3590" width="7" bestFit="1" customWidth="1"/>
    <col min="3591" max="3591" width="8" bestFit="1" customWidth="1"/>
    <col min="3592" max="3592" width="7" bestFit="1" customWidth="1"/>
    <col min="3593" max="3720" width="5" bestFit="1" customWidth="1"/>
    <col min="3841" max="3841" width="19" bestFit="1" customWidth="1"/>
    <col min="3842" max="3842" width="9" bestFit="1" customWidth="1"/>
    <col min="3843" max="3843" width="45" bestFit="1" customWidth="1"/>
    <col min="3844" max="3844" width="11" bestFit="1" customWidth="1"/>
    <col min="3845" max="3846" width="7" bestFit="1" customWidth="1"/>
    <col min="3847" max="3847" width="8" bestFit="1" customWidth="1"/>
    <col min="3848" max="3848" width="7" bestFit="1" customWidth="1"/>
    <col min="3849" max="3976" width="5" bestFit="1" customWidth="1"/>
    <col min="4097" max="4097" width="19" bestFit="1" customWidth="1"/>
    <col min="4098" max="4098" width="9" bestFit="1" customWidth="1"/>
    <col min="4099" max="4099" width="45" bestFit="1" customWidth="1"/>
    <col min="4100" max="4100" width="11" bestFit="1" customWidth="1"/>
    <col min="4101" max="4102" width="7" bestFit="1" customWidth="1"/>
    <col min="4103" max="4103" width="8" bestFit="1" customWidth="1"/>
    <col min="4104" max="4104" width="7" bestFit="1" customWidth="1"/>
    <col min="4105" max="4232" width="5" bestFit="1" customWidth="1"/>
    <col min="4353" max="4353" width="19" bestFit="1" customWidth="1"/>
    <col min="4354" max="4354" width="9" bestFit="1" customWidth="1"/>
    <col min="4355" max="4355" width="45" bestFit="1" customWidth="1"/>
    <col min="4356" max="4356" width="11" bestFit="1" customWidth="1"/>
    <col min="4357" max="4358" width="7" bestFit="1" customWidth="1"/>
    <col min="4359" max="4359" width="8" bestFit="1" customWidth="1"/>
    <col min="4360" max="4360" width="7" bestFit="1" customWidth="1"/>
    <col min="4361" max="4488" width="5" bestFit="1" customWidth="1"/>
    <col min="4609" max="4609" width="19" bestFit="1" customWidth="1"/>
    <col min="4610" max="4610" width="9" bestFit="1" customWidth="1"/>
    <col min="4611" max="4611" width="45" bestFit="1" customWidth="1"/>
    <col min="4612" max="4612" width="11" bestFit="1" customWidth="1"/>
    <col min="4613" max="4614" width="7" bestFit="1" customWidth="1"/>
    <col min="4615" max="4615" width="8" bestFit="1" customWidth="1"/>
    <col min="4616" max="4616" width="7" bestFit="1" customWidth="1"/>
    <col min="4617" max="4744" width="5" bestFit="1" customWidth="1"/>
    <col min="4865" max="4865" width="19" bestFit="1" customWidth="1"/>
    <col min="4866" max="4866" width="9" bestFit="1" customWidth="1"/>
    <col min="4867" max="4867" width="45" bestFit="1" customWidth="1"/>
    <col min="4868" max="4868" width="11" bestFit="1" customWidth="1"/>
    <col min="4869" max="4870" width="7" bestFit="1" customWidth="1"/>
    <col min="4871" max="4871" width="8" bestFit="1" customWidth="1"/>
    <col min="4872" max="4872" width="7" bestFit="1" customWidth="1"/>
    <col min="4873" max="5000" width="5" bestFit="1" customWidth="1"/>
    <col min="5121" max="5121" width="19" bestFit="1" customWidth="1"/>
    <col min="5122" max="5122" width="9" bestFit="1" customWidth="1"/>
    <col min="5123" max="5123" width="45" bestFit="1" customWidth="1"/>
    <col min="5124" max="5124" width="11" bestFit="1" customWidth="1"/>
    <col min="5125" max="5126" width="7" bestFit="1" customWidth="1"/>
    <col min="5127" max="5127" width="8" bestFit="1" customWidth="1"/>
    <col min="5128" max="5128" width="7" bestFit="1" customWidth="1"/>
    <col min="5129" max="5256" width="5" bestFit="1" customWidth="1"/>
    <col min="5377" max="5377" width="19" bestFit="1" customWidth="1"/>
    <col min="5378" max="5378" width="9" bestFit="1" customWidth="1"/>
    <col min="5379" max="5379" width="45" bestFit="1" customWidth="1"/>
    <col min="5380" max="5380" width="11" bestFit="1" customWidth="1"/>
    <col min="5381" max="5382" width="7" bestFit="1" customWidth="1"/>
    <col min="5383" max="5383" width="8" bestFit="1" customWidth="1"/>
    <col min="5384" max="5384" width="7" bestFit="1" customWidth="1"/>
    <col min="5385" max="5512" width="5" bestFit="1" customWidth="1"/>
    <col min="5633" max="5633" width="19" bestFit="1" customWidth="1"/>
    <col min="5634" max="5634" width="9" bestFit="1" customWidth="1"/>
    <col min="5635" max="5635" width="45" bestFit="1" customWidth="1"/>
    <col min="5636" max="5636" width="11" bestFit="1" customWidth="1"/>
    <col min="5637" max="5638" width="7" bestFit="1" customWidth="1"/>
    <col min="5639" max="5639" width="8" bestFit="1" customWidth="1"/>
    <col min="5640" max="5640" width="7" bestFit="1" customWidth="1"/>
    <col min="5641" max="5768" width="5" bestFit="1" customWidth="1"/>
    <col min="5889" max="5889" width="19" bestFit="1" customWidth="1"/>
    <col min="5890" max="5890" width="9" bestFit="1" customWidth="1"/>
    <col min="5891" max="5891" width="45" bestFit="1" customWidth="1"/>
    <col min="5892" max="5892" width="11" bestFit="1" customWidth="1"/>
    <col min="5893" max="5894" width="7" bestFit="1" customWidth="1"/>
    <col min="5895" max="5895" width="8" bestFit="1" customWidth="1"/>
    <col min="5896" max="5896" width="7" bestFit="1" customWidth="1"/>
    <col min="5897" max="6024" width="5" bestFit="1" customWidth="1"/>
    <col min="6145" max="6145" width="19" bestFit="1" customWidth="1"/>
    <col min="6146" max="6146" width="9" bestFit="1" customWidth="1"/>
    <col min="6147" max="6147" width="45" bestFit="1" customWidth="1"/>
    <col min="6148" max="6148" width="11" bestFit="1" customWidth="1"/>
    <col min="6149" max="6150" width="7" bestFit="1" customWidth="1"/>
    <col min="6151" max="6151" width="8" bestFit="1" customWidth="1"/>
    <col min="6152" max="6152" width="7" bestFit="1" customWidth="1"/>
    <col min="6153" max="6280" width="5" bestFit="1" customWidth="1"/>
    <col min="6401" max="6401" width="19" bestFit="1" customWidth="1"/>
    <col min="6402" max="6402" width="9" bestFit="1" customWidth="1"/>
    <col min="6403" max="6403" width="45" bestFit="1" customWidth="1"/>
    <col min="6404" max="6404" width="11" bestFit="1" customWidth="1"/>
    <col min="6405" max="6406" width="7" bestFit="1" customWidth="1"/>
    <col min="6407" max="6407" width="8" bestFit="1" customWidth="1"/>
    <col min="6408" max="6408" width="7" bestFit="1" customWidth="1"/>
    <col min="6409" max="6536" width="5" bestFit="1" customWidth="1"/>
    <col min="6657" max="6657" width="19" bestFit="1" customWidth="1"/>
    <col min="6658" max="6658" width="9" bestFit="1" customWidth="1"/>
    <col min="6659" max="6659" width="45" bestFit="1" customWidth="1"/>
    <col min="6660" max="6660" width="11" bestFit="1" customWidth="1"/>
    <col min="6661" max="6662" width="7" bestFit="1" customWidth="1"/>
    <col min="6663" max="6663" width="8" bestFit="1" customWidth="1"/>
    <col min="6664" max="6664" width="7" bestFit="1" customWidth="1"/>
    <col min="6665" max="6792" width="5" bestFit="1" customWidth="1"/>
    <col min="6913" max="6913" width="19" bestFit="1" customWidth="1"/>
    <col min="6914" max="6914" width="9" bestFit="1" customWidth="1"/>
    <col min="6915" max="6915" width="45" bestFit="1" customWidth="1"/>
    <col min="6916" max="6916" width="11" bestFit="1" customWidth="1"/>
    <col min="6917" max="6918" width="7" bestFit="1" customWidth="1"/>
    <col min="6919" max="6919" width="8" bestFit="1" customWidth="1"/>
    <col min="6920" max="6920" width="7" bestFit="1" customWidth="1"/>
    <col min="6921" max="7048" width="5" bestFit="1" customWidth="1"/>
    <col min="7169" max="7169" width="19" bestFit="1" customWidth="1"/>
    <col min="7170" max="7170" width="9" bestFit="1" customWidth="1"/>
    <col min="7171" max="7171" width="45" bestFit="1" customWidth="1"/>
    <col min="7172" max="7172" width="11" bestFit="1" customWidth="1"/>
    <col min="7173" max="7174" width="7" bestFit="1" customWidth="1"/>
    <col min="7175" max="7175" width="8" bestFit="1" customWidth="1"/>
    <col min="7176" max="7176" width="7" bestFit="1" customWidth="1"/>
    <col min="7177" max="7304" width="5" bestFit="1" customWidth="1"/>
    <col min="7425" max="7425" width="19" bestFit="1" customWidth="1"/>
    <col min="7426" max="7426" width="9" bestFit="1" customWidth="1"/>
    <col min="7427" max="7427" width="45" bestFit="1" customWidth="1"/>
    <col min="7428" max="7428" width="11" bestFit="1" customWidth="1"/>
    <col min="7429" max="7430" width="7" bestFit="1" customWidth="1"/>
    <col min="7431" max="7431" width="8" bestFit="1" customWidth="1"/>
    <col min="7432" max="7432" width="7" bestFit="1" customWidth="1"/>
    <col min="7433" max="7560" width="5" bestFit="1" customWidth="1"/>
    <col min="7681" max="7681" width="19" bestFit="1" customWidth="1"/>
    <col min="7682" max="7682" width="9" bestFit="1" customWidth="1"/>
    <col min="7683" max="7683" width="45" bestFit="1" customWidth="1"/>
    <col min="7684" max="7684" width="11" bestFit="1" customWidth="1"/>
    <col min="7685" max="7686" width="7" bestFit="1" customWidth="1"/>
    <col min="7687" max="7687" width="8" bestFit="1" customWidth="1"/>
    <col min="7688" max="7688" width="7" bestFit="1" customWidth="1"/>
    <col min="7689" max="7816" width="5" bestFit="1" customWidth="1"/>
    <col min="7937" max="7937" width="19" bestFit="1" customWidth="1"/>
    <col min="7938" max="7938" width="9" bestFit="1" customWidth="1"/>
    <col min="7939" max="7939" width="45" bestFit="1" customWidth="1"/>
    <col min="7940" max="7940" width="11" bestFit="1" customWidth="1"/>
    <col min="7941" max="7942" width="7" bestFit="1" customWidth="1"/>
    <col min="7943" max="7943" width="8" bestFit="1" customWidth="1"/>
    <col min="7944" max="7944" width="7" bestFit="1" customWidth="1"/>
    <col min="7945" max="8072" width="5" bestFit="1" customWidth="1"/>
    <col min="8193" max="8193" width="19" bestFit="1" customWidth="1"/>
    <col min="8194" max="8194" width="9" bestFit="1" customWidth="1"/>
    <col min="8195" max="8195" width="45" bestFit="1" customWidth="1"/>
    <col min="8196" max="8196" width="11" bestFit="1" customWidth="1"/>
    <col min="8197" max="8198" width="7" bestFit="1" customWidth="1"/>
    <col min="8199" max="8199" width="8" bestFit="1" customWidth="1"/>
    <col min="8200" max="8200" width="7" bestFit="1" customWidth="1"/>
    <col min="8201" max="8328" width="5" bestFit="1" customWidth="1"/>
    <col min="8449" max="8449" width="19" bestFit="1" customWidth="1"/>
    <col min="8450" max="8450" width="9" bestFit="1" customWidth="1"/>
    <col min="8451" max="8451" width="45" bestFit="1" customWidth="1"/>
    <col min="8452" max="8452" width="11" bestFit="1" customWidth="1"/>
    <col min="8453" max="8454" width="7" bestFit="1" customWidth="1"/>
    <col min="8455" max="8455" width="8" bestFit="1" customWidth="1"/>
    <col min="8456" max="8456" width="7" bestFit="1" customWidth="1"/>
    <col min="8457" max="8584" width="5" bestFit="1" customWidth="1"/>
    <col min="8705" max="8705" width="19" bestFit="1" customWidth="1"/>
    <col min="8706" max="8706" width="9" bestFit="1" customWidth="1"/>
    <col min="8707" max="8707" width="45" bestFit="1" customWidth="1"/>
    <col min="8708" max="8708" width="11" bestFit="1" customWidth="1"/>
    <col min="8709" max="8710" width="7" bestFit="1" customWidth="1"/>
    <col min="8711" max="8711" width="8" bestFit="1" customWidth="1"/>
    <col min="8712" max="8712" width="7" bestFit="1" customWidth="1"/>
    <col min="8713" max="8840" width="5" bestFit="1" customWidth="1"/>
    <col min="8961" max="8961" width="19" bestFit="1" customWidth="1"/>
    <col min="8962" max="8962" width="9" bestFit="1" customWidth="1"/>
    <col min="8963" max="8963" width="45" bestFit="1" customWidth="1"/>
    <col min="8964" max="8964" width="11" bestFit="1" customWidth="1"/>
    <col min="8965" max="8966" width="7" bestFit="1" customWidth="1"/>
    <col min="8967" max="8967" width="8" bestFit="1" customWidth="1"/>
    <col min="8968" max="8968" width="7" bestFit="1" customWidth="1"/>
    <col min="8969" max="9096" width="5" bestFit="1" customWidth="1"/>
    <col min="9217" max="9217" width="19" bestFit="1" customWidth="1"/>
    <col min="9218" max="9218" width="9" bestFit="1" customWidth="1"/>
    <col min="9219" max="9219" width="45" bestFit="1" customWidth="1"/>
    <col min="9220" max="9220" width="11" bestFit="1" customWidth="1"/>
    <col min="9221" max="9222" width="7" bestFit="1" customWidth="1"/>
    <col min="9223" max="9223" width="8" bestFit="1" customWidth="1"/>
    <col min="9224" max="9224" width="7" bestFit="1" customWidth="1"/>
    <col min="9225" max="9352" width="5" bestFit="1" customWidth="1"/>
    <col min="9473" max="9473" width="19" bestFit="1" customWidth="1"/>
    <col min="9474" max="9474" width="9" bestFit="1" customWidth="1"/>
    <col min="9475" max="9475" width="45" bestFit="1" customWidth="1"/>
    <col min="9476" max="9476" width="11" bestFit="1" customWidth="1"/>
    <col min="9477" max="9478" width="7" bestFit="1" customWidth="1"/>
    <col min="9479" max="9479" width="8" bestFit="1" customWidth="1"/>
    <col min="9480" max="9480" width="7" bestFit="1" customWidth="1"/>
    <col min="9481" max="9608" width="5" bestFit="1" customWidth="1"/>
    <col min="9729" max="9729" width="19" bestFit="1" customWidth="1"/>
    <col min="9730" max="9730" width="9" bestFit="1" customWidth="1"/>
    <col min="9731" max="9731" width="45" bestFit="1" customWidth="1"/>
    <col min="9732" max="9732" width="11" bestFit="1" customWidth="1"/>
    <col min="9733" max="9734" width="7" bestFit="1" customWidth="1"/>
    <col min="9735" max="9735" width="8" bestFit="1" customWidth="1"/>
    <col min="9736" max="9736" width="7" bestFit="1" customWidth="1"/>
    <col min="9737" max="9864" width="5" bestFit="1" customWidth="1"/>
    <col min="9985" max="9985" width="19" bestFit="1" customWidth="1"/>
    <col min="9986" max="9986" width="9" bestFit="1" customWidth="1"/>
    <col min="9987" max="9987" width="45" bestFit="1" customWidth="1"/>
    <col min="9988" max="9988" width="11" bestFit="1" customWidth="1"/>
    <col min="9989" max="9990" width="7" bestFit="1" customWidth="1"/>
    <col min="9991" max="9991" width="8" bestFit="1" customWidth="1"/>
    <col min="9992" max="9992" width="7" bestFit="1" customWidth="1"/>
    <col min="9993" max="10120" width="5" bestFit="1" customWidth="1"/>
    <col min="10241" max="10241" width="19" bestFit="1" customWidth="1"/>
    <col min="10242" max="10242" width="9" bestFit="1" customWidth="1"/>
    <col min="10243" max="10243" width="45" bestFit="1" customWidth="1"/>
    <col min="10244" max="10244" width="11" bestFit="1" customWidth="1"/>
    <col min="10245" max="10246" width="7" bestFit="1" customWidth="1"/>
    <col min="10247" max="10247" width="8" bestFit="1" customWidth="1"/>
    <col min="10248" max="10248" width="7" bestFit="1" customWidth="1"/>
    <col min="10249" max="10376" width="5" bestFit="1" customWidth="1"/>
    <col min="10497" max="10497" width="19" bestFit="1" customWidth="1"/>
    <col min="10498" max="10498" width="9" bestFit="1" customWidth="1"/>
    <col min="10499" max="10499" width="45" bestFit="1" customWidth="1"/>
    <col min="10500" max="10500" width="11" bestFit="1" customWidth="1"/>
    <col min="10501" max="10502" width="7" bestFit="1" customWidth="1"/>
    <col min="10503" max="10503" width="8" bestFit="1" customWidth="1"/>
    <col min="10504" max="10504" width="7" bestFit="1" customWidth="1"/>
    <col min="10505" max="10632" width="5" bestFit="1" customWidth="1"/>
    <col min="10753" max="10753" width="19" bestFit="1" customWidth="1"/>
    <col min="10754" max="10754" width="9" bestFit="1" customWidth="1"/>
    <col min="10755" max="10755" width="45" bestFit="1" customWidth="1"/>
    <col min="10756" max="10756" width="11" bestFit="1" customWidth="1"/>
    <col min="10757" max="10758" width="7" bestFit="1" customWidth="1"/>
    <col min="10759" max="10759" width="8" bestFit="1" customWidth="1"/>
    <col min="10760" max="10760" width="7" bestFit="1" customWidth="1"/>
    <col min="10761" max="10888" width="5" bestFit="1" customWidth="1"/>
    <col min="11009" max="11009" width="19" bestFit="1" customWidth="1"/>
    <col min="11010" max="11010" width="9" bestFit="1" customWidth="1"/>
    <col min="11011" max="11011" width="45" bestFit="1" customWidth="1"/>
    <col min="11012" max="11012" width="11" bestFit="1" customWidth="1"/>
    <col min="11013" max="11014" width="7" bestFit="1" customWidth="1"/>
    <col min="11015" max="11015" width="8" bestFit="1" customWidth="1"/>
    <col min="11016" max="11016" width="7" bestFit="1" customWidth="1"/>
    <col min="11017" max="11144" width="5" bestFit="1" customWidth="1"/>
    <col min="11265" max="11265" width="19" bestFit="1" customWidth="1"/>
    <col min="11266" max="11266" width="9" bestFit="1" customWidth="1"/>
    <col min="11267" max="11267" width="45" bestFit="1" customWidth="1"/>
    <col min="11268" max="11268" width="11" bestFit="1" customWidth="1"/>
    <col min="11269" max="11270" width="7" bestFit="1" customWidth="1"/>
    <col min="11271" max="11271" width="8" bestFit="1" customWidth="1"/>
    <col min="11272" max="11272" width="7" bestFit="1" customWidth="1"/>
    <col min="11273" max="11400" width="5" bestFit="1" customWidth="1"/>
    <col min="11521" max="11521" width="19" bestFit="1" customWidth="1"/>
    <col min="11522" max="11522" width="9" bestFit="1" customWidth="1"/>
    <col min="11523" max="11523" width="45" bestFit="1" customWidth="1"/>
    <col min="11524" max="11524" width="11" bestFit="1" customWidth="1"/>
    <col min="11525" max="11526" width="7" bestFit="1" customWidth="1"/>
    <col min="11527" max="11527" width="8" bestFit="1" customWidth="1"/>
    <col min="11528" max="11528" width="7" bestFit="1" customWidth="1"/>
    <col min="11529" max="11656" width="5" bestFit="1" customWidth="1"/>
    <col min="11777" max="11777" width="19" bestFit="1" customWidth="1"/>
    <col min="11778" max="11778" width="9" bestFit="1" customWidth="1"/>
    <col min="11779" max="11779" width="45" bestFit="1" customWidth="1"/>
    <col min="11780" max="11780" width="11" bestFit="1" customWidth="1"/>
    <col min="11781" max="11782" width="7" bestFit="1" customWidth="1"/>
    <col min="11783" max="11783" width="8" bestFit="1" customWidth="1"/>
    <col min="11784" max="11784" width="7" bestFit="1" customWidth="1"/>
    <col min="11785" max="11912" width="5" bestFit="1" customWidth="1"/>
    <col min="12033" max="12033" width="19" bestFit="1" customWidth="1"/>
    <col min="12034" max="12034" width="9" bestFit="1" customWidth="1"/>
    <col min="12035" max="12035" width="45" bestFit="1" customWidth="1"/>
    <col min="12036" max="12036" width="11" bestFit="1" customWidth="1"/>
    <col min="12037" max="12038" width="7" bestFit="1" customWidth="1"/>
    <col min="12039" max="12039" width="8" bestFit="1" customWidth="1"/>
    <col min="12040" max="12040" width="7" bestFit="1" customWidth="1"/>
    <col min="12041" max="12168" width="5" bestFit="1" customWidth="1"/>
    <col min="12289" max="12289" width="19" bestFit="1" customWidth="1"/>
    <col min="12290" max="12290" width="9" bestFit="1" customWidth="1"/>
    <col min="12291" max="12291" width="45" bestFit="1" customWidth="1"/>
    <col min="12292" max="12292" width="11" bestFit="1" customWidth="1"/>
    <col min="12293" max="12294" width="7" bestFit="1" customWidth="1"/>
    <col min="12295" max="12295" width="8" bestFit="1" customWidth="1"/>
    <col min="12296" max="12296" width="7" bestFit="1" customWidth="1"/>
    <col min="12297" max="12424" width="5" bestFit="1" customWidth="1"/>
    <col min="12545" max="12545" width="19" bestFit="1" customWidth="1"/>
    <col min="12546" max="12546" width="9" bestFit="1" customWidth="1"/>
    <col min="12547" max="12547" width="45" bestFit="1" customWidth="1"/>
    <col min="12548" max="12548" width="11" bestFit="1" customWidth="1"/>
    <col min="12549" max="12550" width="7" bestFit="1" customWidth="1"/>
    <col min="12551" max="12551" width="8" bestFit="1" customWidth="1"/>
    <col min="12552" max="12552" width="7" bestFit="1" customWidth="1"/>
    <col min="12553" max="12680" width="5" bestFit="1" customWidth="1"/>
    <col min="12801" max="12801" width="19" bestFit="1" customWidth="1"/>
    <col min="12802" max="12802" width="9" bestFit="1" customWidth="1"/>
    <col min="12803" max="12803" width="45" bestFit="1" customWidth="1"/>
    <col min="12804" max="12804" width="11" bestFit="1" customWidth="1"/>
    <col min="12805" max="12806" width="7" bestFit="1" customWidth="1"/>
    <col min="12807" max="12807" width="8" bestFit="1" customWidth="1"/>
    <col min="12808" max="12808" width="7" bestFit="1" customWidth="1"/>
    <col min="12809" max="12936" width="5" bestFit="1" customWidth="1"/>
    <col min="13057" max="13057" width="19" bestFit="1" customWidth="1"/>
    <col min="13058" max="13058" width="9" bestFit="1" customWidth="1"/>
    <col min="13059" max="13059" width="45" bestFit="1" customWidth="1"/>
    <col min="13060" max="13060" width="11" bestFit="1" customWidth="1"/>
    <col min="13061" max="13062" width="7" bestFit="1" customWidth="1"/>
    <col min="13063" max="13063" width="8" bestFit="1" customWidth="1"/>
    <col min="13064" max="13064" width="7" bestFit="1" customWidth="1"/>
    <col min="13065" max="13192" width="5" bestFit="1" customWidth="1"/>
    <col min="13313" max="13313" width="19" bestFit="1" customWidth="1"/>
    <col min="13314" max="13314" width="9" bestFit="1" customWidth="1"/>
    <col min="13315" max="13315" width="45" bestFit="1" customWidth="1"/>
    <col min="13316" max="13316" width="11" bestFit="1" customWidth="1"/>
    <col min="13317" max="13318" width="7" bestFit="1" customWidth="1"/>
    <col min="13319" max="13319" width="8" bestFit="1" customWidth="1"/>
    <col min="13320" max="13320" width="7" bestFit="1" customWidth="1"/>
    <col min="13321" max="13448" width="5" bestFit="1" customWidth="1"/>
    <col min="13569" max="13569" width="19" bestFit="1" customWidth="1"/>
    <col min="13570" max="13570" width="9" bestFit="1" customWidth="1"/>
    <col min="13571" max="13571" width="45" bestFit="1" customWidth="1"/>
    <col min="13572" max="13572" width="11" bestFit="1" customWidth="1"/>
    <col min="13573" max="13574" width="7" bestFit="1" customWidth="1"/>
    <col min="13575" max="13575" width="8" bestFit="1" customWidth="1"/>
    <col min="13576" max="13576" width="7" bestFit="1" customWidth="1"/>
    <col min="13577" max="13704" width="5" bestFit="1" customWidth="1"/>
    <col min="13825" max="13825" width="19" bestFit="1" customWidth="1"/>
    <col min="13826" max="13826" width="9" bestFit="1" customWidth="1"/>
    <col min="13827" max="13827" width="45" bestFit="1" customWidth="1"/>
    <col min="13828" max="13828" width="11" bestFit="1" customWidth="1"/>
    <col min="13829" max="13830" width="7" bestFit="1" customWidth="1"/>
    <col min="13831" max="13831" width="8" bestFit="1" customWidth="1"/>
    <col min="13832" max="13832" width="7" bestFit="1" customWidth="1"/>
    <col min="13833" max="13960" width="5" bestFit="1" customWidth="1"/>
    <col min="14081" max="14081" width="19" bestFit="1" customWidth="1"/>
    <col min="14082" max="14082" width="9" bestFit="1" customWidth="1"/>
    <col min="14083" max="14083" width="45" bestFit="1" customWidth="1"/>
    <col min="14084" max="14084" width="11" bestFit="1" customWidth="1"/>
    <col min="14085" max="14086" width="7" bestFit="1" customWidth="1"/>
    <col min="14087" max="14087" width="8" bestFit="1" customWidth="1"/>
    <col min="14088" max="14088" width="7" bestFit="1" customWidth="1"/>
    <col min="14089" max="14216" width="5" bestFit="1" customWidth="1"/>
    <col min="14337" max="14337" width="19" bestFit="1" customWidth="1"/>
    <col min="14338" max="14338" width="9" bestFit="1" customWidth="1"/>
    <col min="14339" max="14339" width="45" bestFit="1" customWidth="1"/>
    <col min="14340" max="14340" width="11" bestFit="1" customWidth="1"/>
    <col min="14341" max="14342" width="7" bestFit="1" customWidth="1"/>
    <col min="14343" max="14343" width="8" bestFit="1" customWidth="1"/>
    <col min="14344" max="14344" width="7" bestFit="1" customWidth="1"/>
    <col min="14345" max="14472" width="5" bestFit="1" customWidth="1"/>
    <col min="14593" max="14593" width="19" bestFit="1" customWidth="1"/>
    <col min="14594" max="14594" width="9" bestFit="1" customWidth="1"/>
    <col min="14595" max="14595" width="45" bestFit="1" customWidth="1"/>
    <col min="14596" max="14596" width="11" bestFit="1" customWidth="1"/>
    <col min="14597" max="14598" width="7" bestFit="1" customWidth="1"/>
    <col min="14599" max="14599" width="8" bestFit="1" customWidth="1"/>
    <col min="14600" max="14600" width="7" bestFit="1" customWidth="1"/>
    <col min="14601" max="14728" width="5" bestFit="1" customWidth="1"/>
    <col min="14849" max="14849" width="19" bestFit="1" customWidth="1"/>
    <col min="14850" max="14850" width="9" bestFit="1" customWidth="1"/>
    <col min="14851" max="14851" width="45" bestFit="1" customWidth="1"/>
    <col min="14852" max="14852" width="11" bestFit="1" customWidth="1"/>
    <col min="14853" max="14854" width="7" bestFit="1" customWidth="1"/>
    <col min="14855" max="14855" width="8" bestFit="1" customWidth="1"/>
    <col min="14856" max="14856" width="7" bestFit="1" customWidth="1"/>
    <col min="14857" max="14984" width="5" bestFit="1" customWidth="1"/>
    <col min="15105" max="15105" width="19" bestFit="1" customWidth="1"/>
    <col min="15106" max="15106" width="9" bestFit="1" customWidth="1"/>
    <col min="15107" max="15107" width="45" bestFit="1" customWidth="1"/>
    <col min="15108" max="15108" width="11" bestFit="1" customWidth="1"/>
    <col min="15109" max="15110" width="7" bestFit="1" customWidth="1"/>
    <col min="15111" max="15111" width="8" bestFit="1" customWidth="1"/>
    <col min="15112" max="15112" width="7" bestFit="1" customWidth="1"/>
    <col min="15113" max="15240" width="5" bestFit="1" customWidth="1"/>
    <col min="15361" max="15361" width="19" bestFit="1" customWidth="1"/>
    <col min="15362" max="15362" width="9" bestFit="1" customWidth="1"/>
    <col min="15363" max="15363" width="45" bestFit="1" customWidth="1"/>
    <col min="15364" max="15364" width="11" bestFit="1" customWidth="1"/>
    <col min="15365" max="15366" width="7" bestFit="1" customWidth="1"/>
    <col min="15367" max="15367" width="8" bestFit="1" customWidth="1"/>
    <col min="15368" max="15368" width="7" bestFit="1" customWidth="1"/>
    <col min="15369" max="15496" width="5" bestFit="1" customWidth="1"/>
    <col min="15617" max="15617" width="19" bestFit="1" customWidth="1"/>
    <col min="15618" max="15618" width="9" bestFit="1" customWidth="1"/>
    <col min="15619" max="15619" width="45" bestFit="1" customWidth="1"/>
    <col min="15620" max="15620" width="11" bestFit="1" customWidth="1"/>
    <col min="15621" max="15622" width="7" bestFit="1" customWidth="1"/>
    <col min="15623" max="15623" width="8" bestFit="1" customWidth="1"/>
    <col min="15624" max="15624" width="7" bestFit="1" customWidth="1"/>
    <col min="15625" max="15752" width="5" bestFit="1" customWidth="1"/>
    <col min="15873" max="15873" width="19" bestFit="1" customWidth="1"/>
    <col min="15874" max="15874" width="9" bestFit="1" customWidth="1"/>
    <col min="15875" max="15875" width="45" bestFit="1" customWidth="1"/>
    <col min="15876" max="15876" width="11" bestFit="1" customWidth="1"/>
    <col min="15877" max="15878" width="7" bestFit="1" customWidth="1"/>
    <col min="15879" max="15879" width="8" bestFit="1" customWidth="1"/>
    <col min="15880" max="15880" width="7" bestFit="1" customWidth="1"/>
    <col min="15881" max="16008" width="5" bestFit="1" customWidth="1"/>
    <col min="16129" max="16129" width="19" bestFit="1" customWidth="1"/>
    <col min="16130" max="16130" width="9" bestFit="1" customWidth="1"/>
    <col min="16131" max="16131" width="45" bestFit="1" customWidth="1"/>
    <col min="16132" max="16132" width="11" bestFit="1" customWidth="1"/>
    <col min="16133" max="16134" width="7" bestFit="1" customWidth="1"/>
    <col min="16135" max="16135" width="8" bestFit="1" customWidth="1"/>
    <col min="16136" max="16136" width="7" bestFit="1" customWidth="1"/>
    <col min="16137" max="16264" width="5" bestFit="1" customWidth="1"/>
  </cols>
  <sheetData>
    <row r="1" spans="1:136" x14ac:dyDescent="0.3">
      <c r="A1" s="218" t="s">
        <v>266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3"/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</row>
    <row r="2" spans="1:136" x14ac:dyDescent="0.3">
      <c r="A2" s="219" t="s">
        <v>273</v>
      </c>
      <c r="B2" s="133" t="s">
        <v>349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F2" s="113"/>
      <c r="DG2" s="113"/>
      <c r="DH2" s="113"/>
      <c r="DI2" s="113"/>
      <c r="DJ2" s="113"/>
      <c r="DK2" s="113"/>
      <c r="DL2" s="113"/>
      <c r="DM2" s="113"/>
      <c r="DN2" s="113"/>
      <c r="DO2" s="113"/>
      <c r="DP2" s="113"/>
      <c r="DQ2" s="113"/>
      <c r="DR2" s="113"/>
      <c r="DS2" s="113"/>
      <c r="DT2" s="113"/>
      <c r="DU2" s="113"/>
      <c r="DV2" s="113"/>
      <c r="DW2" s="113"/>
      <c r="DX2" s="113"/>
      <c r="DY2" s="113"/>
      <c r="DZ2" s="113"/>
      <c r="EA2" s="113"/>
      <c r="EB2" s="113"/>
      <c r="EC2" s="113"/>
      <c r="ED2" s="113"/>
      <c r="EE2" s="113"/>
      <c r="EF2" s="113"/>
    </row>
    <row r="3" spans="1:136" x14ac:dyDescent="0.3">
      <c r="A3" s="219" t="s">
        <v>275</v>
      </c>
      <c r="B3" s="133" t="s">
        <v>350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/>
      <c r="EF3" s="113"/>
    </row>
    <row r="4" spans="1:136" ht="54" customHeight="1" x14ac:dyDescent="0.3">
      <c r="A4" s="219" t="s">
        <v>277</v>
      </c>
      <c r="B4" s="261" t="s">
        <v>351</v>
      </c>
      <c r="C4" s="261" t="s">
        <v>352</v>
      </c>
      <c r="D4" s="261" t="s">
        <v>353</v>
      </c>
      <c r="E4" s="261" t="s">
        <v>354</v>
      </c>
      <c r="F4" s="261" t="s">
        <v>355</v>
      </c>
      <c r="G4" s="261" t="s">
        <v>356</v>
      </c>
      <c r="H4" s="262" t="s">
        <v>357</v>
      </c>
      <c r="I4" s="263" t="s">
        <v>358</v>
      </c>
      <c r="J4" s="261" t="s">
        <v>267</v>
      </c>
      <c r="K4" s="261" t="s">
        <v>359</v>
      </c>
      <c r="L4" s="261" t="s">
        <v>360</v>
      </c>
      <c r="M4" s="259" t="s">
        <v>271</v>
      </c>
      <c r="N4" s="258" t="s">
        <v>272</v>
      </c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3"/>
      <c r="CP4" s="113"/>
      <c r="CQ4" s="113"/>
      <c r="CR4" s="113"/>
      <c r="CS4" s="113"/>
      <c r="CT4" s="113"/>
      <c r="CU4" s="113"/>
      <c r="CV4" s="113"/>
      <c r="CW4" s="113"/>
      <c r="CX4" s="113"/>
      <c r="CY4" s="113"/>
      <c r="CZ4" s="113"/>
      <c r="DA4" s="113"/>
      <c r="DB4" s="113"/>
      <c r="DC4" s="113"/>
      <c r="DD4" s="113"/>
      <c r="DE4" s="113"/>
      <c r="DF4" s="113"/>
      <c r="DG4" s="113"/>
      <c r="DH4" s="113"/>
      <c r="DI4" s="113"/>
      <c r="DJ4" s="113"/>
      <c r="DK4" s="113"/>
      <c r="DL4" s="113"/>
      <c r="DM4" s="113"/>
      <c r="DN4" s="113"/>
      <c r="DO4" s="113"/>
      <c r="DP4" s="113"/>
      <c r="DQ4" s="113"/>
      <c r="DR4" s="113"/>
      <c r="DS4" s="113"/>
      <c r="DT4" s="113"/>
      <c r="DU4" s="113"/>
      <c r="DV4" s="113"/>
      <c r="DW4" s="113"/>
      <c r="DX4" s="113"/>
      <c r="DY4" s="113"/>
      <c r="DZ4" s="113"/>
      <c r="EA4" s="113"/>
      <c r="EB4" s="113"/>
      <c r="EC4" s="113"/>
      <c r="ED4" s="113"/>
      <c r="EE4" s="113"/>
      <c r="EF4" s="113"/>
    </row>
    <row r="5" spans="1:136" x14ac:dyDescent="0.3">
      <c r="A5" s="219" t="s">
        <v>279</v>
      </c>
      <c r="B5" s="264" t="s">
        <v>361</v>
      </c>
      <c r="C5" s="264" t="s">
        <v>362</v>
      </c>
      <c r="D5" s="264" t="s">
        <v>152</v>
      </c>
      <c r="E5" s="265" t="s">
        <v>363</v>
      </c>
      <c r="F5" s="265" t="s">
        <v>364</v>
      </c>
      <c r="G5" s="266" t="s">
        <v>365</v>
      </c>
      <c r="H5" s="266" t="s">
        <v>150</v>
      </c>
      <c r="I5" s="266" t="s">
        <v>324</v>
      </c>
      <c r="J5" s="267" t="s">
        <v>151</v>
      </c>
      <c r="K5" s="268">
        <v>2025122301</v>
      </c>
      <c r="L5" s="269">
        <v>6427</v>
      </c>
      <c r="M5" s="113">
        <v>52</v>
      </c>
      <c r="N5" s="270">
        <f>L5-M5</f>
        <v>6375</v>
      </c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  <c r="CN5" s="113"/>
      <c r="CO5" s="113"/>
      <c r="CP5" s="113"/>
      <c r="CQ5" s="113"/>
      <c r="CR5" s="113"/>
      <c r="CS5" s="113"/>
      <c r="CT5" s="113"/>
      <c r="CU5" s="113"/>
      <c r="CV5" s="113"/>
      <c r="CW5" s="113"/>
      <c r="CX5" s="113"/>
      <c r="CY5" s="113"/>
      <c r="CZ5" s="113"/>
      <c r="DA5" s="113"/>
      <c r="DB5" s="113"/>
      <c r="DC5" s="113"/>
      <c r="DD5" s="113"/>
      <c r="DE5" s="113"/>
      <c r="DF5" s="113"/>
      <c r="DG5" s="113"/>
      <c r="DH5" s="113"/>
      <c r="DI5" s="113"/>
      <c r="DJ5" s="113"/>
      <c r="DK5" s="113"/>
      <c r="DL5" s="113"/>
      <c r="DM5" s="113"/>
      <c r="DN5" s="113"/>
      <c r="DO5" s="113"/>
      <c r="DP5" s="113"/>
      <c r="DQ5" s="113"/>
      <c r="DR5" s="113"/>
      <c r="DS5" s="113"/>
      <c r="DT5" s="113"/>
      <c r="DU5" s="113"/>
      <c r="DV5" s="113"/>
      <c r="DW5" s="113"/>
      <c r="DX5" s="113"/>
      <c r="DY5" s="113"/>
      <c r="DZ5" s="113"/>
      <c r="EA5" s="113"/>
      <c r="EB5" s="113"/>
      <c r="EC5" s="113"/>
      <c r="ED5" s="113"/>
      <c r="EE5" s="113"/>
      <c r="EF5" s="113"/>
    </row>
    <row r="6" spans="1:136" x14ac:dyDescent="0.3">
      <c r="A6" s="219" t="s">
        <v>281</v>
      </c>
      <c r="B6" s="264" t="s">
        <v>366</v>
      </c>
      <c r="C6" s="264" t="s">
        <v>362</v>
      </c>
      <c r="D6" s="264" t="s">
        <v>152</v>
      </c>
      <c r="E6" s="265" t="s">
        <v>363</v>
      </c>
      <c r="F6" s="265" t="s">
        <v>364</v>
      </c>
      <c r="G6" s="266" t="s">
        <v>365</v>
      </c>
      <c r="H6" s="266" t="s">
        <v>161</v>
      </c>
      <c r="I6" s="266" t="s">
        <v>307</v>
      </c>
      <c r="J6" s="267" t="s">
        <v>151</v>
      </c>
      <c r="K6" s="268">
        <v>2025122301</v>
      </c>
      <c r="L6" s="269">
        <v>61</v>
      </c>
      <c r="M6" s="113">
        <v>12</v>
      </c>
      <c r="N6" s="270">
        <f>L6-M6</f>
        <v>49</v>
      </c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3"/>
      <c r="CU6" s="113"/>
      <c r="CV6" s="113"/>
      <c r="CW6" s="113"/>
      <c r="CX6" s="113"/>
      <c r="CY6" s="113"/>
      <c r="CZ6" s="113"/>
      <c r="DA6" s="113"/>
      <c r="DB6" s="113"/>
      <c r="DC6" s="113"/>
      <c r="DD6" s="113"/>
      <c r="DE6" s="113"/>
      <c r="DF6" s="113"/>
      <c r="DG6" s="113"/>
      <c r="DH6" s="113"/>
      <c r="DI6" s="113"/>
      <c r="DJ6" s="113"/>
      <c r="DK6" s="113"/>
      <c r="DL6" s="113"/>
      <c r="DM6" s="113"/>
      <c r="DN6" s="113"/>
      <c r="DO6" s="113"/>
      <c r="DP6" s="113"/>
      <c r="DQ6" s="113"/>
      <c r="DR6" s="113"/>
      <c r="DS6" s="113"/>
      <c r="DT6" s="113"/>
      <c r="DU6" s="113"/>
      <c r="DV6" s="113"/>
      <c r="DW6" s="113"/>
      <c r="DX6" s="113"/>
      <c r="DY6" s="113"/>
      <c r="DZ6" s="113"/>
      <c r="EA6" s="113"/>
      <c r="EB6" s="113"/>
      <c r="EC6" s="113"/>
      <c r="ED6" s="113"/>
      <c r="EE6" s="113"/>
      <c r="EF6" s="113"/>
    </row>
    <row r="7" spans="1:136" x14ac:dyDescent="0.3">
      <c r="A7" s="219" t="s">
        <v>283</v>
      </c>
      <c r="B7" s="264" t="s">
        <v>367</v>
      </c>
      <c r="C7" s="264" t="s">
        <v>362</v>
      </c>
      <c r="D7" s="264" t="s">
        <v>152</v>
      </c>
      <c r="E7" s="265" t="s">
        <v>363</v>
      </c>
      <c r="F7" s="265" t="s">
        <v>364</v>
      </c>
      <c r="G7" s="266" t="s">
        <v>365</v>
      </c>
      <c r="H7" s="266" t="s">
        <v>163</v>
      </c>
      <c r="I7" s="266" t="s">
        <v>307</v>
      </c>
      <c r="J7" s="267" t="s">
        <v>151</v>
      </c>
      <c r="K7" s="268">
        <v>2025122301</v>
      </c>
      <c r="L7" s="269">
        <v>1084</v>
      </c>
      <c r="M7" s="113">
        <v>17</v>
      </c>
      <c r="N7" s="270">
        <f>L7-M7</f>
        <v>1067</v>
      </c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3"/>
      <c r="CP7" s="113"/>
      <c r="CQ7" s="113"/>
      <c r="CR7" s="113"/>
      <c r="CS7" s="113"/>
      <c r="CT7" s="113"/>
      <c r="CU7" s="113"/>
      <c r="CV7" s="113"/>
      <c r="CW7" s="113"/>
      <c r="CX7" s="113"/>
      <c r="CY7" s="113"/>
      <c r="CZ7" s="113"/>
      <c r="DA7" s="113"/>
      <c r="DB7" s="113"/>
      <c r="DC7" s="113"/>
      <c r="DD7" s="113"/>
      <c r="DE7" s="113"/>
      <c r="DF7" s="113"/>
      <c r="DG7" s="113"/>
      <c r="DH7" s="113"/>
      <c r="DI7" s="113"/>
      <c r="DJ7" s="113"/>
      <c r="DK7" s="113"/>
      <c r="DL7" s="113"/>
      <c r="DM7" s="113"/>
      <c r="DN7" s="113"/>
      <c r="DO7" s="113"/>
      <c r="DP7" s="113"/>
      <c r="DQ7" s="113"/>
      <c r="DR7" s="113"/>
      <c r="DS7" s="113"/>
      <c r="DT7" s="113"/>
      <c r="DU7" s="113"/>
      <c r="DV7" s="113"/>
      <c r="DW7" s="113"/>
      <c r="DX7" s="113"/>
      <c r="DY7" s="113"/>
      <c r="DZ7" s="113"/>
      <c r="EA7" s="113"/>
      <c r="EB7" s="113"/>
      <c r="EC7" s="113"/>
      <c r="ED7" s="113"/>
      <c r="EE7" s="113"/>
      <c r="EF7" s="113"/>
    </row>
    <row r="8" spans="1:136" x14ac:dyDescent="0.3">
      <c r="A8" s="219" t="s">
        <v>285</v>
      </c>
      <c r="B8" s="133" t="s">
        <v>286</v>
      </c>
      <c r="C8" s="113"/>
      <c r="D8" s="113"/>
      <c r="E8" s="113"/>
      <c r="F8" s="253"/>
      <c r="G8" s="254"/>
      <c r="H8" s="254"/>
      <c r="I8" s="254"/>
      <c r="J8" s="254"/>
      <c r="K8" s="255"/>
      <c r="L8" s="255"/>
      <c r="M8" s="256"/>
      <c r="N8" s="256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3"/>
      <c r="DY8" s="113"/>
      <c r="DZ8" s="113"/>
      <c r="EA8" s="113"/>
      <c r="EB8" s="113"/>
      <c r="EC8" s="113"/>
      <c r="ED8" s="113"/>
      <c r="EE8" s="113"/>
      <c r="EF8" s="113"/>
    </row>
    <row r="9" spans="1:136" x14ac:dyDescent="0.3">
      <c r="A9" s="219" t="s">
        <v>287</v>
      </c>
      <c r="B9" s="133" t="s">
        <v>288</v>
      </c>
      <c r="C9" s="113"/>
      <c r="D9" s="113"/>
      <c r="E9" s="113"/>
      <c r="F9" s="113"/>
      <c r="G9" s="113"/>
      <c r="H9" s="181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3"/>
      <c r="DY9" s="113"/>
      <c r="DZ9" s="113"/>
      <c r="EA9" s="113"/>
      <c r="EB9" s="113"/>
      <c r="EC9" s="113"/>
      <c r="ED9" s="113"/>
      <c r="EE9" s="113"/>
      <c r="EF9" s="113"/>
    </row>
    <row r="10" spans="1:136" x14ac:dyDescent="0.3">
      <c r="A10" s="219" t="s">
        <v>289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13"/>
      <c r="DK10" s="113"/>
      <c r="DL10" s="113"/>
      <c r="DM10" s="113"/>
      <c r="DN10" s="113"/>
      <c r="DO10" s="113"/>
      <c r="DP10" s="113"/>
      <c r="DQ10" s="113"/>
      <c r="DR10" s="113"/>
      <c r="DS10" s="113"/>
      <c r="DT10" s="113"/>
      <c r="DU10" s="113"/>
      <c r="DV10" s="113"/>
      <c r="DW10" s="113"/>
      <c r="DX10" s="113"/>
      <c r="DY10" s="113"/>
      <c r="DZ10" s="113"/>
      <c r="EA10" s="113"/>
      <c r="EB10" s="113"/>
      <c r="EC10" s="113"/>
      <c r="ED10" s="113"/>
      <c r="EE10" s="113"/>
      <c r="EF10" s="113"/>
    </row>
    <row r="11" spans="1:136" x14ac:dyDescent="0.3">
      <c r="A11" s="218" t="s">
        <v>290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13"/>
      <c r="CP11" s="113"/>
      <c r="CQ11" s="113"/>
      <c r="CR11" s="113"/>
      <c r="CS11" s="113"/>
      <c r="CT11" s="113"/>
      <c r="CU11" s="113"/>
      <c r="CV11" s="113"/>
      <c r="CW11" s="113"/>
      <c r="CX11" s="113"/>
      <c r="CY11" s="113"/>
      <c r="CZ11" s="113"/>
      <c r="DA11" s="113"/>
      <c r="DB11" s="113"/>
      <c r="DC11" s="113"/>
      <c r="DD11" s="113"/>
      <c r="DE11" s="113"/>
      <c r="DF11" s="113"/>
      <c r="DG11" s="113"/>
      <c r="DH11" s="113"/>
      <c r="DI11" s="113"/>
      <c r="DJ11" s="113"/>
      <c r="DK11" s="113"/>
      <c r="DL11" s="113"/>
      <c r="DM11" s="113"/>
      <c r="DN11" s="113"/>
      <c r="DO11" s="113"/>
      <c r="DP11" s="113"/>
      <c r="DQ11" s="113"/>
      <c r="DR11" s="113"/>
      <c r="DS11" s="113"/>
      <c r="DT11" s="113"/>
      <c r="DU11" s="113"/>
      <c r="DV11" s="113"/>
      <c r="DW11" s="113"/>
      <c r="DX11" s="113"/>
      <c r="DY11" s="113"/>
      <c r="DZ11" s="113"/>
      <c r="EA11" s="113"/>
      <c r="EB11" s="113"/>
      <c r="EC11" s="113"/>
      <c r="ED11" s="113"/>
      <c r="EE11" s="113"/>
      <c r="EF11" s="113"/>
    </row>
    <row r="12" spans="1:136" x14ac:dyDescent="0.3"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4" t="s">
        <v>291</v>
      </c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4" t="s">
        <v>140</v>
      </c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4" t="s">
        <v>141</v>
      </c>
      <c r="CL12" s="113"/>
      <c r="CM12" s="113"/>
      <c r="CN12" s="113"/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13"/>
      <c r="DD12" s="113"/>
      <c r="DE12" s="113"/>
      <c r="DF12" s="113"/>
      <c r="DG12" s="113"/>
      <c r="DH12" s="113"/>
      <c r="DI12" s="113"/>
      <c r="DJ12" s="113"/>
      <c r="DK12" s="113"/>
      <c r="DL12" s="113"/>
      <c r="DM12" s="113"/>
      <c r="DN12" s="113"/>
      <c r="DO12" s="113"/>
      <c r="DP12" s="113"/>
      <c r="DQ12" s="114" t="s">
        <v>142</v>
      </c>
      <c r="DR12" s="113"/>
      <c r="DS12" s="113"/>
      <c r="DT12" s="113"/>
      <c r="DU12" s="113"/>
      <c r="DV12" s="113"/>
      <c r="DW12" s="113"/>
      <c r="DX12" s="113"/>
      <c r="DY12" s="113"/>
      <c r="DZ12" s="113"/>
      <c r="EA12" s="113"/>
      <c r="EB12" s="113"/>
      <c r="EC12" s="113"/>
      <c r="ED12" s="113"/>
      <c r="EE12" s="113"/>
      <c r="EF12" s="113"/>
    </row>
    <row r="13" spans="1:136" ht="13.95" customHeight="1" x14ac:dyDescent="0.3">
      <c r="A13" s="158" t="s">
        <v>292</v>
      </c>
      <c r="B13" s="158" t="s">
        <v>293</v>
      </c>
      <c r="C13" s="158" t="s">
        <v>294</v>
      </c>
      <c r="D13" s="158" t="s">
        <v>295</v>
      </c>
      <c r="E13" s="158" t="s">
        <v>296</v>
      </c>
      <c r="F13" s="158" t="s">
        <v>297</v>
      </c>
      <c r="G13" s="158" t="s">
        <v>298</v>
      </c>
      <c r="H13" s="158" t="s">
        <v>299</v>
      </c>
      <c r="I13" s="158" t="s">
        <v>300</v>
      </c>
      <c r="J13" s="158" t="s">
        <v>301</v>
      </c>
      <c r="K13" s="158" t="s">
        <v>302</v>
      </c>
      <c r="L13" s="158" t="s">
        <v>303</v>
      </c>
      <c r="M13" s="158" t="s">
        <v>304</v>
      </c>
      <c r="N13" s="158" t="s">
        <v>305</v>
      </c>
      <c r="O13" s="158" t="s">
        <v>306</v>
      </c>
      <c r="P13" s="158" t="s">
        <v>307</v>
      </c>
      <c r="Q13" s="158" t="s">
        <v>308</v>
      </c>
      <c r="R13" s="158" t="s">
        <v>309</v>
      </c>
      <c r="S13" s="158" t="s">
        <v>310</v>
      </c>
      <c r="T13" s="158" t="s">
        <v>311</v>
      </c>
      <c r="U13" s="158" t="s">
        <v>312</v>
      </c>
      <c r="V13" s="158" t="s">
        <v>313</v>
      </c>
      <c r="W13" s="158" t="s">
        <v>314</v>
      </c>
      <c r="X13" s="158" t="s">
        <v>315</v>
      </c>
      <c r="Y13" s="158" t="s">
        <v>316</v>
      </c>
      <c r="Z13" s="158" t="s">
        <v>317</v>
      </c>
      <c r="AA13" s="158" t="s">
        <v>318</v>
      </c>
      <c r="AB13" s="158" t="s">
        <v>319</v>
      </c>
      <c r="AC13" s="158" t="s">
        <v>320</v>
      </c>
      <c r="AD13" s="158" t="s">
        <v>321</v>
      </c>
      <c r="AE13" s="158" t="s">
        <v>322</v>
      </c>
      <c r="AF13" s="158" t="s">
        <v>323</v>
      </c>
      <c r="AG13" s="158" t="s">
        <v>324</v>
      </c>
      <c r="AH13" s="158" t="s">
        <v>325</v>
      </c>
      <c r="AI13" s="158" t="s">
        <v>326</v>
      </c>
      <c r="AJ13" s="158" t="s">
        <v>327</v>
      </c>
      <c r="AK13" s="158" t="s">
        <v>328</v>
      </c>
      <c r="AL13" s="158" t="s">
        <v>329</v>
      </c>
      <c r="AM13" s="158" t="s">
        <v>330</v>
      </c>
      <c r="AN13" s="158" t="s">
        <v>291</v>
      </c>
      <c r="AO13" s="158" t="s">
        <v>300</v>
      </c>
      <c r="AP13" s="158" t="s">
        <v>301</v>
      </c>
      <c r="AQ13" s="158" t="s">
        <v>302</v>
      </c>
      <c r="AR13" s="158" t="s">
        <v>303</v>
      </c>
      <c r="AS13" s="158" t="s">
        <v>304</v>
      </c>
      <c r="AT13" s="158" t="s">
        <v>305</v>
      </c>
      <c r="AU13" s="158" t="s">
        <v>306</v>
      </c>
      <c r="AV13" s="158" t="s">
        <v>307</v>
      </c>
      <c r="AW13" s="158" t="s">
        <v>308</v>
      </c>
      <c r="AX13" s="158" t="s">
        <v>309</v>
      </c>
      <c r="AY13" s="158" t="s">
        <v>310</v>
      </c>
      <c r="AZ13" s="158" t="s">
        <v>311</v>
      </c>
      <c r="BA13" s="158" t="s">
        <v>312</v>
      </c>
      <c r="BB13" s="158" t="s">
        <v>313</v>
      </c>
      <c r="BC13" s="158" t="s">
        <v>314</v>
      </c>
      <c r="BD13" s="158" t="s">
        <v>315</v>
      </c>
      <c r="BE13" s="158" t="s">
        <v>316</v>
      </c>
      <c r="BF13" s="158" t="s">
        <v>317</v>
      </c>
      <c r="BG13" s="158" t="s">
        <v>318</v>
      </c>
      <c r="BH13" s="158" t="s">
        <v>319</v>
      </c>
      <c r="BI13" s="158" t="s">
        <v>320</v>
      </c>
      <c r="BJ13" s="158" t="s">
        <v>321</v>
      </c>
      <c r="BK13" s="158" t="s">
        <v>322</v>
      </c>
      <c r="BL13" s="158" t="s">
        <v>323</v>
      </c>
      <c r="BM13" s="158" t="s">
        <v>324</v>
      </c>
      <c r="BN13" s="158" t="s">
        <v>325</v>
      </c>
      <c r="BO13" s="158" t="s">
        <v>326</v>
      </c>
      <c r="BP13" s="158" t="s">
        <v>327</v>
      </c>
      <c r="BQ13" s="158" t="s">
        <v>328</v>
      </c>
      <c r="BR13" s="158" t="s">
        <v>329</v>
      </c>
      <c r="BS13" s="158" t="s">
        <v>330</v>
      </c>
      <c r="BT13" s="158" t="s">
        <v>140</v>
      </c>
      <c r="BU13" s="158" t="s">
        <v>300</v>
      </c>
      <c r="BV13" s="158" t="s">
        <v>301</v>
      </c>
      <c r="BW13" s="158" t="s">
        <v>302</v>
      </c>
      <c r="BX13" s="158" t="s">
        <v>303</v>
      </c>
      <c r="BY13" s="158" t="s">
        <v>304</v>
      </c>
      <c r="BZ13" s="158" t="s">
        <v>305</v>
      </c>
      <c r="CA13" s="158" t="s">
        <v>306</v>
      </c>
      <c r="CB13" s="158" t="s">
        <v>307</v>
      </c>
      <c r="CC13" s="158" t="s">
        <v>308</v>
      </c>
      <c r="CD13" s="158" t="s">
        <v>309</v>
      </c>
      <c r="CE13" s="158" t="s">
        <v>310</v>
      </c>
      <c r="CF13" s="158" t="s">
        <v>311</v>
      </c>
      <c r="CG13" s="158" t="s">
        <v>312</v>
      </c>
      <c r="CH13" s="158" t="s">
        <v>313</v>
      </c>
      <c r="CI13" s="158" t="s">
        <v>314</v>
      </c>
      <c r="CJ13" s="158" t="s">
        <v>315</v>
      </c>
      <c r="CK13" s="158" t="s">
        <v>316</v>
      </c>
      <c r="CL13" s="158" t="s">
        <v>317</v>
      </c>
      <c r="CM13" s="158" t="s">
        <v>318</v>
      </c>
      <c r="CN13" s="158" t="s">
        <v>319</v>
      </c>
      <c r="CO13" s="158" t="s">
        <v>320</v>
      </c>
      <c r="CP13" s="158" t="s">
        <v>321</v>
      </c>
      <c r="CQ13" s="158" t="s">
        <v>322</v>
      </c>
      <c r="CR13" s="158" t="s">
        <v>323</v>
      </c>
      <c r="CS13" s="158" t="s">
        <v>324</v>
      </c>
      <c r="CT13" s="158" t="s">
        <v>325</v>
      </c>
      <c r="CU13" s="158" t="s">
        <v>326</v>
      </c>
      <c r="CV13" s="158" t="s">
        <v>327</v>
      </c>
      <c r="CW13" s="158" t="s">
        <v>328</v>
      </c>
      <c r="CX13" s="158" t="s">
        <v>329</v>
      </c>
      <c r="CY13" s="158" t="s">
        <v>330</v>
      </c>
      <c r="CZ13" s="158" t="s">
        <v>141</v>
      </c>
      <c r="DA13" s="158" t="s">
        <v>300</v>
      </c>
      <c r="DB13" s="158" t="s">
        <v>301</v>
      </c>
      <c r="DC13" s="158" t="s">
        <v>302</v>
      </c>
      <c r="DD13" s="158" t="s">
        <v>303</v>
      </c>
      <c r="DE13" s="158" t="s">
        <v>304</v>
      </c>
      <c r="DF13" s="158" t="s">
        <v>305</v>
      </c>
      <c r="DG13" s="158" t="s">
        <v>306</v>
      </c>
      <c r="DH13" s="158" t="s">
        <v>307</v>
      </c>
      <c r="DI13" s="158" t="s">
        <v>308</v>
      </c>
      <c r="DJ13" s="158" t="s">
        <v>309</v>
      </c>
      <c r="DK13" s="158" t="s">
        <v>310</v>
      </c>
      <c r="DL13" s="158" t="s">
        <v>311</v>
      </c>
      <c r="DM13" s="158" t="s">
        <v>312</v>
      </c>
      <c r="DN13" s="158" t="s">
        <v>313</v>
      </c>
      <c r="DO13" s="158" t="s">
        <v>314</v>
      </c>
      <c r="DP13" s="158" t="s">
        <v>315</v>
      </c>
      <c r="DQ13" s="158" t="s">
        <v>316</v>
      </c>
      <c r="DR13" s="158" t="s">
        <v>317</v>
      </c>
      <c r="DS13" s="158" t="s">
        <v>318</v>
      </c>
      <c r="DT13" s="158" t="s">
        <v>319</v>
      </c>
      <c r="DU13" s="158" t="s">
        <v>320</v>
      </c>
      <c r="DV13" s="158" t="s">
        <v>321</v>
      </c>
      <c r="DW13" s="158" t="s">
        <v>322</v>
      </c>
      <c r="DX13" s="158" t="s">
        <v>323</v>
      </c>
      <c r="DY13" s="158" t="s">
        <v>324</v>
      </c>
      <c r="DZ13" s="158" t="s">
        <v>325</v>
      </c>
      <c r="EA13" s="158" t="s">
        <v>326</v>
      </c>
      <c r="EB13" s="158" t="s">
        <v>327</v>
      </c>
      <c r="EC13" s="158" t="s">
        <v>328</v>
      </c>
      <c r="ED13" s="158" t="s">
        <v>329</v>
      </c>
      <c r="EE13" s="158" t="s">
        <v>330</v>
      </c>
      <c r="EF13" s="158" t="s">
        <v>142</v>
      </c>
    </row>
    <row r="14" spans="1:136" x14ac:dyDescent="0.3">
      <c r="A14" s="115" t="s">
        <v>149</v>
      </c>
      <c r="B14" s="115" t="s">
        <v>150</v>
      </c>
      <c r="C14" s="115" t="s">
        <v>151</v>
      </c>
      <c r="D14" s="115" t="s">
        <v>331</v>
      </c>
      <c r="E14" s="115" t="s">
        <v>365</v>
      </c>
      <c r="F14" s="115" t="s">
        <v>152</v>
      </c>
      <c r="G14" s="115" t="s">
        <v>153</v>
      </c>
      <c r="H14" s="116">
        <v>25</v>
      </c>
      <c r="I14" s="116">
        <v>0</v>
      </c>
      <c r="J14" s="116">
        <v>59</v>
      </c>
      <c r="K14" s="116">
        <v>54</v>
      </c>
      <c r="L14" s="116">
        <v>60</v>
      </c>
      <c r="M14" s="116">
        <v>65</v>
      </c>
      <c r="N14" s="116">
        <v>58</v>
      </c>
      <c r="O14" s="116">
        <v>0</v>
      </c>
      <c r="P14" s="116">
        <v>0</v>
      </c>
      <c r="Q14" s="116">
        <v>57</v>
      </c>
      <c r="R14" s="116">
        <v>60</v>
      </c>
      <c r="S14" s="116">
        <v>58</v>
      </c>
      <c r="T14" s="116">
        <v>59</v>
      </c>
      <c r="U14" s="116">
        <v>57</v>
      </c>
      <c r="V14" s="116">
        <v>59</v>
      </c>
      <c r="W14" s="116">
        <v>0</v>
      </c>
      <c r="X14" s="116">
        <v>64</v>
      </c>
      <c r="Y14" s="116">
        <v>62</v>
      </c>
      <c r="Z14" s="116">
        <v>56</v>
      </c>
      <c r="AA14" s="116">
        <v>63</v>
      </c>
      <c r="AB14" s="116">
        <v>52</v>
      </c>
      <c r="AC14" s="116">
        <v>0</v>
      </c>
      <c r="AD14" s="116">
        <v>0</v>
      </c>
      <c r="AE14" s="116">
        <v>64</v>
      </c>
      <c r="AF14" s="116">
        <v>73</v>
      </c>
      <c r="AG14" s="116">
        <v>70</v>
      </c>
      <c r="AH14" s="116">
        <v>70</v>
      </c>
      <c r="AI14" s="116">
        <v>68</v>
      </c>
      <c r="AJ14" s="116">
        <v>64</v>
      </c>
      <c r="AK14" s="116">
        <v>0</v>
      </c>
      <c r="AL14" s="116">
        <v>0</v>
      </c>
      <c r="AM14" s="116">
        <v>0</v>
      </c>
      <c r="AN14" s="116">
        <v>1352</v>
      </c>
      <c r="AO14" s="116">
        <v>0</v>
      </c>
      <c r="AP14" s="116">
        <v>0</v>
      </c>
      <c r="AQ14" s="116">
        <v>0</v>
      </c>
      <c r="AR14" s="116">
        <v>72</v>
      </c>
      <c r="AS14" s="116">
        <v>69</v>
      </c>
      <c r="AT14" s="116">
        <v>74</v>
      </c>
      <c r="AU14" s="116">
        <v>38</v>
      </c>
      <c r="AV14" s="116">
        <v>0</v>
      </c>
      <c r="AW14" s="116">
        <v>76</v>
      </c>
      <c r="AX14" s="116">
        <v>78</v>
      </c>
      <c r="AY14" s="116">
        <v>77</v>
      </c>
      <c r="AZ14" s="116">
        <v>82</v>
      </c>
      <c r="BA14" s="116">
        <v>82</v>
      </c>
      <c r="BB14" s="116">
        <v>77</v>
      </c>
      <c r="BC14" s="116">
        <v>0</v>
      </c>
      <c r="BD14" s="116">
        <v>83</v>
      </c>
      <c r="BE14" s="116">
        <v>82</v>
      </c>
      <c r="BF14" s="116">
        <v>86</v>
      </c>
      <c r="BG14" s="116">
        <v>85</v>
      </c>
      <c r="BH14" s="116">
        <v>83</v>
      </c>
      <c r="BI14" s="116">
        <v>0</v>
      </c>
      <c r="BJ14" s="116">
        <v>0</v>
      </c>
      <c r="BK14" s="116">
        <v>82</v>
      </c>
      <c r="BL14" s="116">
        <v>82</v>
      </c>
      <c r="BM14" s="116">
        <v>74</v>
      </c>
      <c r="BN14" s="116">
        <v>87</v>
      </c>
      <c r="BO14" s="116">
        <v>78</v>
      </c>
      <c r="BP14" s="116">
        <v>80</v>
      </c>
      <c r="BQ14" s="116">
        <v>0</v>
      </c>
      <c r="BR14" s="116">
        <v>83</v>
      </c>
      <c r="BS14" s="116">
        <v>77</v>
      </c>
      <c r="BT14" s="116">
        <v>1787</v>
      </c>
      <c r="BU14" s="116">
        <v>110</v>
      </c>
      <c r="BV14" s="116">
        <v>110</v>
      </c>
      <c r="BW14" s="116">
        <v>110</v>
      </c>
      <c r="BX14" s="116">
        <v>55</v>
      </c>
      <c r="BY14" s="116">
        <v>0</v>
      </c>
      <c r="BZ14" s="116">
        <v>110</v>
      </c>
      <c r="CA14" s="116">
        <v>110</v>
      </c>
      <c r="CB14" s="116">
        <v>110</v>
      </c>
      <c r="CC14" s="116">
        <v>110</v>
      </c>
      <c r="CD14" s="116">
        <v>110</v>
      </c>
      <c r="CE14" s="116">
        <v>0</v>
      </c>
      <c r="CF14" s="116">
        <v>0</v>
      </c>
      <c r="CG14" s="116">
        <v>0</v>
      </c>
      <c r="CH14" s="116">
        <v>0</v>
      </c>
      <c r="CI14" s="116">
        <v>0</v>
      </c>
      <c r="CJ14" s="116">
        <v>0</v>
      </c>
      <c r="CK14" s="116">
        <v>0</v>
      </c>
      <c r="CL14" s="116">
        <v>0</v>
      </c>
      <c r="CM14" s="116">
        <v>0</v>
      </c>
      <c r="CN14" s="116">
        <v>110</v>
      </c>
      <c r="CO14" s="116">
        <v>110</v>
      </c>
      <c r="CP14" s="116">
        <v>110</v>
      </c>
      <c r="CQ14" s="116">
        <v>110</v>
      </c>
      <c r="CR14" s="116">
        <v>110</v>
      </c>
      <c r="CS14" s="116">
        <v>110</v>
      </c>
      <c r="CT14" s="116">
        <v>0</v>
      </c>
      <c r="CU14" s="116">
        <v>111</v>
      </c>
      <c r="CV14" s="116">
        <v>110</v>
      </c>
      <c r="CW14" s="116">
        <v>111</v>
      </c>
      <c r="CX14" s="116">
        <v>110</v>
      </c>
      <c r="CY14" s="116">
        <v>0</v>
      </c>
      <c r="CZ14" s="116">
        <v>2037</v>
      </c>
      <c r="DA14" s="116">
        <v>0</v>
      </c>
      <c r="DB14" s="116">
        <v>0</v>
      </c>
      <c r="DC14" s="116">
        <v>0</v>
      </c>
      <c r="DD14" s="116">
        <v>0</v>
      </c>
      <c r="DE14" s="116">
        <v>0</v>
      </c>
      <c r="DF14" s="116">
        <v>0</v>
      </c>
      <c r="DG14" s="116">
        <v>0</v>
      </c>
      <c r="DH14" s="116">
        <v>0</v>
      </c>
      <c r="DI14" s="116">
        <v>0</v>
      </c>
      <c r="DJ14" s="116">
        <v>0</v>
      </c>
      <c r="DK14" s="116">
        <v>0</v>
      </c>
      <c r="DL14" s="116">
        <v>0</v>
      </c>
      <c r="DM14" s="116">
        <v>0</v>
      </c>
      <c r="DN14" s="116">
        <v>0</v>
      </c>
      <c r="DO14" s="116">
        <v>0</v>
      </c>
      <c r="DP14" s="116">
        <v>0</v>
      </c>
      <c r="DQ14" s="116">
        <v>0</v>
      </c>
      <c r="DR14" s="116">
        <v>0</v>
      </c>
      <c r="DS14" s="116">
        <v>0</v>
      </c>
      <c r="DT14" s="116">
        <v>0</v>
      </c>
      <c r="DU14" s="116">
        <v>0</v>
      </c>
      <c r="DV14" s="116">
        <v>0</v>
      </c>
      <c r="DW14" s="116">
        <v>0</v>
      </c>
      <c r="DX14" s="116">
        <v>0</v>
      </c>
      <c r="DY14" s="116">
        <v>0</v>
      </c>
      <c r="DZ14" s="116">
        <v>0</v>
      </c>
      <c r="EA14" s="116">
        <v>0</v>
      </c>
      <c r="EB14" s="116">
        <v>0</v>
      </c>
      <c r="EC14" s="116">
        <v>0</v>
      </c>
      <c r="ED14" s="116">
        <v>0</v>
      </c>
      <c r="EE14" s="116">
        <v>0</v>
      </c>
      <c r="EF14" s="116">
        <v>0</v>
      </c>
    </row>
    <row r="15" spans="1:136" x14ac:dyDescent="0.3">
      <c r="A15" s="115" t="s">
        <v>22</v>
      </c>
      <c r="B15" s="115" t="s">
        <v>158</v>
      </c>
      <c r="C15" s="115" t="s">
        <v>151</v>
      </c>
      <c r="D15" s="115" t="s">
        <v>331</v>
      </c>
      <c r="E15" s="115" t="s">
        <v>365</v>
      </c>
      <c r="F15" s="115" t="s">
        <v>152</v>
      </c>
      <c r="G15" s="115" t="s">
        <v>153</v>
      </c>
      <c r="H15" s="116">
        <v>42</v>
      </c>
      <c r="I15" s="116">
        <v>0</v>
      </c>
      <c r="J15" s="116">
        <v>29</v>
      </c>
      <c r="K15" s="116">
        <v>28</v>
      </c>
      <c r="L15" s="116">
        <v>29</v>
      </c>
      <c r="M15" s="116">
        <v>32</v>
      </c>
      <c r="N15" s="116">
        <v>27</v>
      </c>
      <c r="O15" s="116">
        <v>0</v>
      </c>
      <c r="P15" s="116">
        <v>0</v>
      </c>
      <c r="Q15" s="116">
        <v>33</v>
      </c>
      <c r="R15" s="116">
        <v>27</v>
      </c>
      <c r="S15" s="116">
        <v>29</v>
      </c>
      <c r="T15" s="116">
        <v>30</v>
      </c>
      <c r="U15" s="116">
        <v>28</v>
      </c>
      <c r="V15" s="116">
        <v>28</v>
      </c>
      <c r="W15" s="116">
        <v>0</v>
      </c>
      <c r="X15" s="116">
        <v>38</v>
      </c>
      <c r="Y15" s="116">
        <v>27</v>
      </c>
      <c r="Z15" s="116">
        <v>32</v>
      </c>
      <c r="AA15" s="116">
        <v>28</v>
      </c>
      <c r="AB15" s="116">
        <v>27</v>
      </c>
      <c r="AC15" s="116">
        <v>0</v>
      </c>
      <c r="AD15" s="116">
        <v>0</v>
      </c>
      <c r="AE15" s="116">
        <v>28</v>
      </c>
      <c r="AF15" s="116">
        <v>39</v>
      </c>
      <c r="AG15" s="116">
        <v>36</v>
      </c>
      <c r="AH15" s="116">
        <v>37</v>
      </c>
      <c r="AI15" s="116">
        <v>32</v>
      </c>
      <c r="AJ15" s="116">
        <v>32</v>
      </c>
      <c r="AK15" s="116">
        <v>0</v>
      </c>
      <c r="AL15" s="116">
        <v>0</v>
      </c>
      <c r="AM15" s="116">
        <v>0</v>
      </c>
      <c r="AN15" s="116">
        <v>676</v>
      </c>
      <c r="AO15" s="116">
        <v>0</v>
      </c>
      <c r="AP15" s="116">
        <v>0</v>
      </c>
      <c r="AQ15" s="116">
        <v>0</v>
      </c>
      <c r="AR15" s="116">
        <v>46</v>
      </c>
      <c r="AS15" s="116">
        <v>50</v>
      </c>
      <c r="AT15" s="116">
        <v>45</v>
      </c>
      <c r="AU15" s="116">
        <v>23</v>
      </c>
      <c r="AV15" s="116">
        <v>0</v>
      </c>
      <c r="AW15" s="116">
        <v>53</v>
      </c>
      <c r="AX15" s="116">
        <v>49</v>
      </c>
      <c r="AY15" s="116">
        <v>54</v>
      </c>
      <c r="AZ15" s="116">
        <v>52</v>
      </c>
      <c r="BA15" s="116">
        <v>54</v>
      </c>
      <c r="BB15" s="116">
        <v>51</v>
      </c>
      <c r="BC15" s="116">
        <v>0</v>
      </c>
      <c r="BD15" s="116">
        <v>53</v>
      </c>
      <c r="BE15" s="116">
        <v>55</v>
      </c>
      <c r="BF15" s="116">
        <v>51</v>
      </c>
      <c r="BG15" s="116">
        <v>56</v>
      </c>
      <c r="BH15" s="116">
        <v>53</v>
      </c>
      <c r="BI15" s="116">
        <v>0</v>
      </c>
      <c r="BJ15" s="116">
        <v>0</v>
      </c>
      <c r="BK15" s="116">
        <v>55</v>
      </c>
      <c r="BL15" s="116">
        <v>55</v>
      </c>
      <c r="BM15" s="116">
        <v>51</v>
      </c>
      <c r="BN15" s="116">
        <v>55</v>
      </c>
      <c r="BO15" s="116">
        <v>56</v>
      </c>
      <c r="BP15" s="116">
        <v>49</v>
      </c>
      <c r="BQ15" s="116">
        <v>0</v>
      </c>
      <c r="BR15" s="116">
        <v>54</v>
      </c>
      <c r="BS15" s="116">
        <v>50</v>
      </c>
      <c r="BT15" s="116">
        <v>1170</v>
      </c>
      <c r="BU15" s="116">
        <v>59</v>
      </c>
      <c r="BV15" s="116">
        <v>59</v>
      </c>
      <c r="BW15" s="116">
        <v>59</v>
      </c>
      <c r="BX15" s="116">
        <v>29</v>
      </c>
      <c r="BY15" s="116">
        <v>0</v>
      </c>
      <c r="BZ15" s="116">
        <v>59</v>
      </c>
      <c r="CA15" s="116">
        <v>59</v>
      </c>
      <c r="CB15" s="116">
        <v>58</v>
      </c>
      <c r="CC15" s="116">
        <v>59</v>
      </c>
      <c r="CD15" s="116">
        <v>58</v>
      </c>
      <c r="CE15" s="116">
        <v>0</v>
      </c>
      <c r="CF15" s="116">
        <v>0</v>
      </c>
      <c r="CG15" s="116">
        <v>0</v>
      </c>
      <c r="CH15" s="116">
        <v>0</v>
      </c>
      <c r="CI15" s="116">
        <v>0</v>
      </c>
      <c r="CJ15" s="116">
        <v>0</v>
      </c>
      <c r="CK15" s="116">
        <v>0</v>
      </c>
      <c r="CL15" s="116">
        <v>0</v>
      </c>
      <c r="CM15" s="116">
        <v>0</v>
      </c>
      <c r="CN15" s="116">
        <v>59</v>
      </c>
      <c r="CO15" s="116">
        <v>58</v>
      </c>
      <c r="CP15" s="116">
        <v>59</v>
      </c>
      <c r="CQ15" s="116">
        <v>58</v>
      </c>
      <c r="CR15" s="116">
        <v>59</v>
      </c>
      <c r="CS15" s="116">
        <v>58</v>
      </c>
      <c r="CT15" s="116">
        <v>0</v>
      </c>
      <c r="CU15" s="116">
        <v>59</v>
      </c>
      <c r="CV15" s="116">
        <v>58</v>
      </c>
      <c r="CW15" s="116">
        <v>59</v>
      </c>
      <c r="CX15" s="116">
        <v>58</v>
      </c>
      <c r="CY15" s="116">
        <v>0</v>
      </c>
      <c r="CZ15" s="116">
        <v>1084</v>
      </c>
      <c r="DA15" s="116">
        <v>0</v>
      </c>
      <c r="DB15" s="116">
        <v>0</v>
      </c>
      <c r="DC15" s="116">
        <v>0</v>
      </c>
      <c r="DD15" s="116">
        <v>20</v>
      </c>
      <c r="DE15" s="116">
        <v>20</v>
      </c>
      <c r="DF15" s="116">
        <v>20</v>
      </c>
      <c r="DG15" s="116">
        <v>20</v>
      </c>
      <c r="DH15" s="116">
        <v>20</v>
      </c>
      <c r="DI15" s="116">
        <v>20</v>
      </c>
      <c r="DJ15" s="116">
        <v>0</v>
      </c>
      <c r="DK15" s="116">
        <v>20</v>
      </c>
      <c r="DL15" s="116">
        <v>20</v>
      </c>
      <c r="DM15" s="116">
        <v>20</v>
      </c>
      <c r="DN15" s="116">
        <v>20</v>
      </c>
      <c r="DO15" s="116">
        <v>20</v>
      </c>
      <c r="DP15" s="116">
        <v>10</v>
      </c>
      <c r="DQ15" s="116">
        <v>0</v>
      </c>
      <c r="DR15" s="116">
        <v>20</v>
      </c>
      <c r="DS15" s="116">
        <v>20</v>
      </c>
      <c r="DT15" s="116">
        <v>20</v>
      </c>
      <c r="DU15" s="116">
        <v>20</v>
      </c>
      <c r="DV15" s="116">
        <v>20</v>
      </c>
      <c r="DW15" s="116">
        <v>20</v>
      </c>
      <c r="DX15" s="116">
        <v>0</v>
      </c>
      <c r="DY15" s="116">
        <v>20</v>
      </c>
      <c r="DZ15" s="116">
        <v>20</v>
      </c>
      <c r="EA15" s="116">
        <v>20</v>
      </c>
      <c r="EB15" s="116">
        <v>21</v>
      </c>
      <c r="EC15" s="116">
        <v>20</v>
      </c>
      <c r="ED15" s="116">
        <v>0</v>
      </c>
      <c r="EE15" s="116">
        <v>0</v>
      </c>
      <c r="EF15" s="116">
        <v>451</v>
      </c>
    </row>
    <row r="16" spans="1:136" x14ac:dyDescent="0.3">
      <c r="A16" s="115" t="s">
        <v>160</v>
      </c>
      <c r="B16" s="115" t="s">
        <v>161</v>
      </c>
      <c r="C16" s="115" t="s">
        <v>151</v>
      </c>
      <c r="D16" s="115" t="s">
        <v>331</v>
      </c>
      <c r="E16" s="115" t="s">
        <v>365</v>
      </c>
      <c r="F16" s="115" t="s">
        <v>152</v>
      </c>
      <c r="G16" s="115" t="s">
        <v>153</v>
      </c>
      <c r="H16" s="116">
        <v>8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  <c r="O16" s="116">
        <v>0</v>
      </c>
      <c r="P16" s="116">
        <v>0</v>
      </c>
      <c r="Q16" s="116">
        <v>0</v>
      </c>
      <c r="R16" s="116">
        <v>1</v>
      </c>
      <c r="S16" s="116">
        <v>0</v>
      </c>
      <c r="T16" s="116">
        <v>0</v>
      </c>
      <c r="U16" s="116">
        <v>0</v>
      </c>
      <c r="V16" s="116">
        <v>0</v>
      </c>
      <c r="W16" s="116">
        <v>0</v>
      </c>
      <c r="X16" s="116">
        <v>0</v>
      </c>
      <c r="Y16" s="116">
        <v>0</v>
      </c>
      <c r="Z16" s="116">
        <v>0</v>
      </c>
      <c r="AA16" s="116">
        <v>0</v>
      </c>
      <c r="AB16" s="116">
        <v>1</v>
      </c>
      <c r="AC16" s="116">
        <v>0</v>
      </c>
      <c r="AD16" s="116">
        <v>0</v>
      </c>
      <c r="AE16" s="116">
        <v>0</v>
      </c>
      <c r="AF16" s="116">
        <v>0</v>
      </c>
      <c r="AG16" s="116">
        <v>0</v>
      </c>
      <c r="AH16" s="116">
        <v>0</v>
      </c>
      <c r="AI16" s="116">
        <v>0</v>
      </c>
      <c r="AJ16" s="116">
        <v>0</v>
      </c>
      <c r="AK16" s="116">
        <v>0</v>
      </c>
      <c r="AL16" s="116">
        <v>0</v>
      </c>
      <c r="AM16" s="116">
        <v>0</v>
      </c>
      <c r="AN16" s="116">
        <v>2</v>
      </c>
      <c r="AO16" s="116">
        <v>0</v>
      </c>
      <c r="AP16" s="116">
        <v>0</v>
      </c>
      <c r="AQ16" s="116">
        <v>0</v>
      </c>
      <c r="AR16" s="116">
        <v>0</v>
      </c>
      <c r="AS16" s="116">
        <v>0</v>
      </c>
      <c r="AT16" s="116">
        <v>0</v>
      </c>
      <c r="AU16" s="116">
        <v>0</v>
      </c>
      <c r="AV16" s="116">
        <v>0</v>
      </c>
      <c r="AW16" s="116">
        <v>1</v>
      </c>
      <c r="AX16" s="116">
        <v>0</v>
      </c>
      <c r="AY16" s="116">
        <v>1</v>
      </c>
      <c r="AZ16" s="116">
        <v>0</v>
      </c>
      <c r="BA16" s="116">
        <v>0</v>
      </c>
      <c r="BB16" s="116">
        <v>0</v>
      </c>
      <c r="BC16" s="116">
        <v>0</v>
      </c>
      <c r="BD16" s="116">
        <v>0</v>
      </c>
      <c r="BE16" s="116">
        <v>0</v>
      </c>
      <c r="BF16" s="116">
        <v>0</v>
      </c>
      <c r="BG16" s="116">
        <v>0</v>
      </c>
      <c r="BH16" s="116">
        <v>0</v>
      </c>
      <c r="BI16" s="116">
        <v>0</v>
      </c>
      <c r="BJ16" s="116">
        <v>0</v>
      </c>
      <c r="BK16" s="116">
        <v>0</v>
      </c>
      <c r="BL16" s="116">
        <v>0</v>
      </c>
      <c r="BM16" s="116">
        <v>1</v>
      </c>
      <c r="BN16" s="116">
        <v>0</v>
      </c>
      <c r="BO16" s="116">
        <v>1</v>
      </c>
      <c r="BP16" s="116">
        <v>0</v>
      </c>
      <c r="BQ16" s="116">
        <v>0</v>
      </c>
      <c r="BR16" s="116">
        <v>0</v>
      </c>
      <c r="BS16" s="116">
        <v>0</v>
      </c>
      <c r="BT16" s="116">
        <v>4</v>
      </c>
      <c r="BU16" s="116">
        <v>0</v>
      </c>
      <c r="BV16" s="116">
        <v>0</v>
      </c>
      <c r="BW16" s="116">
        <v>0</v>
      </c>
      <c r="BX16" s="116">
        <v>0</v>
      </c>
      <c r="BY16" s="116">
        <v>0</v>
      </c>
      <c r="BZ16" s="116">
        <v>0</v>
      </c>
      <c r="CA16" s="116">
        <v>0</v>
      </c>
      <c r="CB16" s="116">
        <v>0</v>
      </c>
      <c r="CC16" s="116">
        <v>0</v>
      </c>
      <c r="CD16" s="116">
        <v>0</v>
      </c>
      <c r="CE16" s="116">
        <v>0</v>
      </c>
      <c r="CF16" s="116">
        <v>0</v>
      </c>
      <c r="CG16" s="116">
        <v>0</v>
      </c>
      <c r="CH16" s="116">
        <v>0</v>
      </c>
      <c r="CI16" s="116">
        <v>0</v>
      </c>
      <c r="CJ16" s="116">
        <v>0</v>
      </c>
      <c r="CK16" s="116">
        <v>0</v>
      </c>
      <c r="CL16" s="116">
        <v>0</v>
      </c>
      <c r="CM16" s="116">
        <v>0</v>
      </c>
      <c r="CN16" s="116">
        <v>0</v>
      </c>
      <c r="CO16" s="116">
        <v>0</v>
      </c>
      <c r="CP16" s="116">
        <v>0</v>
      </c>
      <c r="CQ16" s="116">
        <v>0</v>
      </c>
      <c r="CR16" s="116">
        <v>0</v>
      </c>
      <c r="CS16" s="116">
        <v>0</v>
      </c>
      <c r="CT16" s="116">
        <v>0</v>
      </c>
      <c r="CU16" s="116">
        <v>0</v>
      </c>
      <c r="CV16" s="116">
        <v>0</v>
      </c>
      <c r="CW16" s="116">
        <v>0</v>
      </c>
      <c r="CX16" s="116">
        <v>0</v>
      </c>
      <c r="CY16" s="116">
        <v>0</v>
      </c>
      <c r="CZ16" s="116">
        <v>0</v>
      </c>
      <c r="DA16" s="116">
        <v>0</v>
      </c>
      <c r="DB16" s="116">
        <v>0</v>
      </c>
      <c r="DC16" s="116">
        <v>0</v>
      </c>
      <c r="DD16" s="116">
        <v>0</v>
      </c>
      <c r="DE16" s="116">
        <v>0</v>
      </c>
      <c r="DF16" s="116">
        <v>0</v>
      </c>
      <c r="DG16" s="116">
        <v>0</v>
      </c>
      <c r="DH16" s="116">
        <v>0</v>
      </c>
      <c r="DI16" s="116">
        <v>0</v>
      </c>
      <c r="DJ16" s="116">
        <v>0</v>
      </c>
      <c r="DK16" s="116">
        <v>0</v>
      </c>
      <c r="DL16" s="116">
        <v>0</v>
      </c>
      <c r="DM16" s="116">
        <v>0</v>
      </c>
      <c r="DN16" s="116">
        <v>0</v>
      </c>
      <c r="DO16" s="116">
        <v>0</v>
      </c>
      <c r="DP16" s="116">
        <v>0</v>
      </c>
      <c r="DQ16" s="116">
        <v>0</v>
      </c>
      <c r="DR16" s="116">
        <v>0</v>
      </c>
      <c r="DS16" s="116">
        <v>0</v>
      </c>
      <c r="DT16" s="116">
        <v>0</v>
      </c>
      <c r="DU16" s="116">
        <v>0</v>
      </c>
      <c r="DV16" s="116">
        <v>0</v>
      </c>
      <c r="DW16" s="116">
        <v>0</v>
      </c>
      <c r="DX16" s="116">
        <v>0</v>
      </c>
      <c r="DY16" s="116">
        <v>0</v>
      </c>
      <c r="DZ16" s="116">
        <v>0</v>
      </c>
      <c r="EA16" s="116">
        <v>0</v>
      </c>
      <c r="EB16" s="116">
        <v>0</v>
      </c>
      <c r="EC16" s="116">
        <v>0</v>
      </c>
      <c r="ED16" s="116">
        <v>0</v>
      </c>
      <c r="EE16" s="116">
        <v>0</v>
      </c>
      <c r="EF16" s="257">
        <v>0</v>
      </c>
    </row>
    <row r="17" spans="1:138" x14ac:dyDescent="0.3">
      <c r="A17" s="115" t="s">
        <v>162</v>
      </c>
      <c r="B17" s="115" t="s">
        <v>163</v>
      </c>
      <c r="C17" s="115" t="s">
        <v>151</v>
      </c>
      <c r="D17" s="115" t="s">
        <v>331</v>
      </c>
      <c r="E17" s="115" t="s">
        <v>365</v>
      </c>
      <c r="F17" s="115" t="s">
        <v>152</v>
      </c>
      <c r="G17" s="115" t="s">
        <v>153</v>
      </c>
      <c r="H17" s="116">
        <v>8</v>
      </c>
      <c r="I17" s="116">
        <v>0</v>
      </c>
      <c r="J17" s="116">
        <v>12</v>
      </c>
      <c r="K17" s="116">
        <v>8</v>
      </c>
      <c r="L17" s="116">
        <v>10</v>
      </c>
      <c r="M17" s="116">
        <v>16</v>
      </c>
      <c r="N17" s="116">
        <v>10</v>
      </c>
      <c r="O17" s="116">
        <v>0</v>
      </c>
      <c r="P17" s="116">
        <v>0</v>
      </c>
      <c r="Q17" s="116">
        <v>10</v>
      </c>
      <c r="R17" s="116">
        <v>11</v>
      </c>
      <c r="S17" s="116">
        <v>10</v>
      </c>
      <c r="T17" s="116">
        <v>10</v>
      </c>
      <c r="U17" s="116">
        <v>10</v>
      </c>
      <c r="V17" s="116">
        <v>11</v>
      </c>
      <c r="W17" s="116">
        <v>0</v>
      </c>
      <c r="X17" s="116">
        <v>13</v>
      </c>
      <c r="Y17" s="116">
        <v>14</v>
      </c>
      <c r="Z17" s="116">
        <v>9</v>
      </c>
      <c r="AA17" s="116">
        <v>12</v>
      </c>
      <c r="AB17" s="116">
        <v>8</v>
      </c>
      <c r="AC17" s="116">
        <v>0</v>
      </c>
      <c r="AD17" s="116">
        <v>0</v>
      </c>
      <c r="AE17" s="116">
        <v>12</v>
      </c>
      <c r="AF17" s="116">
        <v>13</v>
      </c>
      <c r="AG17" s="116">
        <v>16</v>
      </c>
      <c r="AH17" s="116">
        <v>12</v>
      </c>
      <c r="AI17" s="116">
        <v>10</v>
      </c>
      <c r="AJ17" s="116">
        <v>14</v>
      </c>
      <c r="AK17" s="116">
        <v>0</v>
      </c>
      <c r="AL17" s="116">
        <v>0</v>
      </c>
      <c r="AM17" s="116">
        <v>0</v>
      </c>
      <c r="AN17" s="116">
        <v>251</v>
      </c>
      <c r="AO17" s="116">
        <v>0</v>
      </c>
      <c r="AP17" s="116">
        <v>0</v>
      </c>
      <c r="AQ17" s="116">
        <v>0</v>
      </c>
      <c r="AR17" s="116">
        <v>12</v>
      </c>
      <c r="AS17" s="116">
        <v>10</v>
      </c>
      <c r="AT17" s="116">
        <v>13</v>
      </c>
      <c r="AU17" s="116">
        <v>8</v>
      </c>
      <c r="AV17" s="116">
        <v>0</v>
      </c>
      <c r="AW17" s="116">
        <v>9</v>
      </c>
      <c r="AX17" s="116">
        <v>15</v>
      </c>
      <c r="AY17" s="116">
        <v>10</v>
      </c>
      <c r="AZ17" s="116">
        <v>11</v>
      </c>
      <c r="BA17" s="116">
        <v>14</v>
      </c>
      <c r="BB17" s="116">
        <v>13</v>
      </c>
      <c r="BC17" s="116">
        <v>0</v>
      </c>
      <c r="BD17" s="116">
        <v>13</v>
      </c>
      <c r="BE17" s="116">
        <v>14</v>
      </c>
      <c r="BF17" s="116">
        <v>14</v>
      </c>
      <c r="BG17" s="116">
        <v>13</v>
      </c>
      <c r="BH17" s="116">
        <v>13</v>
      </c>
      <c r="BI17" s="116">
        <v>0</v>
      </c>
      <c r="BJ17" s="116">
        <v>0</v>
      </c>
      <c r="BK17" s="116">
        <v>16</v>
      </c>
      <c r="BL17" s="116">
        <v>12</v>
      </c>
      <c r="BM17" s="116">
        <v>8</v>
      </c>
      <c r="BN17" s="116">
        <v>14</v>
      </c>
      <c r="BO17" s="116">
        <v>11</v>
      </c>
      <c r="BP17" s="116">
        <v>18</v>
      </c>
      <c r="BQ17" s="116">
        <v>0</v>
      </c>
      <c r="BR17" s="116">
        <v>11</v>
      </c>
      <c r="BS17" s="116">
        <v>13</v>
      </c>
      <c r="BT17" s="116">
        <v>285</v>
      </c>
      <c r="BU17" s="116">
        <v>19</v>
      </c>
      <c r="BV17" s="116">
        <v>19</v>
      </c>
      <c r="BW17" s="116">
        <v>20</v>
      </c>
      <c r="BX17" s="116">
        <v>10</v>
      </c>
      <c r="BY17" s="116">
        <v>0</v>
      </c>
      <c r="BZ17" s="116">
        <v>19</v>
      </c>
      <c r="CA17" s="116">
        <v>20</v>
      </c>
      <c r="CB17" s="116">
        <v>19</v>
      </c>
      <c r="CC17" s="116">
        <v>20</v>
      </c>
      <c r="CD17" s="116">
        <v>19</v>
      </c>
      <c r="CE17" s="116">
        <v>0</v>
      </c>
      <c r="CF17" s="116">
        <v>0</v>
      </c>
      <c r="CG17" s="116">
        <v>0</v>
      </c>
      <c r="CH17" s="116">
        <v>0</v>
      </c>
      <c r="CI17" s="116">
        <v>0</v>
      </c>
      <c r="CJ17" s="116">
        <v>0</v>
      </c>
      <c r="CK17" s="116">
        <v>0</v>
      </c>
      <c r="CL17" s="116">
        <v>0</v>
      </c>
      <c r="CM17" s="116">
        <v>0</v>
      </c>
      <c r="CN17" s="116">
        <v>20</v>
      </c>
      <c r="CO17" s="116">
        <v>19</v>
      </c>
      <c r="CP17" s="116">
        <v>20</v>
      </c>
      <c r="CQ17" s="116">
        <v>19</v>
      </c>
      <c r="CR17" s="116">
        <v>20</v>
      </c>
      <c r="CS17" s="116">
        <v>19</v>
      </c>
      <c r="CT17" s="116">
        <v>0</v>
      </c>
      <c r="CU17" s="116">
        <v>20</v>
      </c>
      <c r="CV17" s="116">
        <v>19</v>
      </c>
      <c r="CW17" s="116">
        <v>20</v>
      </c>
      <c r="CX17" s="116">
        <v>19</v>
      </c>
      <c r="CY17" s="116">
        <v>0</v>
      </c>
      <c r="CZ17" s="116">
        <v>360</v>
      </c>
      <c r="DA17" s="116">
        <v>0</v>
      </c>
      <c r="DB17" s="116">
        <v>0</v>
      </c>
      <c r="DC17" s="116">
        <v>0</v>
      </c>
      <c r="DD17" s="116">
        <v>0</v>
      </c>
      <c r="DE17" s="116">
        <v>0</v>
      </c>
      <c r="DF17" s="116">
        <v>0</v>
      </c>
      <c r="DG17" s="116">
        <v>0</v>
      </c>
      <c r="DH17" s="116">
        <v>0</v>
      </c>
      <c r="DI17" s="116">
        <v>0</v>
      </c>
      <c r="DJ17" s="116">
        <v>0</v>
      </c>
      <c r="DK17" s="116">
        <v>0</v>
      </c>
      <c r="DL17" s="116">
        <v>0</v>
      </c>
      <c r="DM17" s="116">
        <v>0</v>
      </c>
      <c r="DN17" s="116">
        <v>0</v>
      </c>
      <c r="DO17" s="116">
        <v>0</v>
      </c>
      <c r="DP17" s="116">
        <v>0</v>
      </c>
      <c r="DQ17" s="116">
        <v>0</v>
      </c>
      <c r="DR17" s="116">
        <v>0</v>
      </c>
      <c r="DS17" s="116">
        <v>0</v>
      </c>
      <c r="DT17" s="116">
        <v>0</v>
      </c>
      <c r="DU17" s="116">
        <v>0</v>
      </c>
      <c r="DV17" s="116">
        <v>0</v>
      </c>
      <c r="DW17" s="116">
        <v>0</v>
      </c>
      <c r="DX17" s="116">
        <v>0</v>
      </c>
      <c r="DY17" s="116">
        <v>0</v>
      </c>
      <c r="DZ17" s="116">
        <v>0</v>
      </c>
      <c r="EA17" s="116">
        <v>0</v>
      </c>
      <c r="EB17" s="116">
        <v>0</v>
      </c>
      <c r="EC17" s="116">
        <v>0</v>
      </c>
      <c r="ED17" s="116">
        <v>0</v>
      </c>
      <c r="EE17" s="116">
        <v>0</v>
      </c>
      <c r="EF17" s="116">
        <v>0</v>
      </c>
    </row>
    <row r="18" spans="1:138" x14ac:dyDescent="0.3">
      <c r="A18" s="230" t="s">
        <v>166</v>
      </c>
      <c r="B18" s="115" t="s">
        <v>167</v>
      </c>
      <c r="C18" s="115" t="s">
        <v>151</v>
      </c>
      <c r="D18" s="115" t="s">
        <v>331</v>
      </c>
      <c r="E18" s="115" t="s">
        <v>365</v>
      </c>
      <c r="F18" s="115" t="s">
        <v>152</v>
      </c>
      <c r="G18" s="115" t="s">
        <v>191</v>
      </c>
      <c r="H18" s="116">
        <v>25</v>
      </c>
      <c r="I18" s="116">
        <v>0</v>
      </c>
      <c r="J18" s="116">
        <v>3</v>
      </c>
      <c r="K18" s="116">
        <v>3</v>
      </c>
      <c r="L18" s="116">
        <v>3</v>
      </c>
      <c r="M18" s="116">
        <v>3</v>
      </c>
      <c r="N18" s="116">
        <v>3</v>
      </c>
      <c r="O18" s="116">
        <v>0</v>
      </c>
      <c r="P18" s="116">
        <v>0</v>
      </c>
      <c r="Q18" s="116">
        <v>3</v>
      </c>
      <c r="R18" s="116">
        <v>3</v>
      </c>
      <c r="S18" s="116">
        <v>4</v>
      </c>
      <c r="T18" s="116">
        <v>3</v>
      </c>
      <c r="U18" s="116">
        <v>3</v>
      </c>
      <c r="V18" s="116">
        <v>3</v>
      </c>
      <c r="W18" s="116">
        <v>0</v>
      </c>
      <c r="X18" s="116">
        <v>3</v>
      </c>
      <c r="Y18" s="116">
        <v>3</v>
      </c>
      <c r="Z18" s="116">
        <v>3</v>
      </c>
      <c r="AA18" s="116">
        <v>3</v>
      </c>
      <c r="AB18" s="116">
        <v>3</v>
      </c>
      <c r="AC18" s="116">
        <v>0</v>
      </c>
      <c r="AD18" s="116">
        <v>0</v>
      </c>
      <c r="AE18" s="116">
        <v>3</v>
      </c>
      <c r="AF18" s="116">
        <v>4</v>
      </c>
      <c r="AG18" s="116">
        <v>3</v>
      </c>
      <c r="AH18" s="116">
        <v>4</v>
      </c>
      <c r="AI18" s="116">
        <v>4</v>
      </c>
      <c r="AJ18" s="116">
        <v>3</v>
      </c>
      <c r="AK18" s="116">
        <v>0</v>
      </c>
      <c r="AL18" s="116">
        <v>0</v>
      </c>
      <c r="AM18" s="116">
        <v>0</v>
      </c>
      <c r="AN18" s="116">
        <v>70</v>
      </c>
      <c r="AO18" s="116">
        <v>0</v>
      </c>
      <c r="AP18" s="116">
        <v>0</v>
      </c>
      <c r="AQ18" s="116">
        <v>0</v>
      </c>
      <c r="AR18" s="116">
        <v>4</v>
      </c>
      <c r="AS18" s="116">
        <v>4</v>
      </c>
      <c r="AT18" s="116">
        <v>5</v>
      </c>
      <c r="AU18" s="116">
        <v>2</v>
      </c>
      <c r="AV18" s="116">
        <v>0</v>
      </c>
      <c r="AW18" s="116">
        <v>4</v>
      </c>
      <c r="AX18" s="116">
        <v>5</v>
      </c>
      <c r="AY18" s="116">
        <v>4</v>
      </c>
      <c r="AZ18" s="116">
        <v>5</v>
      </c>
      <c r="BA18" s="116">
        <v>5</v>
      </c>
      <c r="BB18" s="116">
        <v>4</v>
      </c>
      <c r="BC18" s="116">
        <v>0</v>
      </c>
      <c r="BD18" s="116">
        <v>5</v>
      </c>
      <c r="BE18" s="116">
        <v>4</v>
      </c>
      <c r="BF18" s="116">
        <v>5</v>
      </c>
      <c r="BG18" s="116">
        <v>5</v>
      </c>
      <c r="BH18" s="116">
        <v>5</v>
      </c>
      <c r="BI18" s="116">
        <v>0</v>
      </c>
      <c r="BJ18" s="116">
        <v>0</v>
      </c>
      <c r="BK18" s="116">
        <v>4</v>
      </c>
      <c r="BL18" s="116">
        <v>5</v>
      </c>
      <c r="BM18" s="116">
        <v>5</v>
      </c>
      <c r="BN18" s="116">
        <v>5</v>
      </c>
      <c r="BO18" s="116">
        <v>4</v>
      </c>
      <c r="BP18" s="116">
        <v>5</v>
      </c>
      <c r="BQ18" s="116">
        <v>0</v>
      </c>
      <c r="BR18" s="116">
        <v>4</v>
      </c>
      <c r="BS18" s="116">
        <v>5</v>
      </c>
      <c r="BT18" s="116">
        <v>103</v>
      </c>
      <c r="BU18" s="116">
        <v>20</v>
      </c>
      <c r="BV18" s="116">
        <v>20</v>
      </c>
      <c r="BW18" s="116">
        <v>20</v>
      </c>
      <c r="BX18" s="116">
        <v>10</v>
      </c>
      <c r="BY18" s="116">
        <v>0</v>
      </c>
      <c r="BZ18" s="116">
        <v>20</v>
      </c>
      <c r="CA18" s="116">
        <v>20</v>
      </c>
      <c r="CB18" s="116">
        <v>19</v>
      </c>
      <c r="CC18" s="116">
        <v>20</v>
      </c>
      <c r="CD18" s="116">
        <v>19</v>
      </c>
      <c r="CE18" s="116">
        <v>0</v>
      </c>
      <c r="CF18" s="116">
        <v>0</v>
      </c>
      <c r="CG18" s="116">
        <v>0</v>
      </c>
      <c r="CH18" s="116">
        <v>0</v>
      </c>
      <c r="CI18" s="116">
        <v>0</v>
      </c>
      <c r="CJ18" s="116">
        <v>0</v>
      </c>
      <c r="CK18" s="116">
        <v>0</v>
      </c>
      <c r="CL18" s="116">
        <v>0</v>
      </c>
      <c r="CM18" s="116">
        <v>0</v>
      </c>
      <c r="CN18" s="116">
        <v>20</v>
      </c>
      <c r="CO18" s="116">
        <v>19</v>
      </c>
      <c r="CP18" s="116">
        <v>20</v>
      </c>
      <c r="CQ18" s="116">
        <v>19</v>
      </c>
      <c r="CR18" s="116">
        <v>20</v>
      </c>
      <c r="CS18" s="116">
        <v>19</v>
      </c>
      <c r="CT18" s="116">
        <v>0</v>
      </c>
      <c r="CU18" s="116">
        <v>20</v>
      </c>
      <c r="CV18" s="116">
        <v>19</v>
      </c>
      <c r="CW18" s="116">
        <v>20</v>
      </c>
      <c r="CX18" s="116">
        <v>19</v>
      </c>
      <c r="CY18" s="116">
        <v>0</v>
      </c>
      <c r="CZ18" s="116">
        <v>363</v>
      </c>
      <c r="DA18" s="116">
        <v>0</v>
      </c>
      <c r="DB18" s="116">
        <v>0</v>
      </c>
      <c r="DC18" s="116">
        <v>0</v>
      </c>
      <c r="DD18" s="116">
        <v>3</v>
      </c>
      <c r="DE18" s="116">
        <v>3</v>
      </c>
      <c r="DF18" s="116">
        <v>3</v>
      </c>
      <c r="DG18" s="116">
        <v>3</v>
      </c>
      <c r="DH18" s="116">
        <v>2</v>
      </c>
      <c r="DI18" s="116">
        <v>3</v>
      </c>
      <c r="DJ18" s="116">
        <v>0</v>
      </c>
      <c r="DK18" s="116">
        <v>2</v>
      </c>
      <c r="DL18" s="116">
        <v>3</v>
      </c>
      <c r="DM18" s="116">
        <v>2</v>
      </c>
      <c r="DN18" s="116">
        <v>3</v>
      </c>
      <c r="DO18" s="116">
        <v>2</v>
      </c>
      <c r="DP18" s="116">
        <v>1</v>
      </c>
      <c r="DQ18" s="116">
        <v>0</v>
      </c>
      <c r="DR18" s="116">
        <v>3</v>
      </c>
      <c r="DS18" s="116">
        <v>3</v>
      </c>
      <c r="DT18" s="116">
        <v>2</v>
      </c>
      <c r="DU18" s="116">
        <v>3</v>
      </c>
      <c r="DV18" s="116">
        <v>2</v>
      </c>
      <c r="DW18" s="116">
        <v>3</v>
      </c>
      <c r="DX18" s="116">
        <v>0</v>
      </c>
      <c r="DY18" s="116">
        <v>2</v>
      </c>
      <c r="DZ18" s="116">
        <v>3</v>
      </c>
      <c r="EA18" s="116">
        <v>2</v>
      </c>
      <c r="EB18" s="116">
        <v>3</v>
      </c>
      <c r="EC18" s="116">
        <v>2</v>
      </c>
      <c r="ED18" s="116">
        <v>0</v>
      </c>
      <c r="EE18" s="116">
        <v>0</v>
      </c>
      <c r="EF18" s="116">
        <v>58</v>
      </c>
    </row>
    <row r="19" spans="1:138" x14ac:dyDescent="0.3">
      <c r="A19" s="230" t="s">
        <v>168</v>
      </c>
      <c r="B19" s="115" t="s">
        <v>169</v>
      </c>
      <c r="C19" s="115" t="s">
        <v>151</v>
      </c>
      <c r="D19" s="115" t="s">
        <v>331</v>
      </c>
      <c r="E19" s="115" t="s">
        <v>365</v>
      </c>
      <c r="F19" s="115" t="s">
        <v>152</v>
      </c>
      <c r="G19" s="115" t="s">
        <v>191</v>
      </c>
      <c r="H19" s="116">
        <v>38</v>
      </c>
      <c r="I19" s="116">
        <v>0</v>
      </c>
      <c r="J19" s="116">
        <v>3</v>
      </c>
      <c r="K19" s="116">
        <v>3</v>
      </c>
      <c r="L19" s="116">
        <v>3</v>
      </c>
      <c r="M19" s="116">
        <v>3</v>
      </c>
      <c r="N19" s="116">
        <v>3</v>
      </c>
      <c r="O19" s="116">
        <v>0</v>
      </c>
      <c r="P19" s="116">
        <v>0</v>
      </c>
      <c r="Q19" s="116">
        <v>3</v>
      </c>
      <c r="R19" s="116">
        <v>3</v>
      </c>
      <c r="S19" s="116">
        <v>4</v>
      </c>
      <c r="T19" s="116">
        <v>3</v>
      </c>
      <c r="U19" s="116">
        <v>3</v>
      </c>
      <c r="V19" s="116">
        <v>3</v>
      </c>
      <c r="W19" s="116">
        <v>0</v>
      </c>
      <c r="X19" s="116">
        <v>3</v>
      </c>
      <c r="Y19" s="116">
        <v>3</v>
      </c>
      <c r="Z19" s="116">
        <v>3</v>
      </c>
      <c r="AA19" s="116">
        <v>3</v>
      </c>
      <c r="AB19" s="116">
        <v>3</v>
      </c>
      <c r="AC19" s="116">
        <v>0</v>
      </c>
      <c r="AD19" s="116">
        <v>0</v>
      </c>
      <c r="AE19" s="116">
        <v>3</v>
      </c>
      <c r="AF19" s="116">
        <v>4</v>
      </c>
      <c r="AG19" s="116">
        <v>3</v>
      </c>
      <c r="AH19" s="116">
        <v>4</v>
      </c>
      <c r="AI19" s="116">
        <v>4</v>
      </c>
      <c r="AJ19" s="116">
        <v>3</v>
      </c>
      <c r="AK19" s="116">
        <v>0</v>
      </c>
      <c r="AL19" s="116">
        <v>0</v>
      </c>
      <c r="AM19" s="116">
        <v>0</v>
      </c>
      <c r="AN19" s="116">
        <v>70</v>
      </c>
      <c r="AO19" s="116">
        <v>0</v>
      </c>
      <c r="AP19" s="116">
        <v>0</v>
      </c>
      <c r="AQ19" s="116">
        <v>0</v>
      </c>
      <c r="AR19" s="116">
        <v>4</v>
      </c>
      <c r="AS19" s="116">
        <v>4</v>
      </c>
      <c r="AT19" s="116">
        <v>5</v>
      </c>
      <c r="AU19" s="116">
        <v>2</v>
      </c>
      <c r="AV19" s="116">
        <v>0</v>
      </c>
      <c r="AW19" s="116">
        <v>4</v>
      </c>
      <c r="AX19" s="116">
        <v>5</v>
      </c>
      <c r="AY19" s="116">
        <v>4</v>
      </c>
      <c r="AZ19" s="116">
        <v>5</v>
      </c>
      <c r="BA19" s="116">
        <v>5</v>
      </c>
      <c r="BB19" s="116">
        <v>4</v>
      </c>
      <c r="BC19" s="116">
        <v>0</v>
      </c>
      <c r="BD19" s="116">
        <v>5</v>
      </c>
      <c r="BE19" s="116">
        <v>4</v>
      </c>
      <c r="BF19" s="116">
        <v>5</v>
      </c>
      <c r="BG19" s="116">
        <v>5</v>
      </c>
      <c r="BH19" s="116">
        <v>5</v>
      </c>
      <c r="BI19" s="116">
        <v>0</v>
      </c>
      <c r="BJ19" s="116">
        <v>0</v>
      </c>
      <c r="BK19" s="116">
        <v>4</v>
      </c>
      <c r="BL19" s="116">
        <v>5</v>
      </c>
      <c r="BM19" s="116">
        <v>5</v>
      </c>
      <c r="BN19" s="116">
        <v>5</v>
      </c>
      <c r="BO19" s="116">
        <v>4</v>
      </c>
      <c r="BP19" s="116">
        <v>5</v>
      </c>
      <c r="BQ19" s="116">
        <v>0</v>
      </c>
      <c r="BR19" s="116">
        <v>4</v>
      </c>
      <c r="BS19" s="116">
        <v>5</v>
      </c>
      <c r="BT19" s="116">
        <v>103</v>
      </c>
      <c r="BU19" s="116">
        <v>20</v>
      </c>
      <c r="BV19" s="116">
        <v>20</v>
      </c>
      <c r="BW19" s="116">
        <v>20</v>
      </c>
      <c r="BX19" s="116">
        <v>10</v>
      </c>
      <c r="BY19" s="116">
        <v>0</v>
      </c>
      <c r="BZ19" s="116">
        <v>20</v>
      </c>
      <c r="CA19" s="116">
        <v>20</v>
      </c>
      <c r="CB19" s="116">
        <v>19</v>
      </c>
      <c r="CC19" s="116">
        <v>20</v>
      </c>
      <c r="CD19" s="116">
        <v>19</v>
      </c>
      <c r="CE19" s="116">
        <v>0</v>
      </c>
      <c r="CF19" s="116">
        <v>0</v>
      </c>
      <c r="CG19" s="116">
        <v>0</v>
      </c>
      <c r="CH19" s="116">
        <v>0</v>
      </c>
      <c r="CI19" s="116">
        <v>0</v>
      </c>
      <c r="CJ19" s="116">
        <v>0</v>
      </c>
      <c r="CK19" s="116">
        <v>0</v>
      </c>
      <c r="CL19" s="116">
        <v>0</v>
      </c>
      <c r="CM19" s="116">
        <v>0</v>
      </c>
      <c r="CN19" s="116">
        <v>20</v>
      </c>
      <c r="CO19" s="116">
        <v>19</v>
      </c>
      <c r="CP19" s="116">
        <v>20</v>
      </c>
      <c r="CQ19" s="116">
        <v>19</v>
      </c>
      <c r="CR19" s="116">
        <v>20</v>
      </c>
      <c r="CS19" s="116">
        <v>19</v>
      </c>
      <c r="CT19" s="116">
        <v>0</v>
      </c>
      <c r="CU19" s="116">
        <v>20</v>
      </c>
      <c r="CV19" s="116">
        <v>19</v>
      </c>
      <c r="CW19" s="116">
        <v>20</v>
      </c>
      <c r="CX19" s="116">
        <v>19</v>
      </c>
      <c r="CY19" s="116">
        <v>0</v>
      </c>
      <c r="CZ19" s="116">
        <v>363</v>
      </c>
      <c r="DA19" s="116">
        <v>0</v>
      </c>
      <c r="DB19" s="116">
        <v>0</v>
      </c>
      <c r="DC19" s="116">
        <v>0</v>
      </c>
      <c r="DD19" s="116">
        <v>3</v>
      </c>
      <c r="DE19" s="116">
        <v>3</v>
      </c>
      <c r="DF19" s="116">
        <v>3</v>
      </c>
      <c r="DG19" s="116">
        <v>3</v>
      </c>
      <c r="DH19" s="116">
        <v>2</v>
      </c>
      <c r="DI19" s="116">
        <v>3</v>
      </c>
      <c r="DJ19" s="116">
        <v>0</v>
      </c>
      <c r="DK19" s="116">
        <v>2</v>
      </c>
      <c r="DL19" s="116">
        <v>3</v>
      </c>
      <c r="DM19" s="116">
        <v>2</v>
      </c>
      <c r="DN19" s="116">
        <v>3</v>
      </c>
      <c r="DO19" s="116">
        <v>2</v>
      </c>
      <c r="DP19" s="116">
        <v>1</v>
      </c>
      <c r="DQ19" s="116">
        <v>0</v>
      </c>
      <c r="DR19" s="116">
        <v>3</v>
      </c>
      <c r="DS19" s="116">
        <v>3</v>
      </c>
      <c r="DT19" s="116">
        <v>2</v>
      </c>
      <c r="DU19" s="116">
        <v>3</v>
      </c>
      <c r="DV19" s="116">
        <v>2</v>
      </c>
      <c r="DW19" s="116">
        <v>3</v>
      </c>
      <c r="DX19" s="116">
        <v>0</v>
      </c>
      <c r="DY19" s="116">
        <v>2</v>
      </c>
      <c r="DZ19" s="116">
        <v>3</v>
      </c>
      <c r="EA19" s="116">
        <v>2</v>
      </c>
      <c r="EB19" s="116">
        <v>3</v>
      </c>
      <c r="EC19" s="116">
        <v>2</v>
      </c>
      <c r="ED19" s="116">
        <v>0</v>
      </c>
      <c r="EE19" s="116">
        <v>0</v>
      </c>
      <c r="EF19" s="116">
        <v>58</v>
      </c>
    </row>
    <row r="20" spans="1:138" x14ac:dyDescent="0.3">
      <c r="AN20" s="95">
        <f>SUM(AN14:AN19)</f>
        <v>2421</v>
      </c>
      <c r="AO20" s="95">
        <f t="shared" ref="AO20:CZ20" si="0">SUM(AO14:AO19)</f>
        <v>0</v>
      </c>
      <c r="AP20" s="95">
        <f t="shared" si="0"/>
        <v>0</v>
      </c>
      <c r="AQ20" s="95">
        <f t="shared" si="0"/>
        <v>0</v>
      </c>
      <c r="AR20" s="95">
        <f t="shared" si="0"/>
        <v>138</v>
      </c>
      <c r="AS20" s="95">
        <f t="shared" si="0"/>
        <v>137</v>
      </c>
      <c r="AT20" s="95">
        <f t="shared" si="0"/>
        <v>142</v>
      </c>
      <c r="AU20" s="95">
        <f t="shared" si="0"/>
        <v>73</v>
      </c>
      <c r="AV20" s="95">
        <f t="shared" si="0"/>
        <v>0</v>
      </c>
      <c r="AW20" s="95">
        <f t="shared" si="0"/>
        <v>147</v>
      </c>
      <c r="AX20" s="95">
        <f t="shared" si="0"/>
        <v>152</v>
      </c>
      <c r="AY20" s="95">
        <f t="shared" si="0"/>
        <v>150</v>
      </c>
      <c r="AZ20" s="95">
        <f t="shared" si="0"/>
        <v>155</v>
      </c>
      <c r="BA20" s="95">
        <f t="shared" si="0"/>
        <v>160</v>
      </c>
      <c r="BB20" s="95">
        <f t="shared" si="0"/>
        <v>149</v>
      </c>
      <c r="BC20" s="95">
        <f t="shared" si="0"/>
        <v>0</v>
      </c>
      <c r="BD20" s="95">
        <f t="shared" si="0"/>
        <v>159</v>
      </c>
      <c r="BE20" s="95">
        <f t="shared" si="0"/>
        <v>159</v>
      </c>
      <c r="BF20" s="95">
        <f t="shared" si="0"/>
        <v>161</v>
      </c>
      <c r="BG20" s="95">
        <f t="shared" si="0"/>
        <v>164</v>
      </c>
      <c r="BH20" s="95">
        <f t="shared" si="0"/>
        <v>159</v>
      </c>
      <c r="BI20" s="95">
        <f t="shared" si="0"/>
        <v>0</v>
      </c>
      <c r="BJ20" s="95">
        <f t="shared" si="0"/>
        <v>0</v>
      </c>
      <c r="BK20" s="95">
        <f t="shared" si="0"/>
        <v>161</v>
      </c>
      <c r="BL20" s="95">
        <f t="shared" si="0"/>
        <v>159</v>
      </c>
      <c r="BM20" s="95">
        <f t="shared" si="0"/>
        <v>144</v>
      </c>
      <c r="BN20" s="95">
        <f t="shared" si="0"/>
        <v>166</v>
      </c>
      <c r="BO20" s="95">
        <f t="shared" si="0"/>
        <v>154</v>
      </c>
      <c r="BP20" s="95">
        <f t="shared" si="0"/>
        <v>157</v>
      </c>
      <c r="BQ20" s="95">
        <f t="shared" si="0"/>
        <v>0</v>
      </c>
      <c r="BR20" s="95">
        <f t="shared" si="0"/>
        <v>156</v>
      </c>
      <c r="BS20" s="95">
        <f t="shared" si="0"/>
        <v>150</v>
      </c>
      <c r="BT20" s="95">
        <f t="shared" si="0"/>
        <v>3452</v>
      </c>
      <c r="BU20" s="95">
        <f t="shared" si="0"/>
        <v>228</v>
      </c>
      <c r="BV20" s="95">
        <f t="shared" si="0"/>
        <v>228</v>
      </c>
      <c r="BW20" s="95">
        <f t="shared" si="0"/>
        <v>229</v>
      </c>
      <c r="BX20" s="95">
        <f t="shared" si="0"/>
        <v>114</v>
      </c>
      <c r="BY20" s="95">
        <f t="shared" si="0"/>
        <v>0</v>
      </c>
      <c r="BZ20" s="95">
        <f t="shared" si="0"/>
        <v>228</v>
      </c>
      <c r="CA20" s="95">
        <f t="shared" si="0"/>
        <v>229</v>
      </c>
      <c r="CB20" s="95">
        <f t="shared" si="0"/>
        <v>225</v>
      </c>
      <c r="CC20" s="95">
        <f t="shared" si="0"/>
        <v>229</v>
      </c>
      <c r="CD20" s="95">
        <f t="shared" si="0"/>
        <v>225</v>
      </c>
      <c r="CE20" s="95">
        <f t="shared" si="0"/>
        <v>0</v>
      </c>
      <c r="CF20" s="95">
        <f t="shared" si="0"/>
        <v>0</v>
      </c>
      <c r="CG20" s="95">
        <f t="shared" si="0"/>
        <v>0</v>
      </c>
      <c r="CH20" s="95">
        <f t="shared" si="0"/>
        <v>0</v>
      </c>
      <c r="CI20" s="95">
        <f t="shared" si="0"/>
        <v>0</v>
      </c>
      <c r="CJ20" s="95">
        <f t="shared" si="0"/>
        <v>0</v>
      </c>
      <c r="CK20" s="95">
        <f t="shared" si="0"/>
        <v>0</v>
      </c>
      <c r="CL20" s="95">
        <f t="shared" si="0"/>
        <v>0</v>
      </c>
      <c r="CM20" s="95">
        <f t="shared" si="0"/>
        <v>0</v>
      </c>
      <c r="CN20" s="95">
        <f t="shared" si="0"/>
        <v>229</v>
      </c>
      <c r="CO20" s="95">
        <f t="shared" si="0"/>
        <v>225</v>
      </c>
      <c r="CP20" s="95">
        <f t="shared" si="0"/>
        <v>229</v>
      </c>
      <c r="CQ20" s="95">
        <f t="shared" si="0"/>
        <v>225</v>
      </c>
      <c r="CR20" s="95">
        <f t="shared" si="0"/>
        <v>229</v>
      </c>
      <c r="CS20" s="95">
        <f t="shared" si="0"/>
        <v>225</v>
      </c>
      <c r="CT20" s="95">
        <f t="shared" si="0"/>
        <v>0</v>
      </c>
      <c r="CU20" s="95">
        <f t="shared" si="0"/>
        <v>230</v>
      </c>
      <c r="CV20" s="95">
        <f t="shared" si="0"/>
        <v>225</v>
      </c>
      <c r="CW20" s="95">
        <f t="shared" si="0"/>
        <v>230</v>
      </c>
      <c r="CX20" s="95">
        <f t="shared" si="0"/>
        <v>225</v>
      </c>
      <c r="CY20" s="95">
        <f t="shared" si="0"/>
        <v>0</v>
      </c>
      <c r="CZ20" s="95">
        <f t="shared" si="0"/>
        <v>4207</v>
      </c>
      <c r="DA20" s="95">
        <f t="shared" ref="DA20:EF20" si="1">SUM(DA14:DA19)</f>
        <v>0</v>
      </c>
      <c r="DB20" s="95">
        <f t="shared" si="1"/>
        <v>0</v>
      </c>
      <c r="DC20" s="95">
        <f t="shared" si="1"/>
        <v>0</v>
      </c>
      <c r="DD20" s="95">
        <f t="shared" si="1"/>
        <v>26</v>
      </c>
      <c r="DE20" s="95">
        <f t="shared" si="1"/>
        <v>26</v>
      </c>
      <c r="DF20" s="95">
        <f t="shared" si="1"/>
        <v>26</v>
      </c>
      <c r="DG20" s="95">
        <f t="shared" si="1"/>
        <v>26</v>
      </c>
      <c r="DH20" s="95">
        <f t="shared" si="1"/>
        <v>24</v>
      </c>
      <c r="DI20" s="95">
        <f t="shared" si="1"/>
        <v>26</v>
      </c>
      <c r="DJ20" s="95">
        <f t="shared" si="1"/>
        <v>0</v>
      </c>
      <c r="DK20" s="95">
        <f t="shared" si="1"/>
        <v>24</v>
      </c>
      <c r="DL20" s="95">
        <f t="shared" si="1"/>
        <v>26</v>
      </c>
      <c r="DM20" s="95">
        <f t="shared" si="1"/>
        <v>24</v>
      </c>
      <c r="DN20" s="95">
        <f t="shared" si="1"/>
        <v>26</v>
      </c>
      <c r="DO20" s="95">
        <f t="shared" si="1"/>
        <v>24</v>
      </c>
      <c r="DP20" s="95">
        <f t="shared" si="1"/>
        <v>12</v>
      </c>
      <c r="DQ20" s="95">
        <f t="shared" si="1"/>
        <v>0</v>
      </c>
      <c r="DR20" s="95">
        <f t="shared" si="1"/>
        <v>26</v>
      </c>
      <c r="DS20" s="95">
        <f t="shared" si="1"/>
        <v>26</v>
      </c>
      <c r="DT20" s="95">
        <f t="shared" si="1"/>
        <v>24</v>
      </c>
      <c r="DU20" s="95">
        <f t="shared" si="1"/>
        <v>26</v>
      </c>
      <c r="DV20" s="95">
        <f t="shared" si="1"/>
        <v>24</v>
      </c>
      <c r="DW20" s="95">
        <f t="shared" si="1"/>
        <v>26</v>
      </c>
      <c r="DX20" s="95">
        <f t="shared" si="1"/>
        <v>0</v>
      </c>
      <c r="DY20" s="95">
        <f t="shared" si="1"/>
        <v>24</v>
      </c>
      <c r="DZ20" s="95">
        <f t="shared" si="1"/>
        <v>26</v>
      </c>
      <c r="EA20" s="95">
        <f t="shared" si="1"/>
        <v>24</v>
      </c>
      <c r="EB20" s="95">
        <f t="shared" si="1"/>
        <v>27</v>
      </c>
      <c r="EC20" s="95">
        <f t="shared" si="1"/>
        <v>24</v>
      </c>
      <c r="ED20" s="95">
        <f t="shared" si="1"/>
        <v>0</v>
      </c>
      <c r="EE20" s="95">
        <f t="shared" si="1"/>
        <v>0</v>
      </c>
      <c r="EF20" s="95">
        <f t="shared" si="1"/>
        <v>567</v>
      </c>
      <c r="EG20" s="117">
        <f>AN20+BT20+CZ20+EF20</f>
        <v>10647</v>
      </c>
      <c r="EH20" s="95">
        <f>EG20+'GW Daily'!EG23+'BPK Daily'!EG39+'BP Daily'!EG26</f>
        <v>273662</v>
      </c>
    </row>
    <row r="21" spans="1:138" x14ac:dyDescent="0.3">
      <c r="AN21" s="95">
        <f>AN20+'GW Daily'!AN23+'BPK Daily'!AN39+'BP Daily'!AN26</f>
        <v>67252</v>
      </c>
      <c r="BT21" s="95">
        <f>BT20+'GW Daily'!BT23+'BPK Daily'!BT39+'BP Daily'!BT26</f>
        <v>79486</v>
      </c>
      <c r="BU21" s="95">
        <f>BU20+'GW Daily'!BU23+'BPK Daily'!BU39+'BP Daily'!BU26</f>
        <v>3242</v>
      </c>
      <c r="CZ21" s="95">
        <f>CZ20+'GW Daily'!CZ23+'BPK Daily'!CZ39+'BP Daily'!CZ26</f>
        <v>66744</v>
      </c>
      <c r="DA21" s="95">
        <f>DA20+'GW Daily'!DA23+'BPK Daily'!DA39+'BP Daily'!DA26</f>
        <v>0</v>
      </c>
      <c r="DB21" s="95">
        <f>DB20+'GW Daily'!DB23+'BPK Daily'!DB39+'BP Daily'!DB26</f>
        <v>0</v>
      </c>
      <c r="EF21" s="95">
        <f>EF20+'GW Daily'!EF23+'BPK Daily'!EF39+'BP Daily'!EF26</f>
        <v>60180</v>
      </c>
    </row>
    <row r="22" spans="1:138" x14ac:dyDescent="0.3">
      <c r="AN22" s="95"/>
      <c r="BT22" s="95"/>
      <c r="BU22" s="95"/>
      <c r="CZ22" s="95"/>
      <c r="EF22" s="95"/>
    </row>
  </sheetData>
  <autoFilter ref="A13:EF13" xr:uid="{00000000-0009-0000-0000-000006000000}">
    <sortState xmlns:xlrd2="http://schemas.microsoft.com/office/spreadsheetml/2017/richdata2" ref="A13:EF14">
      <sortCondition ref="A13"/>
    </sortState>
  </autoFilter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B60"/>
  <sheetViews>
    <sheetView zoomScale="90" zoomScaleNormal="90" workbookViewId="0">
      <pane xSplit="2" ySplit="4" topLeftCell="C23" activePane="bottomRight" state="frozen"/>
      <selection pane="topRight" activeCell="C1" sqref="C1"/>
      <selection pane="bottomLeft" activeCell="A5" sqref="A5"/>
      <selection pane="bottomRight" activeCell="R24" sqref="R24:R31"/>
    </sheetView>
  </sheetViews>
  <sheetFormatPr defaultColWidth="9.33203125" defaultRowHeight="13.8" outlineLevelRow="1" outlineLevelCol="1" x14ac:dyDescent="0.3"/>
  <cols>
    <col min="1" max="1" width="14.5546875" style="4" customWidth="1"/>
    <col min="2" max="2" width="16.88671875" style="4" bestFit="1" customWidth="1" outlineLevel="1"/>
    <col min="3" max="3" width="21.33203125" style="4" customWidth="1"/>
    <col min="4" max="4" width="16.109375" style="4" customWidth="1" outlineLevel="1"/>
    <col min="5" max="5" width="16.5546875" style="4" customWidth="1" outlineLevel="1"/>
    <col min="6" max="6" width="12.33203125" style="4" customWidth="1"/>
    <col min="7" max="7" width="4.88671875" style="4" customWidth="1"/>
    <col min="8" max="8" width="4.6640625" style="4" customWidth="1"/>
    <col min="9" max="9" width="3.6640625" style="4" customWidth="1"/>
    <col min="10" max="10" width="8.109375" style="4" customWidth="1"/>
    <col min="11" max="11" width="9.6640625" style="4" customWidth="1"/>
    <col min="12" max="12" width="10.6640625" style="4" customWidth="1"/>
    <col min="13" max="13" width="9.6640625" style="4" customWidth="1"/>
    <col min="14" max="14" width="9" style="4" customWidth="1"/>
    <col min="15" max="17" width="9.33203125" style="4" customWidth="1"/>
    <col min="18" max="18" width="6.6640625" style="4" customWidth="1"/>
    <col min="19" max="19" width="4.5546875" style="4" customWidth="1"/>
    <col min="20" max="22" width="9.33203125" style="4" customWidth="1"/>
    <col min="23" max="23" width="5.5546875" style="4" customWidth="1"/>
    <col min="24" max="24" width="5.33203125" style="4" customWidth="1"/>
    <col min="25" max="27" width="9.44140625" style="4" customWidth="1"/>
    <col min="28" max="28" width="6.33203125" style="4" customWidth="1"/>
    <col min="29" max="30" width="9.33203125" style="4" customWidth="1"/>
    <col min="31" max="16384" width="9.33203125" style="4"/>
  </cols>
  <sheetData>
    <row r="1" spans="1:28" ht="27.75" customHeight="1" x14ac:dyDescent="0.3">
      <c r="A1" s="193" t="s">
        <v>44</v>
      </c>
      <c r="B1" s="8"/>
      <c r="C1" s="194">
        <f>'Monthly FC (Don''t use)'!E1</f>
        <v>46045</v>
      </c>
      <c r="L1" s="4" t="s">
        <v>368</v>
      </c>
    </row>
    <row r="2" spans="1:28" ht="27.75" customHeight="1" x14ac:dyDescent="0.45">
      <c r="A2" s="1" t="str">
        <f>'Monthly FC (Don''t use)'!I1</f>
        <v>Production Month:Feb'26</v>
      </c>
      <c r="J2" s="197" t="str">
        <f>'By Plant'!C3&amp;" production"</f>
        <v>Feb'26 production</v>
      </c>
      <c r="K2" s="198"/>
      <c r="L2" s="198"/>
      <c r="M2" s="198"/>
      <c r="O2" s="198" t="s">
        <v>369</v>
      </c>
      <c r="P2" s="198"/>
      <c r="Q2" s="198"/>
      <c r="R2" s="198"/>
    </row>
    <row r="3" spans="1:28" x14ac:dyDescent="0.3">
      <c r="J3" s="7">
        <f>'Monthly FC (Don''t use)'!I4</f>
        <v>0</v>
      </c>
      <c r="O3" s="4" t="s">
        <v>45</v>
      </c>
    </row>
    <row r="4" spans="1:28" ht="37.200000000000003" customHeight="1" x14ac:dyDescent="0.3">
      <c r="A4" s="195" t="s">
        <v>370</v>
      </c>
      <c r="B4" s="195"/>
      <c r="C4" s="196" t="s">
        <v>371</v>
      </c>
      <c r="D4" s="195"/>
      <c r="E4" s="195"/>
      <c r="F4" s="195" t="s">
        <v>372</v>
      </c>
      <c r="G4" s="162" t="s">
        <v>373</v>
      </c>
      <c r="H4" s="162" t="s">
        <v>374</v>
      </c>
      <c r="I4" s="163" t="s">
        <v>375</v>
      </c>
      <c r="J4" s="242" t="str">
        <f>'By Plant'!H6</f>
        <v>Feb</v>
      </c>
      <c r="K4" s="237" t="str">
        <f>'By Plant'!I6</f>
        <v>Mar</v>
      </c>
      <c r="L4" s="237" t="str">
        <f>'By Plant'!J6</f>
        <v>Apr</v>
      </c>
      <c r="M4" s="237" t="str">
        <f>'By Plant'!K6</f>
        <v>May</v>
      </c>
      <c r="O4" s="195" t="str">
        <f>J4</f>
        <v>Feb</v>
      </c>
      <c r="P4" s="195" t="str">
        <f>K4</f>
        <v>Mar</v>
      </c>
      <c r="Q4" s="195" t="str">
        <f>L4</f>
        <v>Apr</v>
      </c>
      <c r="R4" s="195" t="str">
        <f>M4</f>
        <v>May</v>
      </c>
      <c r="T4" s="195" t="str">
        <f>O4</f>
        <v>Feb</v>
      </c>
      <c r="U4" s="195" t="str">
        <f>P4</f>
        <v>Mar</v>
      </c>
      <c r="V4" s="195" t="str">
        <f>Q4</f>
        <v>Apr</v>
      </c>
      <c r="W4" s="195" t="str">
        <f>R4</f>
        <v>May</v>
      </c>
      <c r="Y4" s="195" t="str">
        <f>T4</f>
        <v>Feb</v>
      </c>
      <c r="Z4" s="195" t="str">
        <f>U4</f>
        <v>Mar</v>
      </c>
      <c r="AA4" s="195" t="str">
        <f>V4</f>
        <v>Apr</v>
      </c>
      <c r="AB4" s="195" t="str">
        <f>W4</f>
        <v>May</v>
      </c>
    </row>
    <row r="5" spans="1:28" ht="13.5" customHeight="1" x14ac:dyDescent="0.3">
      <c r="A5" s="112" t="s">
        <v>53</v>
      </c>
      <c r="B5" s="61" t="str">
        <f t="shared" ref="B5:B28" si="0">LEFT(A5,11)</f>
        <v>86790-0K050</v>
      </c>
      <c r="C5" s="136" t="s">
        <v>53</v>
      </c>
      <c r="D5" s="61" t="s">
        <v>376</v>
      </c>
      <c r="E5" s="61" t="s">
        <v>377</v>
      </c>
      <c r="F5" s="61" t="s">
        <v>64</v>
      </c>
      <c r="G5" s="61"/>
      <c r="H5" s="55"/>
      <c r="I5" s="55"/>
      <c r="J5" s="59">
        <v>0</v>
      </c>
      <c r="K5" s="59">
        <v>0</v>
      </c>
      <c r="L5" s="59">
        <v>0</v>
      </c>
      <c r="M5" s="59">
        <v>0</v>
      </c>
      <c r="N5" s="57"/>
      <c r="O5" s="59">
        <v>0</v>
      </c>
      <c r="P5" s="59">
        <v>0</v>
      </c>
      <c r="Q5" s="59">
        <v>0</v>
      </c>
      <c r="R5" s="81"/>
      <c r="T5" s="83">
        <f t="shared" ref="T5:V7" si="1">J5-O5</f>
        <v>0</v>
      </c>
      <c r="U5" s="83">
        <f t="shared" si="1"/>
        <v>0</v>
      </c>
      <c r="V5" s="83">
        <f t="shared" si="1"/>
        <v>0</v>
      </c>
      <c r="W5" s="81"/>
      <c r="X5" s="40"/>
      <c r="Y5" s="84" t="e">
        <f t="shared" ref="Y5:AA7" si="2">T5/O5</f>
        <v>#DIV/0!</v>
      </c>
      <c r="Z5" s="84" t="e">
        <f t="shared" si="2"/>
        <v>#DIV/0!</v>
      </c>
      <c r="AA5" s="84" t="e">
        <f t="shared" si="2"/>
        <v>#DIV/0!</v>
      </c>
      <c r="AB5" s="85"/>
    </row>
    <row r="6" spans="1:28" ht="13.5" customHeight="1" x14ac:dyDescent="0.3">
      <c r="A6" s="61" t="s">
        <v>58</v>
      </c>
      <c r="B6" s="61" t="str">
        <f t="shared" si="0"/>
        <v>86790-0K080</v>
      </c>
      <c r="C6" s="153" t="s">
        <v>57</v>
      </c>
      <c r="D6" s="61" t="s">
        <v>378</v>
      </c>
      <c r="E6" s="61" t="s">
        <v>379</v>
      </c>
      <c r="F6" s="153" t="s">
        <v>55</v>
      </c>
      <c r="G6" s="153"/>
      <c r="H6" s="55"/>
      <c r="I6" s="55"/>
      <c r="J6" s="59">
        <f>VLOOKUP($B6,Analyze!$ES$25:$EW$45,2,0)</f>
        <v>975</v>
      </c>
      <c r="K6" s="59">
        <f>VLOOKUP($B6,Analyze!$ES$25:$EW$45,3,0)</f>
        <v>1237</v>
      </c>
      <c r="L6" s="59">
        <f>VLOOKUP($B6,Analyze!$ES$25:$EW$45,4,0)</f>
        <v>1084</v>
      </c>
      <c r="M6" s="59">
        <f>VLOOKUP($B6,Analyze!$ES$25:$EW$45,5,0)</f>
        <v>451</v>
      </c>
      <c r="O6" s="59">
        <v>975</v>
      </c>
      <c r="P6" s="59">
        <v>1244</v>
      </c>
      <c r="Q6" s="59">
        <v>1093</v>
      </c>
      <c r="R6" s="81">
        <f>Q6*0.8</f>
        <v>874.40000000000009</v>
      </c>
      <c r="T6" s="83">
        <f t="shared" si="1"/>
        <v>0</v>
      </c>
      <c r="U6" s="83">
        <f t="shared" si="1"/>
        <v>-7</v>
      </c>
      <c r="V6" s="204">
        <f t="shared" si="1"/>
        <v>-9</v>
      </c>
      <c r="W6" s="81">
        <f>M6-R6</f>
        <v>-423.40000000000009</v>
      </c>
      <c r="Y6" s="84">
        <f t="shared" si="2"/>
        <v>0</v>
      </c>
      <c r="Z6" s="84">
        <f t="shared" si="2"/>
        <v>-5.627009646302251E-3</v>
      </c>
      <c r="AA6" s="84">
        <f t="shared" si="2"/>
        <v>-8.2342177493138144E-3</v>
      </c>
      <c r="AB6" s="232">
        <f>W6/R6</f>
        <v>-0.48421774931381523</v>
      </c>
    </row>
    <row r="7" spans="1:28" ht="13.5" customHeight="1" x14ac:dyDescent="0.3">
      <c r="A7" s="61" t="s">
        <v>66</v>
      </c>
      <c r="B7" s="61" t="str">
        <f t="shared" si="0"/>
        <v>86790-0K110</v>
      </c>
      <c r="C7" s="153" t="s">
        <v>75</v>
      </c>
      <c r="D7" s="61" t="s">
        <v>376</v>
      </c>
      <c r="E7" s="61" t="s">
        <v>380</v>
      </c>
      <c r="F7" s="153" t="s">
        <v>61</v>
      </c>
      <c r="G7" s="153"/>
      <c r="H7" s="55"/>
      <c r="I7" s="55"/>
      <c r="J7" s="59">
        <f>VLOOKUP($B7,Analyze!$ES$25:$EW$45,2,0)</f>
        <v>8051</v>
      </c>
      <c r="K7" s="59">
        <f>VLOOKUP($B7,Analyze!$ES$25:$EW$45,3,0)</f>
        <v>8078</v>
      </c>
      <c r="L7" s="59">
        <f>VLOOKUP($B7,Analyze!$ES$25:$EW$45,4,0)</f>
        <v>5797</v>
      </c>
      <c r="M7" s="180">
        <f>VLOOKUP($B7,Analyze!$ES$25:$EW$45,5,0)</f>
        <v>5615</v>
      </c>
      <c r="N7" s="57"/>
      <c r="O7" s="59">
        <v>8091</v>
      </c>
      <c r="P7" s="59">
        <v>6928</v>
      </c>
      <c r="Q7" s="180">
        <v>6777</v>
      </c>
      <c r="R7" s="81">
        <f>Q7*0.8</f>
        <v>5421.6</v>
      </c>
      <c r="T7" s="55">
        <f t="shared" si="1"/>
        <v>-40</v>
      </c>
      <c r="U7" s="55">
        <f t="shared" si="1"/>
        <v>1150</v>
      </c>
      <c r="V7" s="55">
        <f t="shared" si="1"/>
        <v>-980</v>
      </c>
      <c r="W7" s="81">
        <f>M7-R7</f>
        <v>193.39999999999964</v>
      </c>
      <c r="Y7" s="84">
        <f t="shared" si="2"/>
        <v>-4.9437646768013838E-3</v>
      </c>
      <c r="Z7" s="84">
        <f t="shared" si="2"/>
        <v>0.16599307159353349</v>
      </c>
      <c r="AA7" s="84">
        <f t="shared" si="2"/>
        <v>-0.1446067581525749</v>
      </c>
      <c r="AB7" s="232">
        <f>W7/R7</f>
        <v>3.5672126309576439E-2</v>
      </c>
    </row>
    <row r="8" spans="1:28" ht="13.5" customHeight="1" x14ac:dyDescent="0.3">
      <c r="A8" s="80" t="s">
        <v>77</v>
      </c>
      <c r="B8" s="80" t="str">
        <f t="shared" si="0"/>
        <v>86790-0K130</v>
      </c>
      <c r="C8" s="136" t="s">
        <v>77</v>
      </c>
      <c r="D8" s="80" t="s">
        <v>381</v>
      </c>
      <c r="E8" s="80" t="s">
        <v>382</v>
      </c>
      <c r="F8" s="80" t="s">
        <v>64</v>
      </c>
      <c r="G8" s="80"/>
      <c r="H8" s="80"/>
      <c r="I8" s="80"/>
      <c r="J8" s="81"/>
      <c r="K8" s="81"/>
      <c r="L8" s="81"/>
      <c r="M8" s="81"/>
      <c r="N8" s="57"/>
      <c r="O8" s="81"/>
      <c r="P8" s="81"/>
      <c r="Q8" s="81"/>
      <c r="R8" s="81"/>
      <c r="T8" s="81"/>
      <c r="U8" s="80"/>
      <c r="V8" s="80"/>
      <c r="W8" s="80"/>
      <c r="Y8" s="85"/>
      <c r="Z8" s="85"/>
      <c r="AA8" s="85"/>
      <c r="AB8" s="85"/>
    </row>
    <row r="9" spans="1:28" ht="13.5" customHeight="1" outlineLevel="1" x14ac:dyDescent="0.3">
      <c r="A9" s="80" t="s">
        <v>25</v>
      </c>
      <c r="B9" s="80" t="str">
        <f t="shared" si="0"/>
        <v>86790-0K140</v>
      </c>
      <c r="C9" s="136" t="s">
        <v>25</v>
      </c>
      <c r="D9" s="80" t="s">
        <v>376</v>
      </c>
      <c r="E9" s="80" t="s">
        <v>377</v>
      </c>
      <c r="F9" s="80" t="s">
        <v>64</v>
      </c>
      <c r="G9" s="80"/>
      <c r="H9" s="80"/>
      <c r="I9" s="80"/>
      <c r="J9" s="81"/>
      <c r="K9" s="81"/>
      <c r="L9" s="81"/>
      <c r="M9" s="81"/>
      <c r="N9" s="57"/>
      <c r="O9" s="81"/>
      <c r="P9" s="81"/>
      <c r="Q9" s="81"/>
      <c r="R9" s="81"/>
      <c r="T9" s="80"/>
      <c r="U9" s="80"/>
      <c r="V9" s="80"/>
      <c r="W9" s="80"/>
      <c r="Y9" s="85"/>
      <c r="Z9" s="85"/>
      <c r="AA9" s="85"/>
      <c r="AB9" s="85"/>
    </row>
    <row r="10" spans="1:28" ht="13.5" customHeight="1" outlineLevel="1" x14ac:dyDescent="0.3">
      <c r="A10" s="80" t="s">
        <v>383</v>
      </c>
      <c r="B10" s="80" t="str">
        <f t="shared" si="0"/>
        <v>86790-0K170</v>
      </c>
      <c r="C10" s="136" t="s">
        <v>383</v>
      </c>
      <c r="D10" s="80"/>
      <c r="E10" s="80"/>
      <c r="F10" s="80" t="s">
        <v>64</v>
      </c>
      <c r="G10" s="80"/>
      <c r="H10" s="80"/>
      <c r="I10" s="80"/>
      <c r="J10" s="81"/>
      <c r="K10" s="81"/>
      <c r="L10" s="81"/>
      <c r="M10" s="81"/>
      <c r="N10" s="57"/>
      <c r="O10" s="81"/>
      <c r="P10" s="81"/>
      <c r="Q10" s="81"/>
      <c r="R10" s="81"/>
      <c r="T10" s="80"/>
      <c r="U10" s="80"/>
      <c r="V10" s="80"/>
      <c r="W10" s="80"/>
      <c r="Y10" s="85"/>
      <c r="Z10" s="85"/>
      <c r="AA10" s="85"/>
      <c r="AB10" s="85"/>
    </row>
    <row r="11" spans="1:28" ht="13.5" customHeight="1" outlineLevel="1" x14ac:dyDescent="0.3">
      <c r="A11" s="80" t="s">
        <v>384</v>
      </c>
      <c r="B11" s="80" t="str">
        <f t="shared" si="0"/>
        <v>86790-0K180</v>
      </c>
      <c r="C11" s="136" t="s">
        <v>384</v>
      </c>
      <c r="D11" s="80"/>
      <c r="E11" s="80"/>
      <c r="F11" s="80" t="s">
        <v>64</v>
      </c>
      <c r="G11" s="80"/>
      <c r="H11" s="80"/>
      <c r="I11" s="80"/>
      <c r="J11" s="81"/>
      <c r="K11" s="81"/>
      <c r="L11" s="81"/>
      <c r="M11" s="81"/>
      <c r="O11" s="81"/>
      <c r="P11" s="81"/>
      <c r="Q11" s="81"/>
      <c r="R11" s="81"/>
      <c r="T11" s="80"/>
      <c r="U11" s="80"/>
      <c r="V11" s="80"/>
      <c r="W11" s="80"/>
      <c r="Y11" s="85"/>
      <c r="Z11" s="85"/>
      <c r="AA11" s="85"/>
      <c r="AB11" s="85"/>
    </row>
    <row r="12" spans="1:28" ht="13.5" customHeight="1" x14ac:dyDescent="0.3">
      <c r="A12" s="61" t="s">
        <v>28</v>
      </c>
      <c r="B12" s="61" t="str">
        <f t="shared" si="0"/>
        <v>86790-0K190</v>
      </c>
      <c r="C12" s="221" t="s">
        <v>385</v>
      </c>
      <c r="D12" s="61" t="s">
        <v>381</v>
      </c>
      <c r="E12" s="61" t="s">
        <v>386</v>
      </c>
      <c r="F12" s="153" t="s">
        <v>61</v>
      </c>
      <c r="G12" s="153"/>
      <c r="H12" s="55"/>
      <c r="I12" s="55"/>
      <c r="J12" s="59">
        <f>VLOOKUP($B12,Analyze!$ES$25:$EW$45,2,0)</f>
        <v>4745</v>
      </c>
      <c r="K12" s="59">
        <f>VLOOKUP($B12,Analyze!$ES$25:$EW$45,3,0)</f>
        <v>5243</v>
      </c>
      <c r="L12" s="59">
        <f>VLOOKUP($B12,Analyze!$ES$25:$EW$45,4,0)</f>
        <v>3468</v>
      </c>
      <c r="M12" s="59">
        <f>VLOOKUP($B12,Analyze!$ES$25:$EW$45,5,0)</f>
        <v>3284</v>
      </c>
      <c r="N12" s="57"/>
      <c r="O12" s="59">
        <v>4805</v>
      </c>
      <c r="P12" s="59">
        <v>4464</v>
      </c>
      <c r="Q12" s="59">
        <v>4019</v>
      </c>
      <c r="R12" s="81">
        <f>Q12*0.8</f>
        <v>3215.2000000000003</v>
      </c>
      <c r="T12" s="55">
        <f>J12-O12</f>
        <v>-60</v>
      </c>
      <c r="U12" s="55">
        <f>K12-P12</f>
        <v>779</v>
      </c>
      <c r="V12" s="55">
        <f>L12-Q12</f>
        <v>-551</v>
      </c>
      <c r="W12" s="81">
        <f>M12-R12</f>
        <v>68.799999999999727</v>
      </c>
      <c r="Y12" s="84">
        <f>T12/O12</f>
        <v>-1.2486992715920915E-2</v>
      </c>
      <c r="Z12" s="84">
        <f>U12/P12</f>
        <v>0.17450716845878136</v>
      </c>
      <c r="AA12" s="84">
        <f>V12/Q12</f>
        <v>-0.1370987807912416</v>
      </c>
      <c r="AB12" s="232">
        <f>W12/R12</f>
        <v>2.1398357800447784E-2</v>
      </c>
    </row>
    <row r="13" spans="1:28" ht="13.5" customHeight="1" x14ac:dyDescent="0.3">
      <c r="A13" s="80" t="s">
        <v>33</v>
      </c>
      <c r="B13" s="80" t="str">
        <f t="shared" si="0"/>
        <v>86790-BZ270</v>
      </c>
      <c r="C13" s="80" t="s">
        <v>86</v>
      </c>
      <c r="D13" s="80" t="s">
        <v>387</v>
      </c>
      <c r="E13" s="80" t="s">
        <v>388</v>
      </c>
      <c r="F13" s="80" t="s">
        <v>88</v>
      </c>
      <c r="G13" s="80"/>
      <c r="H13" s="80"/>
      <c r="I13" s="80"/>
      <c r="J13" s="81">
        <v>0</v>
      </c>
      <c r="K13" s="81">
        <v>0</v>
      </c>
      <c r="L13" s="81">
        <v>0</v>
      </c>
      <c r="M13" s="81">
        <v>0</v>
      </c>
      <c r="N13" s="57"/>
      <c r="O13" s="81">
        <v>0</v>
      </c>
      <c r="P13" s="81">
        <v>0</v>
      </c>
      <c r="Q13" s="81">
        <v>0</v>
      </c>
      <c r="R13" s="81"/>
      <c r="T13" s="80">
        <f t="shared" ref="T13:T31" si="3">J13-O13</f>
        <v>0</v>
      </c>
      <c r="U13" s="80">
        <f t="shared" ref="U13:U31" si="4">K13-P13</f>
        <v>0</v>
      </c>
      <c r="V13" s="80">
        <f t="shared" ref="V13:V31" si="5">L13-Q13</f>
        <v>0</v>
      </c>
      <c r="W13" s="80"/>
      <c r="Y13" s="85" t="e">
        <f t="shared" ref="Y13:Y31" si="6">T13/O13</f>
        <v>#DIV/0!</v>
      </c>
      <c r="Z13" s="85" t="e">
        <f t="shared" ref="Z13:Z31" si="7">U13/P13</f>
        <v>#DIV/0!</v>
      </c>
      <c r="AA13" s="85" t="e">
        <f t="shared" ref="AA13:AA31" si="8">V13/Q13</f>
        <v>#DIV/0!</v>
      </c>
      <c r="AB13" s="85"/>
    </row>
    <row r="14" spans="1:28" ht="13.5" customHeight="1" x14ac:dyDescent="0.3">
      <c r="A14" s="112" t="s">
        <v>110</v>
      </c>
      <c r="B14" s="55" t="str">
        <f t="shared" si="0"/>
        <v>86790-BZ271</v>
      </c>
      <c r="C14" s="221" t="s">
        <v>109</v>
      </c>
      <c r="D14" s="55" t="s">
        <v>387</v>
      </c>
      <c r="E14" s="55" t="s">
        <v>388</v>
      </c>
      <c r="F14" s="55" t="s">
        <v>88</v>
      </c>
      <c r="G14" s="55"/>
      <c r="H14" s="55"/>
      <c r="I14" s="55"/>
      <c r="J14" s="59">
        <f>VLOOKUP($B14,Analyze!$ES$25:$EW$45,2,0)</f>
        <v>2088</v>
      </c>
      <c r="K14" s="59">
        <f>VLOOKUP($B14,Analyze!$ES$25:$EW$45,3,0)</f>
        <v>1980</v>
      </c>
      <c r="L14" s="59">
        <f>VLOOKUP($B14,Analyze!$ES$25:$EW$45,4,0)</f>
        <v>1800</v>
      </c>
      <c r="M14" s="59">
        <f>VLOOKUP($B14,Analyze!$ES$25:$EW$45,5,0)</f>
        <v>1836</v>
      </c>
      <c r="N14" s="57"/>
      <c r="O14" s="59">
        <v>1944</v>
      </c>
      <c r="P14" s="59">
        <v>1620</v>
      </c>
      <c r="Q14" s="59">
        <v>1620</v>
      </c>
      <c r="R14" s="81">
        <f t="shared" ref="R14:R31" si="9">Q14*0.8</f>
        <v>1296</v>
      </c>
      <c r="T14" s="182">
        <f t="shared" si="3"/>
        <v>144</v>
      </c>
      <c r="U14" s="83">
        <f t="shared" si="4"/>
        <v>360</v>
      </c>
      <c r="V14" s="134">
        <f t="shared" si="5"/>
        <v>180</v>
      </c>
      <c r="W14" s="81">
        <f t="shared" ref="W14:W26" si="10">M14-R14</f>
        <v>540</v>
      </c>
      <c r="Y14" s="84">
        <f t="shared" si="6"/>
        <v>7.407407407407407E-2</v>
      </c>
      <c r="Z14" s="84">
        <f t="shared" si="7"/>
        <v>0.22222222222222221</v>
      </c>
      <c r="AA14" s="84">
        <f t="shared" si="8"/>
        <v>0.1111111111111111</v>
      </c>
      <c r="AB14" s="232">
        <f t="shared" ref="AB14:AB26" si="11">W14/R14</f>
        <v>0.41666666666666669</v>
      </c>
    </row>
    <row r="15" spans="1:28" ht="13.5" customHeight="1" x14ac:dyDescent="0.3">
      <c r="A15" s="55" t="s">
        <v>35</v>
      </c>
      <c r="B15" s="55" t="str">
        <f t="shared" si="0"/>
        <v>86790-BZ280</v>
      </c>
      <c r="C15" s="221" t="s">
        <v>90</v>
      </c>
      <c r="D15" s="55" t="s">
        <v>387</v>
      </c>
      <c r="E15" s="55" t="s">
        <v>388</v>
      </c>
      <c r="F15" s="55" t="s">
        <v>88</v>
      </c>
      <c r="G15" s="55"/>
      <c r="H15" s="55"/>
      <c r="I15" s="55"/>
      <c r="J15" s="59">
        <f>VLOOKUP($B15,Analyze!$ES$25:$EW$45,2,0)</f>
        <v>8210</v>
      </c>
      <c r="K15" s="59">
        <f>VLOOKUP($B15,Analyze!$ES$25:$EW$45,3,0)</f>
        <v>5430</v>
      </c>
      <c r="L15" s="59">
        <f>VLOOKUP($B15,Analyze!$ES$25:$EW$45,4,0)</f>
        <v>5520</v>
      </c>
      <c r="M15" s="180">
        <f>VLOOKUP($B15,Analyze!$ES$25:$EW$45,5,0)</f>
        <v>5170</v>
      </c>
      <c r="N15" s="57"/>
      <c r="O15" s="59">
        <v>8040</v>
      </c>
      <c r="P15" s="59">
        <v>5500</v>
      </c>
      <c r="Q15" s="180">
        <v>5570</v>
      </c>
      <c r="R15" s="81">
        <f t="shared" si="9"/>
        <v>4456</v>
      </c>
      <c r="T15" s="134">
        <f t="shared" si="3"/>
        <v>170</v>
      </c>
      <c r="U15" s="203">
        <f t="shared" si="4"/>
        <v>-70</v>
      </c>
      <c r="V15" s="83">
        <f t="shared" si="5"/>
        <v>-50</v>
      </c>
      <c r="W15" s="81">
        <f t="shared" si="10"/>
        <v>714</v>
      </c>
      <c r="X15" s="40"/>
      <c r="Y15" s="84">
        <f t="shared" si="6"/>
        <v>2.1144278606965175E-2</v>
      </c>
      <c r="Z15" s="84">
        <f t="shared" si="7"/>
        <v>-1.2727272727272728E-2</v>
      </c>
      <c r="AA15" s="84">
        <f t="shared" si="8"/>
        <v>-8.9766606822262122E-3</v>
      </c>
      <c r="AB15" s="232">
        <f t="shared" si="11"/>
        <v>0.16023339317773788</v>
      </c>
    </row>
    <row r="16" spans="1:28" x14ac:dyDescent="0.3">
      <c r="A16" s="55" t="s">
        <v>29</v>
      </c>
      <c r="B16" s="55" t="str">
        <f t="shared" si="0"/>
        <v>86790-0K120</v>
      </c>
      <c r="C16" s="153" t="s">
        <v>81</v>
      </c>
      <c r="D16" s="55" t="s">
        <v>376</v>
      </c>
      <c r="E16" s="55" t="s">
        <v>389</v>
      </c>
      <c r="F16" s="55" t="s">
        <v>61</v>
      </c>
      <c r="G16" s="55"/>
      <c r="H16" s="55"/>
      <c r="I16" s="55"/>
      <c r="J16" s="59">
        <f>VLOOKUP($B16,Analyze!$ES$25:$EW$45,2,0)</f>
        <v>240</v>
      </c>
      <c r="K16" s="59">
        <f>VLOOKUP($B16,Analyze!$ES$25:$EW$45,3,0)</f>
        <v>360</v>
      </c>
      <c r="L16" s="59">
        <f>VLOOKUP($B16,Analyze!$ES$25:$EW$45,4,0)</f>
        <v>200</v>
      </c>
      <c r="M16" s="59">
        <f>VLOOKUP($B16,Analyze!$ES$25:$EW$45,5,0)</f>
        <v>20</v>
      </c>
      <c r="N16" s="57"/>
      <c r="O16" s="59">
        <v>240</v>
      </c>
      <c r="P16" s="59">
        <v>360</v>
      </c>
      <c r="Q16" s="59">
        <v>360</v>
      </c>
      <c r="R16" s="81">
        <f t="shared" si="9"/>
        <v>288</v>
      </c>
      <c r="T16" s="55">
        <f t="shared" si="3"/>
        <v>0</v>
      </c>
      <c r="U16" s="83">
        <f t="shared" si="4"/>
        <v>0</v>
      </c>
      <c r="V16" s="55">
        <f t="shared" si="5"/>
        <v>-160</v>
      </c>
      <c r="W16" s="81">
        <f t="shared" si="10"/>
        <v>-268</v>
      </c>
      <c r="X16" s="40"/>
      <c r="Y16" s="84">
        <f t="shared" si="6"/>
        <v>0</v>
      </c>
      <c r="Z16" s="84">
        <f t="shared" si="7"/>
        <v>0</v>
      </c>
      <c r="AA16" s="84">
        <f t="shared" si="8"/>
        <v>-0.44444444444444442</v>
      </c>
      <c r="AB16" s="232">
        <f t="shared" si="11"/>
        <v>-0.93055555555555558</v>
      </c>
    </row>
    <row r="17" spans="1:28" x14ac:dyDescent="0.3">
      <c r="A17" s="55" t="s">
        <v>31</v>
      </c>
      <c r="B17" s="55" t="str">
        <f t="shared" si="0"/>
        <v>86790-0K200</v>
      </c>
      <c r="C17" s="153" t="s">
        <v>390</v>
      </c>
      <c r="D17" s="55" t="s">
        <v>391</v>
      </c>
      <c r="E17" s="55" t="s">
        <v>389</v>
      </c>
      <c r="F17" s="55" t="s">
        <v>61</v>
      </c>
      <c r="G17" s="55"/>
      <c r="H17" s="55"/>
      <c r="I17" s="55"/>
      <c r="J17" s="59">
        <f>VLOOKUP($B17,Analyze!$ES$25:$EW$45,2,0)</f>
        <v>3020</v>
      </c>
      <c r="K17" s="59">
        <f>VLOOKUP($B17,Analyze!$ES$25:$EW$45,3,0)</f>
        <v>2820</v>
      </c>
      <c r="L17" s="59">
        <f>VLOOKUP($B17,Analyze!$ES$25:$EW$45,4,0)</f>
        <v>2880</v>
      </c>
      <c r="M17" s="180">
        <f>VLOOKUP($B17,Analyze!$ES$25:$EW$45,5,0)</f>
        <v>2620</v>
      </c>
      <c r="N17" s="57"/>
      <c r="O17" s="59">
        <v>3020</v>
      </c>
      <c r="P17" s="59">
        <v>2720</v>
      </c>
      <c r="Q17" s="180">
        <v>2400</v>
      </c>
      <c r="R17" s="81">
        <f t="shared" si="9"/>
        <v>1920</v>
      </c>
      <c r="T17" s="204">
        <f t="shared" si="3"/>
        <v>0</v>
      </c>
      <c r="U17" s="83">
        <f t="shared" si="4"/>
        <v>100</v>
      </c>
      <c r="V17" s="55">
        <f t="shared" si="5"/>
        <v>480</v>
      </c>
      <c r="W17" s="81">
        <f t="shared" si="10"/>
        <v>700</v>
      </c>
      <c r="X17" s="40"/>
      <c r="Y17" s="84">
        <f t="shared" si="6"/>
        <v>0</v>
      </c>
      <c r="Z17" s="84">
        <f t="shared" si="7"/>
        <v>3.6764705882352942E-2</v>
      </c>
      <c r="AA17" s="84">
        <f t="shared" si="8"/>
        <v>0.2</v>
      </c>
      <c r="AB17" s="232">
        <f t="shared" si="11"/>
        <v>0.36458333333333331</v>
      </c>
    </row>
    <row r="18" spans="1:28" x14ac:dyDescent="0.3">
      <c r="A18" s="55" t="s">
        <v>32</v>
      </c>
      <c r="B18" s="55" t="str">
        <f t="shared" si="0"/>
        <v>86790-0K220</v>
      </c>
      <c r="C18" s="153" t="s">
        <v>84</v>
      </c>
      <c r="D18" s="55" t="s">
        <v>381</v>
      </c>
      <c r="E18" s="55" t="s">
        <v>389</v>
      </c>
      <c r="F18" s="55" t="s">
        <v>61</v>
      </c>
      <c r="G18" s="55"/>
      <c r="H18" s="55"/>
      <c r="I18" s="55"/>
      <c r="J18" s="59">
        <f>VLOOKUP($B18,Analyze!$ES$25:$EW$45,2,0)</f>
        <v>1160</v>
      </c>
      <c r="K18" s="59">
        <f>VLOOKUP($B18,Analyze!$ES$25:$EW$45,3,0)</f>
        <v>2100</v>
      </c>
      <c r="L18" s="59">
        <f>VLOOKUP($B18,Analyze!$ES$25:$EW$45,4,0)</f>
        <v>2040</v>
      </c>
      <c r="M18" s="180">
        <f>VLOOKUP($B18,Analyze!$ES$25:$EW$45,5,0)</f>
        <v>1040</v>
      </c>
      <c r="O18" s="59">
        <v>1300</v>
      </c>
      <c r="P18" s="59">
        <v>2160</v>
      </c>
      <c r="Q18" s="180">
        <v>2220</v>
      </c>
      <c r="R18" s="81">
        <f t="shared" si="9"/>
        <v>1776</v>
      </c>
      <c r="T18" s="134">
        <f t="shared" si="3"/>
        <v>-140</v>
      </c>
      <c r="U18" s="182">
        <f t="shared" si="4"/>
        <v>-60</v>
      </c>
      <c r="V18" s="134">
        <f t="shared" si="5"/>
        <v>-180</v>
      </c>
      <c r="W18" s="81">
        <f t="shared" si="10"/>
        <v>-736</v>
      </c>
      <c r="X18" s="40"/>
      <c r="Y18" s="84">
        <f t="shared" si="6"/>
        <v>-0.1076923076923077</v>
      </c>
      <c r="Z18" s="84">
        <f t="shared" si="7"/>
        <v>-2.7777777777777776E-2</v>
      </c>
      <c r="AA18" s="84">
        <f t="shared" si="8"/>
        <v>-8.1081081081081086E-2</v>
      </c>
      <c r="AB18" s="232">
        <f t="shared" si="11"/>
        <v>-0.4144144144144144</v>
      </c>
    </row>
    <row r="19" spans="1:28" ht="13.5" customHeight="1" x14ac:dyDescent="0.3">
      <c r="A19" s="55" t="s">
        <v>36</v>
      </c>
      <c r="B19" s="55" t="str">
        <f t="shared" si="0"/>
        <v>86790-BZ210</v>
      </c>
      <c r="C19" s="221" t="s">
        <v>92</v>
      </c>
      <c r="D19" s="55" t="s">
        <v>392</v>
      </c>
      <c r="E19" s="55" t="s">
        <v>393</v>
      </c>
      <c r="F19" s="55" t="s">
        <v>88</v>
      </c>
      <c r="G19" s="55"/>
      <c r="H19" s="55"/>
      <c r="I19" s="55"/>
      <c r="J19" s="59">
        <f>VLOOKUP($B19,Analyze!$ES$25:$EW$45,2,0)</f>
        <v>5651</v>
      </c>
      <c r="K19" s="59">
        <f>VLOOKUP($B19,Analyze!$ES$25:$EW$45,3,0)</f>
        <v>7044</v>
      </c>
      <c r="L19" s="59">
        <f>VLOOKUP($B19,Analyze!$ES$25:$EW$45,4,0)</f>
        <v>5224</v>
      </c>
      <c r="M19" s="59">
        <f>VLOOKUP($B19,Analyze!$ES$25:$EW$45,5,0)</f>
        <v>7912</v>
      </c>
      <c r="O19" s="59">
        <v>5661</v>
      </c>
      <c r="P19" s="59">
        <v>6900</v>
      </c>
      <c r="Q19" s="59">
        <v>5595</v>
      </c>
      <c r="R19" s="81">
        <f t="shared" si="9"/>
        <v>4476</v>
      </c>
      <c r="T19" s="55">
        <f t="shared" si="3"/>
        <v>-10</v>
      </c>
      <c r="U19" s="83">
        <f t="shared" si="4"/>
        <v>144</v>
      </c>
      <c r="V19" s="83">
        <f t="shared" si="5"/>
        <v>-371</v>
      </c>
      <c r="W19" s="81">
        <f t="shared" si="10"/>
        <v>3436</v>
      </c>
      <c r="X19" s="40"/>
      <c r="Y19" s="84">
        <f t="shared" si="6"/>
        <v>-1.7664723547076487E-3</v>
      </c>
      <c r="Z19" s="84">
        <f t="shared" si="7"/>
        <v>2.0869565217391306E-2</v>
      </c>
      <c r="AA19" s="84">
        <f t="shared" si="8"/>
        <v>-6.6309204647006251E-2</v>
      </c>
      <c r="AB19" s="232">
        <f t="shared" si="11"/>
        <v>0.76764968722073279</v>
      </c>
    </row>
    <row r="20" spans="1:28" ht="13.5" customHeight="1" x14ac:dyDescent="0.3">
      <c r="A20" s="55" t="s">
        <v>38</v>
      </c>
      <c r="B20" s="55" t="str">
        <f t="shared" si="0"/>
        <v>86790-BZ220</v>
      </c>
      <c r="C20" s="221" t="s">
        <v>94</v>
      </c>
      <c r="D20" s="55" t="s">
        <v>392</v>
      </c>
      <c r="E20" s="55" t="s">
        <v>393</v>
      </c>
      <c r="F20" s="55" t="s">
        <v>88</v>
      </c>
      <c r="G20" s="55"/>
      <c r="H20" s="55"/>
      <c r="I20" s="55"/>
      <c r="J20" s="59">
        <f>VLOOKUP($B20,Analyze!$ES$25:$EW$45,2,0)</f>
        <v>772</v>
      </c>
      <c r="K20" s="59">
        <f>VLOOKUP($B20,Analyze!$ES$25:$EW$45,3,0)</f>
        <v>1388</v>
      </c>
      <c r="L20" s="59">
        <f>VLOOKUP($B20,Analyze!$ES$25:$EW$45,4,0)</f>
        <v>733</v>
      </c>
      <c r="M20" s="59">
        <f>VLOOKUP($B20,Analyze!$ES$25:$EW$45,5,0)</f>
        <v>1353</v>
      </c>
      <c r="O20" s="59">
        <v>772</v>
      </c>
      <c r="P20" s="59">
        <v>1133</v>
      </c>
      <c r="Q20" s="59">
        <v>749</v>
      </c>
      <c r="R20" s="81">
        <f t="shared" si="9"/>
        <v>599.20000000000005</v>
      </c>
      <c r="T20" s="55">
        <f t="shared" si="3"/>
        <v>0</v>
      </c>
      <c r="U20" s="134">
        <f t="shared" si="4"/>
        <v>255</v>
      </c>
      <c r="V20" s="55">
        <f t="shared" si="5"/>
        <v>-16</v>
      </c>
      <c r="W20" s="81">
        <f t="shared" si="10"/>
        <v>753.8</v>
      </c>
      <c r="X20" s="40"/>
      <c r="Y20" s="84">
        <f t="shared" si="6"/>
        <v>0</v>
      </c>
      <c r="Z20" s="84">
        <f t="shared" si="7"/>
        <v>0.22506619593998234</v>
      </c>
      <c r="AA20" s="84">
        <f t="shared" si="8"/>
        <v>-2.1361815754339118E-2</v>
      </c>
      <c r="AB20" s="232">
        <f t="shared" si="11"/>
        <v>1.258010680907877</v>
      </c>
    </row>
    <row r="21" spans="1:28" ht="13.5" customHeight="1" x14ac:dyDescent="0.3">
      <c r="A21" s="61" t="s">
        <v>39</v>
      </c>
      <c r="B21" s="61" t="str">
        <f t="shared" si="0"/>
        <v>86790-0K141</v>
      </c>
      <c r="C21" s="221" t="s">
        <v>394</v>
      </c>
      <c r="D21" s="61" t="s">
        <v>376</v>
      </c>
      <c r="E21" s="61" t="s">
        <v>377</v>
      </c>
      <c r="F21" s="153" t="s">
        <v>61</v>
      </c>
      <c r="G21" s="153"/>
      <c r="H21" s="55"/>
      <c r="I21" s="55"/>
      <c r="J21" s="59">
        <f>VLOOKUP($B21,Analyze!$ES$25:$EW$45,2,0)</f>
        <v>1946</v>
      </c>
      <c r="K21" s="59">
        <f>VLOOKUP($B21,Analyze!$ES$25:$EW$45,3,0)</f>
        <v>2404</v>
      </c>
      <c r="L21" s="59">
        <f>VLOOKUP($B21,Analyze!$ES$25:$EW$45,4,0)</f>
        <v>1451</v>
      </c>
      <c r="M21" s="180">
        <f>VLOOKUP($B21,Analyze!$ES$25:$EW$45,5,0)</f>
        <v>912</v>
      </c>
      <c r="O21" s="59">
        <v>1994</v>
      </c>
      <c r="P21" s="59">
        <v>2198</v>
      </c>
      <c r="Q21" s="180">
        <v>1779</v>
      </c>
      <c r="R21" s="81">
        <f t="shared" si="9"/>
        <v>1423.2</v>
      </c>
      <c r="T21" s="55">
        <f t="shared" si="3"/>
        <v>-48</v>
      </c>
      <c r="U21" s="203">
        <f t="shared" si="4"/>
        <v>206</v>
      </c>
      <c r="V21" s="203">
        <f t="shared" si="5"/>
        <v>-328</v>
      </c>
      <c r="W21" s="81">
        <f t="shared" si="10"/>
        <v>-511.20000000000005</v>
      </c>
      <c r="X21" s="40"/>
      <c r="Y21" s="84">
        <f t="shared" si="6"/>
        <v>-2.4072216649949848E-2</v>
      </c>
      <c r="Z21" s="84">
        <f t="shared" si="7"/>
        <v>9.3721565059144682E-2</v>
      </c>
      <c r="AA21" s="84">
        <f t="shared" si="8"/>
        <v>-0.18437324339516584</v>
      </c>
      <c r="AB21" s="232">
        <f t="shared" si="11"/>
        <v>-0.35919055649241149</v>
      </c>
    </row>
    <row r="22" spans="1:28" ht="13.5" customHeight="1" x14ac:dyDescent="0.3">
      <c r="A22" s="61" t="s">
        <v>41</v>
      </c>
      <c r="B22" s="61" t="str">
        <f t="shared" si="0"/>
        <v>86790-0K171</v>
      </c>
      <c r="C22" s="221" t="s">
        <v>80</v>
      </c>
      <c r="D22" s="61" t="s">
        <v>376</v>
      </c>
      <c r="E22" s="61" t="s">
        <v>377</v>
      </c>
      <c r="F22" s="61" t="s">
        <v>61</v>
      </c>
      <c r="G22" s="61"/>
      <c r="H22" s="55"/>
      <c r="I22" s="55"/>
      <c r="J22" s="59">
        <f>VLOOKUP($B22,Analyze!$ES$25:$EW$45,2,0)</f>
        <v>1026</v>
      </c>
      <c r="K22" s="59">
        <f>VLOOKUP($B22,Analyze!$ES$25:$EW$45,3,0)</f>
        <v>1077</v>
      </c>
      <c r="L22" s="59">
        <f>VLOOKUP($B22,Analyze!$ES$25:$EW$45,4,0)</f>
        <v>1019</v>
      </c>
      <c r="M22" s="59">
        <f>VLOOKUP($B22,Analyze!$ES$25:$EW$45,5,0)</f>
        <v>230</v>
      </c>
      <c r="O22" s="59">
        <v>1176</v>
      </c>
      <c r="P22" s="59">
        <v>921</v>
      </c>
      <c r="Q22" s="59">
        <v>1009</v>
      </c>
      <c r="R22" s="81">
        <f t="shared" si="9"/>
        <v>807.2</v>
      </c>
      <c r="T22" s="55">
        <f t="shared" si="3"/>
        <v>-150</v>
      </c>
      <c r="U22" s="203">
        <f t="shared" si="4"/>
        <v>156</v>
      </c>
      <c r="V22" s="55">
        <f t="shared" si="5"/>
        <v>10</v>
      </c>
      <c r="W22" s="81">
        <f t="shared" si="10"/>
        <v>-577.20000000000005</v>
      </c>
      <c r="X22" s="40"/>
      <c r="Y22" s="84">
        <f t="shared" si="6"/>
        <v>-0.12755102040816327</v>
      </c>
      <c r="Z22" s="84">
        <f t="shared" si="7"/>
        <v>0.16938110749185667</v>
      </c>
      <c r="AA22" s="84">
        <f t="shared" si="8"/>
        <v>9.9108027750247768E-3</v>
      </c>
      <c r="AB22" s="232">
        <f t="shared" si="11"/>
        <v>-0.71506442021803762</v>
      </c>
    </row>
    <row r="23" spans="1:28" ht="13.5" customHeight="1" x14ac:dyDescent="0.3">
      <c r="A23" s="61" t="s">
        <v>42</v>
      </c>
      <c r="B23" s="61" t="str">
        <f t="shared" si="0"/>
        <v>86790-0K181</v>
      </c>
      <c r="C23" s="221" t="s">
        <v>395</v>
      </c>
      <c r="D23" s="61" t="s">
        <v>391</v>
      </c>
      <c r="E23" s="61" t="s">
        <v>380</v>
      </c>
      <c r="F23" s="153" t="s">
        <v>61</v>
      </c>
      <c r="G23" s="153"/>
      <c r="H23" s="55"/>
      <c r="I23" s="55"/>
      <c r="J23" s="59">
        <f>VLOOKUP($B23,Analyze!$ES$25:$EW$45,2,0)</f>
        <v>582</v>
      </c>
      <c r="K23" s="59">
        <f>VLOOKUP($B23,Analyze!$ES$25:$EW$45,3,0)</f>
        <v>388</v>
      </c>
      <c r="L23" s="59">
        <f>VLOOKUP($B23,Analyze!$ES$25:$EW$45,4,0)</f>
        <v>386</v>
      </c>
      <c r="M23" s="59">
        <f>VLOOKUP($B23,Analyze!$ES$25:$EW$45,5,0)</f>
        <v>367</v>
      </c>
      <c r="O23" s="59">
        <v>550</v>
      </c>
      <c r="P23" s="59">
        <v>292</v>
      </c>
      <c r="Q23" s="59">
        <v>340</v>
      </c>
      <c r="R23" s="81">
        <f t="shared" si="9"/>
        <v>272</v>
      </c>
      <c r="T23" s="83">
        <f t="shared" si="3"/>
        <v>32</v>
      </c>
      <c r="U23" s="203">
        <f t="shared" si="4"/>
        <v>96</v>
      </c>
      <c r="V23" s="203">
        <f t="shared" si="5"/>
        <v>46</v>
      </c>
      <c r="W23" s="81">
        <f t="shared" si="10"/>
        <v>95</v>
      </c>
      <c r="X23" s="40"/>
      <c r="Y23" s="84">
        <f t="shared" si="6"/>
        <v>5.8181818181818182E-2</v>
      </c>
      <c r="Z23" s="84">
        <f t="shared" si="7"/>
        <v>0.32876712328767121</v>
      </c>
      <c r="AA23" s="84">
        <f t="shared" si="8"/>
        <v>0.13529411764705881</v>
      </c>
      <c r="AB23" s="232">
        <f t="shared" si="11"/>
        <v>0.34926470588235292</v>
      </c>
    </row>
    <row r="24" spans="1:28" ht="13.5" customHeight="1" x14ac:dyDescent="0.3">
      <c r="A24" s="61" t="s">
        <v>72</v>
      </c>
      <c r="B24" s="61" t="str">
        <f t="shared" si="0"/>
        <v>86790-0K230</v>
      </c>
      <c r="C24" s="210" t="s">
        <v>71</v>
      </c>
      <c r="D24" s="61" t="s">
        <v>376</v>
      </c>
      <c r="E24" s="61" t="s">
        <v>396</v>
      </c>
      <c r="F24" s="61" t="s">
        <v>64</v>
      </c>
      <c r="G24" s="61"/>
      <c r="H24" s="55"/>
      <c r="I24" s="55"/>
      <c r="J24" s="59">
        <f>VLOOKUP($B24,Analyze!$ES$25:$EW$45,2,0)</f>
        <v>1082</v>
      </c>
      <c r="K24" s="59">
        <f>VLOOKUP($B24,Analyze!$ES$25:$EW$45,3,0)</f>
        <v>1309</v>
      </c>
      <c r="L24" s="59">
        <f>VLOOKUP($B24,Analyze!$ES$25:$EW$45,4,0)</f>
        <v>822</v>
      </c>
      <c r="M24" s="59">
        <f>VLOOKUP($B24,Analyze!$ES$25:$EW$45,5,0)</f>
        <v>288</v>
      </c>
      <c r="O24" s="59">
        <v>1050</v>
      </c>
      <c r="P24" s="59">
        <v>1069</v>
      </c>
      <c r="Q24" s="59">
        <v>872</v>
      </c>
      <c r="R24" s="81">
        <f t="shared" si="9"/>
        <v>697.6</v>
      </c>
      <c r="T24" s="55">
        <f t="shared" si="3"/>
        <v>32</v>
      </c>
      <c r="U24" s="55">
        <f t="shared" si="4"/>
        <v>240</v>
      </c>
      <c r="V24" s="204">
        <f t="shared" si="5"/>
        <v>-50</v>
      </c>
      <c r="W24" s="81">
        <f t="shared" si="10"/>
        <v>-409.6</v>
      </c>
      <c r="X24" s="40"/>
      <c r="Y24" s="84">
        <f t="shared" si="6"/>
        <v>3.0476190476190476E-2</v>
      </c>
      <c r="Z24" s="84">
        <f t="shared" si="7"/>
        <v>0.22450888681010289</v>
      </c>
      <c r="AA24" s="84">
        <f t="shared" si="8"/>
        <v>-5.7339449541284407E-2</v>
      </c>
      <c r="AB24" s="232">
        <f t="shared" si="11"/>
        <v>-0.58715596330275233</v>
      </c>
    </row>
    <row r="25" spans="1:28" ht="13.5" customHeight="1" x14ac:dyDescent="0.3">
      <c r="A25" s="61" t="s">
        <v>397</v>
      </c>
      <c r="B25" s="61" t="str">
        <f t="shared" si="0"/>
        <v>86790-BZ310</v>
      </c>
      <c r="C25" s="221" t="s">
        <v>96</v>
      </c>
      <c r="D25" s="61" t="s">
        <v>398</v>
      </c>
      <c r="E25" s="61" t="s">
        <v>399</v>
      </c>
      <c r="F25" s="61" t="s">
        <v>88</v>
      </c>
      <c r="G25" s="61"/>
      <c r="H25" s="55"/>
      <c r="I25" s="55"/>
      <c r="J25" s="59">
        <f>VLOOKUP($B25,Analyze!$ES$25:$EW$45,2,0)</f>
        <v>12003</v>
      </c>
      <c r="K25" s="59">
        <f>VLOOKUP($B25,Analyze!$ES$25:$EW$45,3,0)</f>
        <v>11815</v>
      </c>
      <c r="L25" s="59">
        <f>VLOOKUP($B25,Analyze!$ES$25:$EW$45,4,0)</f>
        <v>12076</v>
      </c>
      <c r="M25" s="59">
        <f>VLOOKUP($B25,Analyze!$ES$25:$EW$45,5,0)</f>
        <v>10271</v>
      </c>
      <c r="O25" s="59">
        <v>12018</v>
      </c>
      <c r="P25" s="59">
        <v>11630</v>
      </c>
      <c r="Q25" s="59">
        <v>13017</v>
      </c>
      <c r="R25" s="81">
        <f t="shared" si="9"/>
        <v>10413.6</v>
      </c>
      <c r="T25" s="83">
        <f t="shared" si="3"/>
        <v>-15</v>
      </c>
      <c r="U25" s="83">
        <f t="shared" si="4"/>
        <v>185</v>
      </c>
      <c r="V25" s="83">
        <f t="shared" si="5"/>
        <v>-941</v>
      </c>
      <c r="W25" s="81">
        <f t="shared" si="10"/>
        <v>-142.60000000000036</v>
      </c>
      <c r="X25" s="40"/>
      <c r="Y25" s="84">
        <f t="shared" si="6"/>
        <v>-1.2481278082875687E-3</v>
      </c>
      <c r="Z25" s="84">
        <f t="shared" si="7"/>
        <v>1.5907136715391231E-2</v>
      </c>
      <c r="AA25" s="84">
        <f t="shared" si="8"/>
        <v>-7.2290082200199737E-2</v>
      </c>
      <c r="AB25" s="232">
        <f t="shared" si="11"/>
        <v>-1.3693631405085692E-2</v>
      </c>
    </row>
    <row r="26" spans="1:28" ht="13.5" customHeight="1" x14ac:dyDescent="0.3">
      <c r="A26" s="61" t="s">
        <v>100</v>
      </c>
      <c r="B26" s="112" t="str">
        <f t="shared" si="0"/>
        <v>86790-0K051</v>
      </c>
      <c r="C26" s="153" t="s">
        <v>400</v>
      </c>
      <c r="D26" s="112" t="s">
        <v>376</v>
      </c>
      <c r="E26" s="112" t="s">
        <v>377</v>
      </c>
      <c r="F26" s="61" t="s">
        <v>64</v>
      </c>
      <c r="G26" s="61"/>
      <c r="H26" s="55"/>
      <c r="I26" s="55"/>
      <c r="J26" s="59">
        <f>VLOOKUP($B26,Analyze!$ES$25:$EW$45,2,0)</f>
        <v>9673</v>
      </c>
      <c r="K26" s="59">
        <f>VLOOKUP($B26,Analyze!$ES$25:$EW$45,3,0)</f>
        <v>12094</v>
      </c>
      <c r="L26" s="59">
        <f>VLOOKUP($B26,Analyze!$ES$25:$EW$45,4,0)</f>
        <v>8906</v>
      </c>
      <c r="M26" s="59">
        <f>VLOOKUP($B26,Analyze!$ES$25:$EW$45,5,0)</f>
        <v>3950</v>
      </c>
      <c r="O26" s="59">
        <v>10123</v>
      </c>
      <c r="P26" s="59">
        <v>9639</v>
      </c>
      <c r="Q26" s="59">
        <v>8556</v>
      </c>
      <c r="R26" s="81">
        <f t="shared" si="9"/>
        <v>6844.8</v>
      </c>
      <c r="T26" s="55">
        <f t="shared" si="3"/>
        <v>-450</v>
      </c>
      <c r="U26" s="83">
        <f t="shared" si="4"/>
        <v>2455</v>
      </c>
      <c r="V26" s="83">
        <f t="shared" si="5"/>
        <v>350</v>
      </c>
      <c r="W26" s="81">
        <f t="shared" si="10"/>
        <v>-2894.8</v>
      </c>
      <c r="X26" s="40"/>
      <c r="Y26" s="84">
        <f t="shared" si="6"/>
        <v>-4.4453225328459946E-2</v>
      </c>
      <c r="Z26" s="84">
        <f t="shared" si="7"/>
        <v>0.25469447038074489</v>
      </c>
      <c r="AA26" s="84">
        <f t="shared" si="8"/>
        <v>4.0906965871902755E-2</v>
      </c>
      <c r="AB26" s="232">
        <f t="shared" si="11"/>
        <v>-0.42291958859280038</v>
      </c>
    </row>
    <row r="27" spans="1:28" ht="13.5" customHeight="1" x14ac:dyDescent="0.3">
      <c r="A27" s="80" t="s">
        <v>103</v>
      </c>
      <c r="B27" s="80" t="str">
        <f t="shared" si="0"/>
        <v>86790-BZ320</v>
      </c>
      <c r="C27" s="80" t="s">
        <v>103</v>
      </c>
      <c r="D27" s="80" t="s">
        <v>398</v>
      </c>
      <c r="E27" s="80" t="s">
        <v>399</v>
      </c>
      <c r="F27" s="80" t="s">
        <v>88</v>
      </c>
      <c r="G27" s="80"/>
      <c r="H27" s="80"/>
      <c r="I27" s="80"/>
      <c r="J27" s="81">
        <v>0</v>
      </c>
      <c r="K27" s="81">
        <v>0</v>
      </c>
      <c r="L27" s="81">
        <v>0</v>
      </c>
      <c r="M27" s="81">
        <v>0</v>
      </c>
      <c r="O27" s="81">
        <v>0</v>
      </c>
      <c r="P27" s="81">
        <v>0</v>
      </c>
      <c r="Q27" s="81">
        <v>0</v>
      </c>
      <c r="R27" s="81">
        <f t="shared" si="9"/>
        <v>0</v>
      </c>
      <c r="T27" s="80">
        <f t="shared" si="3"/>
        <v>0</v>
      </c>
      <c r="U27" s="81">
        <f t="shared" si="4"/>
        <v>0</v>
      </c>
      <c r="V27" s="80">
        <f t="shared" si="5"/>
        <v>0</v>
      </c>
      <c r="W27" s="80"/>
      <c r="X27" s="40"/>
      <c r="Y27" s="85" t="e">
        <f t="shared" si="6"/>
        <v>#DIV/0!</v>
      </c>
      <c r="Z27" s="85" t="e">
        <f t="shared" si="7"/>
        <v>#DIV/0!</v>
      </c>
      <c r="AA27" s="85" t="e">
        <f t="shared" si="8"/>
        <v>#DIV/0!</v>
      </c>
      <c r="AB27" s="85"/>
    </row>
    <row r="28" spans="1:28" ht="13.5" customHeight="1" x14ac:dyDescent="0.3">
      <c r="A28" s="112" t="s">
        <v>106</v>
      </c>
      <c r="B28" s="112" t="str">
        <f t="shared" si="0"/>
        <v>86790-BZ321</v>
      </c>
      <c r="C28" s="221" t="s">
        <v>105</v>
      </c>
      <c r="D28" s="61" t="s">
        <v>398</v>
      </c>
      <c r="E28" s="61" t="s">
        <v>399</v>
      </c>
      <c r="F28" s="61" t="s">
        <v>88</v>
      </c>
      <c r="G28" s="61"/>
      <c r="H28" s="55"/>
      <c r="I28" s="55"/>
      <c r="J28" s="59">
        <f>VLOOKUP($B28,Analyze!$ES$25:$EW$45,2,0)</f>
        <v>1335</v>
      </c>
      <c r="K28" s="59">
        <f>VLOOKUP($B28,Analyze!$ES$25:$EW$45,3,0)</f>
        <v>1767</v>
      </c>
      <c r="L28" s="59">
        <f>VLOOKUP($B28,Analyze!$ES$25:$EW$45,4,0)</f>
        <v>1200</v>
      </c>
      <c r="M28" s="59">
        <f>VLOOKUP($B28,Analyze!$ES$25:$EW$45,5,0)</f>
        <v>1425</v>
      </c>
      <c r="O28" s="59">
        <v>1335</v>
      </c>
      <c r="P28" s="59">
        <v>1277</v>
      </c>
      <c r="Q28" s="59">
        <v>1277</v>
      </c>
      <c r="R28" s="81">
        <f t="shared" si="9"/>
        <v>1021.6</v>
      </c>
      <c r="T28" s="55">
        <f t="shared" si="3"/>
        <v>0</v>
      </c>
      <c r="U28" s="55">
        <f t="shared" si="4"/>
        <v>490</v>
      </c>
      <c r="V28" s="55">
        <f t="shared" si="5"/>
        <v>-77</v>
      </c>
      <c r="W28" s="81">
        <f>M28-R28</f>
        <v>403.4</v>
      </c>
      <c r="X28" s="40"/>
      <c r="Y28" s="84">
        <f t="shared" si="6"/>
        <v>0</v>
      </c>
      <c r="Z28" s="84">
        <f t="shared" si="7"/>
        <v>0.3837118245888802</v>
      </c>
      <c r="AA28" s="84">
        <f t="shared" si="8"/>
        <v>-6.0297572435395456E-2</v>
      </c>
      <c r="AB28" s="232">
        <f>W28/R28</f>
        <v>0.39487079091620986</v>
      </c>
    </row>
    <row r="29" spans="1:28" ht="13.5" customHeight="1" x14ac:dyDescent="0.3">
      <c r="A29" s="73" t="s">
        <v>116</v>
      </c>
      <c r="B29" s="73" t="s">
        <v>116</v>
      </c>
      <c r="C29" s="198" t="s">
        <v>115</v>
      </c>
      <c r="D29" s="105"/>
      <c r="E29" s="105" t="s">
        <v>401</v>
      </c>
      <c r="F29" s="61" t="s">
        <v>88</v>
      </c>
      <c r="G29" s="61"/>
      <c r="H29" s="55"/>
      <c r="I29" s="55"/>
      <c r="J29" s="59">
        <f>VLOOKUP($B29,Analyze!$ES$25:$EW$45,2,0)</f>
        <v>873</v>
      </c>
      <c r="K29" s="59">
        <f>VLOOKUP($B29,Analyze!$ES$25:$EW$45,3,0)</f>
        <v>1134</v>
      </c>
      <c r="L29" s="59">
        <f>VLOOKUP($B29,Analyze!$ES$25:$EW$45,4,0)</f>
        <v>1356</v>
      </c>
      <c r="M29" s="59">
        <f>VLOOKUP($B29,Analyze!$ES$25:$EW$45,5,0)</f>
        <v>1468</v>
      </c>
      <c r="O29" s="59">
        <v>883</v>
      </c>
      <c r="P29" s="59">
        <v>1727</v>
      </c>
      <c r="Q29" s="59">
        <v>1877</v>
      </c>
      <c r="R29" s="81">
        <f t="shared" si="9"/>
        <v>1501.6000000000001</v>
      </c>
      <c r="T29" s="55">
        <f t="shared" si="3"/>
        <v>-10</v>
      </c>
      <c r="U29" s="55">
        <f t="shared" si="4"/>
        <v>-593</v>
      </c>
      <c r="V29" s="55">
        <f t="shared" si="5"/>
        <v>-521</v>
      </c>
      <c r="W29" s="64"/>
      <c r="X29" s="40"/>
      <c r="Y29" s="84">
        <f t="shared" si="6"/>
        <v>-1.1325028312570781E-2</v>
      </c>
      <c r="Z29" s="84">
        <f t="shared" si="7"/>
        <v>-0.34337000579038796</v>
      </c>
      <c r="AA29" s="84">
        <f t="shared" si="8"/>
        <v>-0.2775705913692062</v>
      </c>
      <c r="AB29" s="231"/>
    </row>
    <row r="30" spans="1:28" ht="13.5" customHeight="1" x14ac:dyDescent="0.3">
      <c r="A30" s="73" t="s">
        <v>117</v>
      </c>
      <c r="B30" s="73" t="s">
        <v>117</v>
      </c>
      <c r="C30" s="198" t="s">
        <v>117</v>
      </c>
      <c r="D30" s="105" t="s">
        <v>402</v>
      </c>
      <c r="E30" s="105" t="s">
        <v>165</v>
      </c>
      <c r="F30" s="61" t="s">
        <v>64</v>
      </c>
      <c r="G30" s="61"/>
      <c r="H30" s="55"/>
      <c r="I30" s="55"/>
      <c r="J30" s="59">
        <f>VLOOKUP($B30,Analyze!$ES$25:$EW$45,2,0)</f>
        <v>1910</v>
      </c>
      <c r="K30" s="59">
        <f>VLOOKUP($B30,Analyze!$ES$25:$EW$45,3,0)</f>
        <v>5903</v>
      </c>
      <c r="L30" s="59">
        <f>VLOOKUP($B30,Analyze!$ES$25:$EW$45,4,0)</f>
        <v>5385</v>
      </c>
      <c r="M30" s="59">
        <f>VLOOKUP($B30,Analyze!$ES$25:$EW$45,5,0)</f>
        <v>5966</v>
      </c>
      <c r="O30" s="59">
        <v>1941</v>
      </c>
      <c r="P30" s="59">
        <v>5233</v>
      </c>
      <c r="Q30" s="59">
        <v>4885</v>
      </c>
      <c r="R30" s="81">
        <f t="shared" si="9"/>
        <v>3908</v>
      </c>
      <c r="T30" s="55">
        <f t="shared" si="3"/>
        <v>-31</v>
      </c>
      <c r="U30" s="55">
        <f t="shared" si="4"/>
        <v>670</v>
      </c>
      <c r="V30" s="55">
        <f t="shared" si="5"/>
        <v>500</v>
      </c>
      <c r="W30" s="64"/>
      <c r="X30" s="40"/>
      <c r="Y30" s="84">
        <f t="shared" si="6"/>
        <v>-1.5971148892323546E-2</v>
      </c>
      <c r="Z30" s="84">
        <f t="shared" si="7"/>
        <v>0.12803363271545959</v>
      </c>
      <c r="AA30" s="84">
        <f t="shared" si="8"/>
        <v>0.10235414534288639</v>
      </c>
      <c r="AB30" s="231"/>
    </row>
    <row r="31" spans="1:28" ht="13.5" customHeight="1" x14ac:dyDescent="0.3">
      <c r="A31" s="73" t="s">
        <v>118</v>
      </c>
      <c r="B31" s="73" t="s">
        <v>118</v>
      </c>
      <c r="C31" s="198" t="s">
        <v>118</v>
      </c>
      <c r="D31" s="105" t="s">
        <v>402</v>
      </c>
      <c r="E31" s="105" t="s">
        <v>165</v>
      </c>
      <c r="F31" s="61" t="s">
        <v>64</v>
      </c>
      <c r="G31" s="61"/>
      <c r="H31" s="55"/>
      <c r="I31" s="55"/>
      <c r="J31" s="59">
        <f>VLOOKUP($B31,Analyze!$ES$25:$EW$45,2,0)</f>
        <v>1910</v>
      </c>
      <c r="K31" s="59">
        <f>VLOOKUP($B31,Analyze!$ES$25:$EW$45,3,0)</f>
        <v>5915</v>
      </c>
      <c r="L31" s="59">
        <f>VLOOKUP($B31,Analyze!$ES$25:$EW$45,4,0)</f>
        <v>5397</v>
      </c>
      <c r="M31" s="59">
        <f>VLOOKUP($B31,Analyze!$ES$25:$EW$45,5,0)</f>
        <v>6002</v>
      </c>
      <c r="O31" s="59">
        <v>1941</v>
      </c>
      <c r="P31" s="59">
        <v>5293</v>
      </c>
      <c r="Q31" s="59">
        <v>4825</v>
      </c>
      <c r="R31" s="81">
        <f t="shared" si="9"/>
        <v>3860</v>
      </c>
      <c r="T31" s="55">
        <f t="shared" si="3"/>
        <v>-31</v>
      </c>
      <c r="U31" s="55">
        <f t="shared" si="4"/>
        <v>622</v>
      </c>
      <c r="V31" s="55">
        <f t="shared" si="5"/>
        <v>572</v>
      </c>
      <c r="W31" s="64"/>
      <c r="X31" s="40"/>
      <c r="Y31" s="84">
        <f t="shared" si="6"/>
        <v>-1.5971148892323546E-2</v>
      </c>
      <c r="Z31" s="84">
        <f t="shared" si="7"/>
        <v>0.11751369733610428</v>
      </c>
      <c r="AA31" s="84">
        <f t="shared" si="8"/>
        <v>0.11854922279792746</v>
      </c>
      <c r="AB31" s="231"/>
    </row>
    <row r="32" spans="1:28" ht="15" customHeight="1" x14ac:dyDescent="0.3">
      <c r="A32" s="46"/>
      <c r="B32" s="46"/>
      <c r="C32" s="46"/>
      <c r="E32" s="105"/>
      <c r="F32" s="55"/>
      <c r="X32" s="40"/>
    </row>
    <row r="33" spans="1:24" ht="15" customHeight="1" x14ac:dyDescent="0.3">
      <c r="A33" s="46"/>
      <c r="B33" s="46"/>
      <c r="C33" s="46"/>
      <c r="E33" s="105"/>
      <c r="F33" s="55"/>
      <c r="X33" s="40"/>
    </row>
    <row r="34" spans="1:24" ht="15" customHeight="1" thickBot="1" x14ac:dyDescent="0.35">
      <c r="X34" s="40"/>
    </row>
    <row r="35" spans="1:24" ht="15" customHeight="1" thickBot="1" x14ac:dyDescent="0.35">
      <c r="A35" s="17" t="s">
        <v>346</v>
      </c>
      <c r="B35" s="17"/>
      <c r="C35" s="17"/>
      <c r="D35" s="17"/>
      <c r="E35" s="17"/>
      <c r="F35" s="17"/>
      <c r="G35" s="17"/>
      <c r="H35" s="17"/>
      <c r="I35" s="17"/>
      <c r="J35" s="18">
        <f>SUM(J5:J32)</f>
        <v>67252</v>
      </c>
      <c r="K35" s="18">
        <f>SUM(K5:K32)</f>
        <v>79486</v>
      </c>
      <c r="L35" s="18">
        <f>SUM(L5:L32)</f>
        <v>66744</v>
      </c>
      <c r="M35" s="18">
        <f>SUM(M5:M32)</f>
        <v>60180</v>
      </c>
      <c r="N35" s="90">
        <f>SUM(J35:M35)</f>
        <v>273662</v>
      </c>
      <c r="O35" s="18">
        <f>SUM(O5:O32)</f>
        <v>67859</v>
      </c>
      <c r="P35" s="18">
        <f>SUM(P5:P32)</f>
        <v>72308</v>
      </c>
      <c r="Q35" s="18">
        <f>SUM(Q5:Q32)</f>
        <v>68840</v>
      </c>
      <c r="R35" s="18">
        <f>SUM(R5:R32)</f>
        <v>55072</v>
      </c>
      <c r="S35" s="16"/>
    </row>
    <row r="36" spans="1:24" ht="15" customHeight="1" thickTop="1" x14ac:dyDescent="0.3">
      <c r="K36" s="6"/>
    </row>
    <row r="37" spans="1:24" ht="15" customHeight="1" x14ac:dyDescent="0.3">
      <c r="O37" s="120">
        <f>(J35-O35)/J35</f>
        <v>-9.0257538809254741E-3</v>
      </c>
      <c r="P37" s="120">
        <f>(K35-P35)/K35</f>
        <v>9.0305210980550041E-2</v>
      </c>
      <c r="Q37" s="120">
        <f>(L35-Q35)/L35</f>
        <v>-3.1403571856646294E-2</v>
      </c>
      <c r="S37" s="40"/>
    </row>
    <row r="39" spans="1:24" x14ac:dyDescent="0.3">
      <c r="O39" s="6">
        <f>J35-O35</f>
        <v>-607</v>
      </c>
      <c r="P39" s="6">
        <f>K35-P35</f>
        <v>7178</v>
      </c>
      <c r="Q39" s="6">
        <f>L35-Q35</f>
        <v>-2096</v>
      </c>
    </row>
    <row r="41" spans="1:24" ht="14.4" customHeight="1" x14ac:dyDescent="0.3">
      <c r="B41" s="15"/>
      <c r="D41" s="15"/>
      <c r="E41" s="15"/>
      <c r="I41" s="15"/>
    </row>
    <row r="42" spans="1:24" ht="18" customHeight="1" x14ac:dyDescent="0.35">
      <c r="B42" s="135" t="s">
        <v>371</v>
      </c>
      <c r="D42" s="162" t="s">
        <v>373</v>
      </c>
      <c r="E42" s="162" t="s">
        <v>374</v>
      </c>
      <c r="I42" s="15"/>
    </row>
    <row r="43" spans="1:24" ht="14.4" customHeight="1" x14ac:dyDescent="0.3">
      <c r="B43" s="136" t="s">
        <v>86</v>
      </c>
      <c r="D43" s="55">
        <v>252</v>
      </c>
      <c r="E43" s="55">
        <v>1494</v>
      </c>
      <c r="I43" s="15"/>
      <c r="J43" s="142"/>
      <c r="K43" s="142"/>
      <c r="L43" s="142"/>
      <c r="M43" s="142"/>
    </row>
    <row r="44" spans="1:24" ht="14.4" customHeight="1" x14ac:dyDescent="0.3">
      <c r="B44" s="136" t="s">
        <v>403</v>
      </c>
      <c r="D44" s="55">
        <v>870</v>
      </c>
      <c r="E44" s="55">
        <v>4295</v>
      </c>
      <c r="I44" s="15"/>
    </row>
    <row r="45" spans="1:24" ht="14.4" customHeight="1" x14ac:dyDescent="0.3">
      <c r="B45" s="153" t="s">
        <v>390</v>
      </c>
      <c r="D45" s="55">
        <v>800</v>
      </c>
      <c r="E45" s="55">
        <v>2549</v>
      </c>
      <c r="I45" s="15"/>
    </row>
    <row r="46" spans="1:24" ht="14.4" customHeight="1" x14ac:dyDescent="0.3">
      <c r="B46" s="136" t="s">
        <v>404</v>
      </c>
      <c r="D46" s="61">
        <v>1122</v>
      </c>
      <c r="E46" s="55">
        <v>6345</v>
      </c>
      <c r="I46" s="15"/>
    </row>
    <row r="47" spans="1:24" ht="14.4" customHeight="1" x14ac:dyDescent="0.3">
      <c r="B47" s="15"/>
      <c r="D47" s="15"/>
      <c r="E47" s="15"/>
      <c r="I47" s="15"/>
    </row>
    <row r="48" spans="1:24" ht="14.4" customHeight="1" x14ac:dyDescent="0.3">
      <c r="B48" s="15"/>
      <c r="D48" s="15"/>
      <c r="E48" s="15"/>
      <c r="I48" s="15"/>
    </row>
    <row r="49" spans="1:9" ht="14.4" customHeight="1" x14ac:dyDescent="0.3">
      <c r="A49" s="15"/>
      <c r="B49" s="15"/>
      <c r="C49" s="15"/>
      <c r="D49" s="15"/>
      <c r="E49" s="15"/>
      <c r="F49" s="15"/>
      <c r="G49" s="15"/>
      <c r="H49" s="15"/>
      <c r="I49" s="15"/>
    </row>
    <row r="50" spans="1:9" ht="14.4" customHeight="1" x14ac:dyDescent="0.3">
      <c r="A50" s="15"/>
      <c r="B50" s="15"/>
      <c r="C50" s="15"/>
      <c r="D50" s="15"/>
      <c r="E50" s="15"/>
      <c r="F50" s="15"/>
      <c r="G50" s="15"/>
      <c r="H50" s="15"/>
      <c r="I50" s="15"/>
    </row>
    <row r="51" spans="1:9" ht="14.4" customHeight="1" x14ac:dyDescent="0.3">
      <c r="A51" s="15"/>
      <c r="B51" s="15"/>
      <c r="C51" s="15"/>
      <c r="D51" s="15"/>
      <c r="E51" s="15"/>
      <c r="F51" s="15"/>
      <c r="G51" s="15"/>
      <c r="H51" s="15"/>
      <c r="I51" s="15"/>
    </row>
    <row r="52" spans="1:9" ht="14.4" customHeight="1" x14ac:dyDescent="0.3">
      <c r="A52" s="15"/>
      <c r="B52" s="15"/>
      <c r="C52" s="15"/>
      <c r="D52" s="15"/>
      <c r="E52" s="15"/>
      <c r="F52" s="15"/>
      <c r="G52" s="15"/>
      <c r="H52" s="15"/>
      <c r="I52" s="15"/>
    </row>
    <row r="54" spans="1:9" ht="14.4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</row>
    <row r="57" spans="1:9" ht="14.4" customHeight="1" x14ac:dyDescent="0.3">
      <c r="A57" s="15"/>
      <c r="B57" s="15"/>
      <c r="C57" s="15"/>
      <c r="D57" s="15"/>
      <c r="E57" s="15"/>
      <c r="F57" s="15"/>
      <c r="G57" s="15"/>
      <c r="H57" s="15"/>
      <c r="I57" s="15"/>
    </row>
    <row r="58" spans="1:9" ht="14.4" customHeight="1" x14ac:dyDescent="0.3">
      <c r="A58" s="15"/>
      <c r="B58" s="15"/>
      <c r="C58" s="15"/>
      <c r="D58" s="15"/>
      <c r="E58" s="15"/>
      <c r="F58" s="15"/>
      <c r="G58" s="15"/>
      <c r="H58" s="15"/>
      <c r="I58" s="15"/>
    </row>
    <row r="59" spans="1:9" ht="14.4" customHeight="1" x14ac:dyDescent="0.3">
      <c r="A59" s="15"/>
      <c r="B59" s="15"/>
      <c r="C59" s="15"/>
      <c r="D59" s="15"/>
      <c r="E59" s="15"/>
      <c r="F59" s="15"/>
      <c r="G59" s="15"/>
      <c r="H59" s="15"/>
      <c r="I59" s="15"/>
    </row>
    <row r="60" spans="1:9" ht="14.4" customHeight="1" x14ac:dyDescent="0.3">
      <c r="A60" s="15"/>
      <c r="B60" s="15"/>
      <c r="C60" s="15"/>
      <c r="D60" s="15"/>
      <c r="E60" s="15"/>
      <c r="F60" s="15"/>
      <c r="G60" s="15"/>
      <c r="H60" s="15"/>
      <c r="I60" s="15"/>
    </row>
  </sheetData>
  <autoFilter ref="A4:AC33" xr:uid="{00000000-0009-0000-0000-000007000000}"/>
  <conditionalFormatting sqref="B5:B29 D5:E5 D8:E11 D13:E20 D22:E22 D24:E31">
    <cfRule type="duplicateValues" dxfId="23" priority="550"/>
  </conditionalFormatting>
  <conditionalFormatting sqref="B5:B29">
    <cfRule type="duplicateValues" dxfId="22" priority="548"/>
    <cfRule type="duplicateValues" dxfId="21" priority="549"/>
  </conditionalFormatting>
  <conditionalFormatting sqref="D6:E7">
    <cfRule type="duplicateValues" dxfId="20" priority="15"/>
  </conditionalFormatting>
  <conditionalFormatting sqref="D12:E12">
    <cfRule type="duplicateValues" dxfId="19" priority="14"/>
  </conditionalFormatting>
  <conditionalFormatting sqref="D21:E21">
    <cfRule type="duplicateValues" dxfId="18" priority="13"/>
  </conditionalFormatting>
  <conditionalFormatting sqref="D23:E23">
    <cfRule type="duplicateValues" dxfId="17" priority="12"/>
  </conditionalFormatting>
  <conditionalFormatting sqref="E32:E33">
    <cfRule type="duplicateValues" dxfId="16" priority="1"/>
  </conditionalFormatting>
  <conditionalFormatting sqref="Y5:AA31 AB6:AB7">
    <cfRule type="cellIs" dxfId="15" priority="16" operator="lessThan">
      <formula>-0.1</formula>
    </cfRule>
    <cfRule type="cellIs" dxfId="14" priority="17" operator="greaterThan">
      <formula>0.1</formula>
    </cfRule>
  </conditionalFormatting>
  <conditionalFormatting sqref="Y5:AB31">
    <cfRule type="cellIs" dxfId="13" priority="20" operator="lessThan">
      <formula>-0.2</formula>
    </cfRule>
    <cfRule type="cellIs" dxfId="12" priority="21" operator="lessThan">
      <formula>-0.15</formula>
    </cfRule>
  </conditionalFormatting>
  <conditionalFormatting sqref="AB12">
    <cfRule type="cellIs" dxfId="11" priority="10" operator="lessThan">
      <formula>-0.1</formula>
    </cfRule>
    <cfRule type="cellIs" dxfId="10" priority="11" operator="greaterThan">
      <formula>0.1</formula>
    </cfRule>
  </conditionalFormatting>
  <conditionalFormatting sqref="AB14:AB26">
    <cfRule type="cellIs" dxfId="9" priority="4" operator="lessThan">
      <formula>-0.1</formula>
    </cfRule>
    <cfRule type="cellIs" dxfId="8" priority="5" operator="greaterThan">
      <formula>0.1</formula>
    </cfRule>
  </conditionalFormatting>
  <conditionalFormatting sqref="AB28">
    <cfRule type="cellIs" dxfId="7" priority="2" operator="lessThan">
      <formula>-0.1</formula>
    </cfRule>
    <cfRule type="cellIs" dxfId="6" priority="3" operator="greaterThan">
      <formula>0.1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2:L14"/>
  <sheetViews>
    <sheetView workbookViewId="0">
      <selection activeCell="P8" sqref="P8"/>
    </sheetView>
  </sheetViews>
  <sheetFormatPr defaultRowHeight="14.4" x14ac:dyDescent="0.3"/>
  <cols>
    <col min="4" max="4" width="13.33203125" customWidth="1"/>
    <col min="5" max="5" width="11.5546875" customWidth="1"/>
    <col min="6" max="6" width="15" bestFit="1" customWidth="1"/>
    <col min="7" max="7" width="11.33203125" customWidth="1"/>
    <col min="8" max="8" width="12.33203125" bestFit="1" customWidth="1"/>
    <col min="9" max="9" width="10.33203125" bestFit="1" customWidth="1"/>
    <col min="10" max="12" width="9.33203125" bestFit="1" customWidth="1"/>
  </cols>
  <sheetData>
    <row r="2" spans="4:12" x14ac:dyDescent="0.3">
      <c r="D2" t="s">
        <v>405</v>
      </c>
    </row>
    <row r="3" spans="4:12" x14ac:dyDescent="0.3">
      <c r="D3" s="54" t="s">
        <v>370</v>
      </c>
      <c r="E3" s="82"/>
      <c r="F3" s="82"/>
      <c r="G3" s="82"/>
      <c r="H3" s="54" t="s">
        <v>372</v>
      </c>
      <c r="I3" s="54" t="s">
        <v>406</v>
      </c>
      <c r="J3" s="54" t="s">
        <v>407</v>
      </c>
      <c r="K3" s="54" t="s">
        <v>408</v>
      </c>
      <c r="L3" s="54" t="s">
        <v>409</v>
      </c>
    </row>
    <row r="4" spans="4:12" x14ac:dyDescent="0.3">
      <c r="D4" s="61" t="s">
        <v>53</v>
      </c>
      <c r="E4" s="61" t="s">
        <v>53</v>
      </c>
      <c r="F4" s="61" t="s">
        <v>376</v>
      </c>
      <c r="G4" s="61" t="s">
        <v>377</v>
      </c>
      <c r="H4" s="61" t="s">
        <v>64</v>
      </c>
      <c r="I4" s="59">
        <v>22128</v>
      </c>
      <c r="J4" s="59">
        <v>10950</v>
      </c>
      <c r="K4" s="59">
        <v>6260</v>
      </c>
      <c r="L4" s="59">
        <v>4580</v>
      </c>
    </row>
    <row r="6" spans="4:12" x14ac:dyDescent="0.3">
      <c r="F6" t="s">
        <v>410</v>
      </c>
    </row>
    <row r="7" spans="4:12" ht="34.200000000000003" customHeight="1" x14ac:dyDescent="0.3">
      <c r="F7" s="123" t="s">
        <v>411</v>
      </c>
      <c r="G7" s="123" t="s">
        <v>412</v>
      </c>
      <c r="H7" s="123" t="s">
        <v>4</v>
      </c>
      <c r="I7" s="123" t="s">
        <v>413</v>
      </c>
      <c r="J7" s="123" t="s">
        <v>414</v>
      </c>
      <c r="K7" s="123" t="s">
        <v>415</v>
      </c>
      <c r="L7" s="123" t="s">
        <v>416</v>
      </c>
    </row>
    <row r="8" spans="4:12" x14ac:dyDescent="0.3">
      <c r="F8" s="121" t="s">
        <v>417</v>
      </c>
      <c r="G8" s="121" t="s">
        <v>196</v>
      </c>
      <c r="H8" s="121" t="s">
        <v>418</v>
      </c>
      <c r="I8" s="124">
        <v>6300</v>
      </c>
      <c r="J8" s="124">
        <v>0</v>
      </c>
      <c r="K8" s="124">
        <v>0</v>
      </c>
      <c r="L8" s="124">
        <v>0</v>
      </c>
    </row>
    <row r="9" spans="4:12" x14ac:dyDescent="0.3">
      <c r="F9" s="121" t="s">
        <v>419</v>
      </c>
      <c r="G9" s="121" t="s">
        <v>196</v>
      </c>
      <c r="H9" s="121" t="s">
        <v>418</v>
      </c>
      <c r="I9" s="124">
        <v>5140</v>
      </c>
      <c r="J9" s="124">
        <v>6400</v>
      </c>
      <c r="K9" s="124">
        <v>5880</v>
      </c>
      <c r="L9" s="124">
        <v>4360</v>
      </c>
    </row>
    <row r="10" spans="4:12" x14ac:dyDescent="0.3">
      <c r="F10" s="121" t="s">
        <v>420</v>
      </c>
      <c r="G10" s="121" t="s">
        <v>196</v>
      </c>
      <c r="H10" s="121" t="s">
        <v>418</v>
      </c>
      <c r="I10" s="124">
        <v>100</v>
      </c>
      <c r="J10" s="124">
        <v>90</v>
      </c>
      <c r="K10" s="124">
        <v>0</v>
      </c>
      <c r="L10" s="124">
        <v>0</v>
      </c>
    </row>
    <row r="11" spans="4:12" x14ac:dyDescent="0.3">
      <c r="F11" s="121" t="s">
        <v>421</v>
      </c>
      <c r="G11" s="121" t="s">
        <v>196</v>
      </c>
      <c r="H11" s="121" t="s">
        <v>418</v>
      </c>
      <c r="I11" s="124">
        <v>250</v>
      </c>
      <c r="J11" s="124">
        <v>380</v>
      </c>
      <c r="K11" s="124">
        <v>380</v>
      </c>
      <c r="L11" s="124">
        <v>220</v>
      </c>
    </row>
    <row r="12" spans="4:12" x14ac:dyDescent="0.3">
      <c r="H12" s="122" t="s">
        <v>422</v>
      </c>
      <c r="I12" s="125">
        <f>SUM(I8:I11)</f>
        <v>11790</v>
      </c>
      <c r="J12" s="125">
        <f>SUM(J8:J11)</f>
        <v>6870</v>
      </c>
      <c r="K12" s="125">
        <f>SUM(K8:K11)</f>
        <v>6260</v>
      </c>
      <c r="L12" s="125">
        <f>SUM(L8:L11)</f>
        <v>4580</v>
      </c>
    </row>
    <row r="14" spans="4:12" x14ac:dyDescent="0.3">
      <c r="H14" s="121" t="s">
        <v>423</v>
      </c>
      <c r="I14" s="126">
        <f>I12-I4</f>
        <v>-10338</v>
      </c>
      <c r="J14" s="126">
        <f>J12-J4</f>
        <v>-4080</v>
      </c>
      <c r="K14" s="126">
        <f>K12-K4</f>
        <v>0</v>
      </c>
      <c r="L14" s="126">
        <f>L12-L4</f>
        <v>0</v>
      </c>
    </row>
  </sheetData>
  <conditionalFormatting sqref="E4">
    <cfRule type="duplicateValues" dxfId="5" priority="1"/>
    <cfRule type="duplicateValues" dxfId="4" priority="2"/>
  </conditionalFormatting>
  <conditionalFormatting sqref="E4:G4">
    <cfRule type="duplicateValues" dxfId="3" priority="3"/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E25"/>
  <sheetViews>
    <sheetView workbookViewId="0">
      <selection activeCell="N11" sqref="N11"/>
    </sheetView>
  </sheetViews>
  <sheetFormatPr defaultRowHeight="14.4" x14ac:dyDescent="0.3"/>
  <cols>
    <col min="1" max="1" width="14.44140625" bestFit="1" customWidth="1"/>
    <col min="2" max="2" width="8.77734375" bestFit="1" customWidth="1"/>
    <col min="3" max="5" width="10.77734375" bestFit="1" customWidth="1"/>
  </cols>
  <sheetData>
    <row r="3" spans="1:5" x14ac:dyDescent="0.3">
      <c r="B3" s="14" t="s">
        <v>471</v>
      </c>
    </row>
    <row r="4" spans="1:5" x14ac:dyDescent="0.3">
      <c r="A4" s="14" t="s">
        <v>424</v>
      </c>
      <c r="B4" t="s">
        <v>340</v>
      </c>
      <c r="C4" t="s">
        <v>341</v>
      </c>
      <c r="D4" t="s">
        <v>342</v>
      </c>
      <c r="E4" t="s">
        <v>343</v>
      </c>
    </row>
    <row r="5" spans="1:5" x14ac:dyDescent="0.3">
      <c r="A5" s="15" t="s">
        <v>149</v>
      </c>
      <c r="B5" s="95">
        <v>9673</v>
      </c>
      <c r="C5" s="95">
        <v>12094</v>
      </c>
      <c r="D5" s="95">
        <v>8906</v>
      </c>
      <c r="E5" s="95">
        <v>3950</v>
      </c>
    </row>
    <row r="6" spans="1:5" x14ac:dyDescent="0.3">
      <c r="A6" s="15" t="s">
        <v>22</v>
      </c>
      <c r="B6" s="95">
        <v>975</v>
      </c>
      <c r="C6" s="95">
        <v>1237</v>
      </c>
      <c r="D6" s="95">
        <v>1084</v>
      </c>
      <c r="E6" s="95">
        <v>451</v>
      </c>
    </row>
    <row r="7" spans="1:5" x14ac:dyDescent="0.3">
      <c r="A7" s="15" t="s">
        <v>23</v>
      </c>
      <c r="B7" s="95">
        <v>8051</v>
      </c>
      <c r="C7" s="95">
        <v>8078</v>
      </c>
      <c r="D7" s="95">
        <v>5797</v>
      </c>
      <c r="E7" s="95">
        <v>5615</v>
      </c>
    </row>
    <row r="8" spans="1:5" x14ac:dyDescent="0.3">
      <c r="A8" s="15" t="s">
        <v>211</v>
      </c>
      <c r="B8" s="95">
        <v>240</v>
      </c>
      <c r="C8" s="95">
        <v>360</v>
      </c>
      <c r="D8" s="95">
        <v>200</v>
      </c>
      <c r="E8" s="95">
        <v>20</v>
      </c>
    </row>
    <row r="9" spans="1:5" x14ac:dyDescent="0.3">
      <c r="A9" s="15" t="s">
        <v>160</v>
      </c>
      <c r="B9" s="95">
        <v>1946</v>
      </c>
      <c r="C9" s="95">
        <v>2404</v>
      </c>
      <c r="D9" s="95">
        <v>1451</v>
      </c>
      <c r="E9" s="95">
        <v>912</v>
      </c>
    </row>
    <row r="10" spans="1:5" x14ac:dyDescent="0.3">
      <c r="A10" s="15" t="s">
        <v>162</v>
      </c>
      <c r="B10" s="95">
        <v>1026</v>
      </c>
      <c r="C10" s="95">
        <v>1077</v>
      </c>
      <c r="D10" s="95">
        <v>1019</v>
      </c>
      <c r="E10" s="95">
        <v>230</v>
      </c>
    </row>
    <row r="11" spans="1:5" x14ac:dyDescent="0.3">
      <c r="A11" s="15" t="s">
        <v>183</v>
      </c>
      <c r="B11" s="95">
        <v>582</v>
      </c>
      <c r="C11" s="95">
        <v>388</v>
      </c>
      <c r="D11" s="95">
        <v>386</v>
      </c>
      <c r="E11" s="95">
        <v>367</v>
      </c>
    </row>
    <row r="12" spans="1:5" x14ac:dyDescent="0.3">
      <c r="A12" s="15" t="s">
        <v>185</v>
      </c>
      <c r="B12" s="95">
        <v>4745</v>
      </c>
      <c r="C12" s="95">
        <v>5243</v>
      </c>
      <c r="D12" s="95">
        <v>3468</v>
      </c>
      <c r="E12" s="95">
        <v>3284</v>
      </c>
    </row>
    <row r="13" spans="1:5" x14ac:dyDescent="0.3">
      <c r="A13" s="15" t="s">
        <v>220</v>
      </c>
      <c r="B13" s="95">
        <v>3020</v>
      </c>
      <c r="C13" s="95">
        <v>2820</v>
      </c>
      <c r="D13" s="95">
        <v>2880</v>
      </c>
      <c r="E13" s="95">
        <v>2620</v>
      </c>
    </row>
    <row r="14" spans="1:5" x14ac:dyDescent="0.3">
      <c r="A14" s="15" t="s">
        <v>199</v>
      </c>
      <c r="B14" s="95">
        <v>1160</v>
      </c>
      <c r="C14" s="95">
        <v>2100</v>
      </c>
      <c r="D14" s="95">
        <v>2040</v>
      </c>
      <c r="E14" s="95">
        <v>1040</v>
      </c>
    </row>
    <row r="15" spans="1:5" x14ac:dyDescent="0.3">
      <c r="A15" s="15" t="s">
        <v>187</v>
      </c>
      <c r="B15" s="95">
        <v>1082</v>
      </c>
      <c r="C15" s="95">
        <v>1309</v>
      </c>
      <c r="D15" s="95">
        <v>822</v>
      </c>
      <c r="E15" s="95">
        <v>288</v>
      </c>
    </row>
    <row r="16" spans="1:5" x14ac:dyDescent="0.3">
      <c r="A16" s="15" t="s">
        <v>166</v>
      </c>
      <c r="B16" s="95">
        <v>1910</v>
      </c>
      <c r="C16" s="95">
        <v>5903</v>
      </c>
      <c r="D16" s="95">
        <v>5385</v>
      </c>
      <c r="E16" s="95">
        <v>5966</v>
      </c>
    </row>
    <row r="17" spans="1:5" x14ac:dyDescent="0.3">
      <c r="A17" s="15" t="s">
        <v>168</v>
      </c>
      <c r="B17" s="95">
        <v>1910</v>
      </c>
      <c r="C17" s="95">
        <v>5915</v>
      </c>
      <c r="D17" s="95">
        <v>5397</v>
      </c>
      <c r="E17" s="95">
        <v>6002</v>
      </c>
    </row>
    <row r="18" spans="1:5" x14ac:dyDescent="0.3">
      <c r="A18" s="15" t="s">
        <v>250</v>
      </c>
      <c r="B18" s="95">
        <v>5651</v>
      </c>
      <c r="C18" s="95">
        <v>7044</v>
      </c>
      <c r="D18" s="95">
        <v>5224</v>
      </c>
      <c r="E18" s="95">
        <v>7912</v>
      </c>
    </row>
    <row r="19" spans="1:5" x14ac:dyDescent="0.3">
      <c r="A19" s="15" t="s">
        <v>255</v>
      </c>
      <c r="B19" s="95">
        <v>772</v>
      </c>
      <c r="C19" s="95">
        <v>1388</v>
      </c>
      <c r="D19" s="95">
        <v>733</v>
      </c>
      <c r="E19" s="95">
        <v>1353</v>
      </c>
    </row>
    <row r="20" spans="1:5" x14ac:dyDescent="0.3">
      <c r="A20" s="15" t="s">
        <v>243</v>
      </c>
      <c r="B20" s="95">
        <v>2088</v>
      </c>
      <c r="C20" s="95">
        <v>1980</v>
      </c>
      <c r="D20" s="95">
        <v>1800</v>
      </c>
      <c r="E20" s="95">
        <v>1836</v>
      </c>
    </row>
    <row r="21" spans="1:5" x14ac:dyDescent="0.3">
      <c r="A21" s="15" t="s">
        <v>246</v>
      </c>
      <c r="B21" s="95">
        <v>8210</v>
      </c>
      <c r="C21" s="95">
        <v>5430</v>
      </c>
      <c r="D21" s="95">
        <v>5520</v>
      </c>
      <c r="E21" s="95">
        <v>5170</v>
      </c>
    </row>
    <row r="22" spans="1:5" x14ac:dyDescent="0.3">
      <c r="A22" s="15" t="s">
        <v>224</v>
      </c>
      <c r="B22" s="95">
        <v>12003</v>
      </c>
      <c r="C22" s="95">
        <v>11815</v>
      </c>
      <c r="D22" s="95">
        <v>12076</v>
      </c>
      <c r="E22" s="95">
        <v>10271</v>
      </c>
    </row>
    <row r="23" spans="1:5" x14ac:dyDescent="0.3">
      <c r="A23" s="15" t="s">
        <v>262</v>
      </c>
      <c r="B23" s="95">
        <v>1335</v>
      </c>
      <c r="C23" s="95">
        <v>1767</v>
      </c>
      <c r="D23" s="95">
        <v>1200</v>
      </c>
      <c r="E23" s="95">
        <v>1425</v>
      </c>
    </row>
    <row r="24" spans="1:5" x14ac:dyDescent="0.3">
      <c r="A24" s="15" t="s">
        <v>264</v>
      </c>
      <c r="B24" s="95">
        <v>873</v>
      </c>
      <c r="C24" s="95">
        <v>1134</v>
      </c>
      <c r="D24" s="95">
        <v>1356</v>
      </c>
      <c r="E24" s="95">
        <v>1468</v>
      </c>
    </row>
    <row r="25" spans="1:5" x14ac:dyDescent="0.3">
      <c r="A25" s="15" t="s">
        <v>346</v>
      </c>
      <c r="B25" s="95">
        <v>67252</v>
      </c>
      <c r="C25" s="95">
        <v>79486</v>
      </c>
      <c r="D25" s="95">
        <v>66744</v>
      </c>
      <c r="E25" s="95">
        <v>60180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G106"/>
  <sheetViews>
    <sheetView zoomScale="90" zoomScaleNormal="90" workbookViewId="0">
      <pane xSplit="7" ySplit="2" topLeftCell="H90" activePane="bottomRight" state="frozen"/>
      <selection pane="topRight" activeCell="H1" sqref="H1"/>
      <selection pane="bottomLeft" activeCell="A3" sqref="A3"/>
      <selection pane="bottomRight" activeCell="B103" sqref="B103"/>
    </sheetView>
  </sheetViews>
  <sheetFormatPr defaultRowHeight="14.4" outlineLevelCol="1" x14ac:dyDescent="0.3"/>
  <cols>
    <col min="1" max="1" width="20.44140625" customWidth="1"/>
    <col min="2" max="2" width="19.88671875" bestFit="1" customWidth="1"/>
    <col min="3" max="3" width="9" bestFit="1" customWidth="1"/>
    <col min="4" max="6" width="11.109375" bestFit="1" customWidth="1"/>
    <col min="7" max="7" width="10.88671875" customWidth="1"/>
    <col min="8" max="9" width="19.88671875" bestFit="1" customWidth="1"/>
    <col min="10" max="18" width="4.33203125" hidden="1" customWidth="1" outlineLevel="1"/>
    <col min="19" max="40" width="5.33203125" hidden="1" customWidth="1" outlineLevel="1"/>
    <col min="41" max="41" width="6" customWidth="1" collapsed="1"/>
    <col min="42" max="50" width="4.33203125" hidden="1" customWidth="1" outlineLevel="1"/>
    <col min="51" max="72" width="5.33203125" hidden="1" customWidth="1" outlineLevel="1"/>
    <col min="73" max="73" width="6.44140625" customWidth="1" collapsed="1"/>
    <col min="74" max="82" width="4.33203125" hidden="1" customWidth="1" outlineLevel="1"/>
    <col min="83" max="104" width="5.33203125" hidden="1" customWidth="1" outlineLevel="1"/>
    <col min="105" max="105" width="6.44140625" customWidth="1" collapsed="1"/>
    <col min="106" max="114" width="4.33203125" hidden="1" customWidth="1" outlineLevel="1"/>
    <col min="115" max="136" width="5.33203125" hidden="1" customWidth="1" outlineLevel="1"/>
    <col min="137" max="137" width="7" customWidth="1" collapsed="1"/>
    <col min="138" max="138" width="13.109375" customWidth="1"/>
    <col min="139" max="139" width="16.44140625" customWidth="1"/>
    <col min="140" max="140" width="15.33203125" customWidth="1"/>
    <col min="141" max="141" width="0" hidden="1"/>
    <col min="142" max="142" width="29.88671875" customWidth="1"/>
    <col min="144" max="144" width="15.33203125" customWidth="1"/>
    <col min="147" max="147" width="21.5546875" customWidth="1"/>
    <col min="149" max="149" width="17.44140625" customWidth="1"/>
    <col min="150" max="150" width="15.6640625" bestFit="1" customWidth="1"/>
    <col min="151" max="151" width="9" bestFit="1" customWidth="1"/>
    <col min="152" max="154" width="11.109375" bestFit="1" customWidth="1"/>
    <col min="155" max="155" width="8.88671875" customWidth="1"/>
    <col min="156" max="156" width="16.6640625" customWidth="1"/>
    <col min="157" max="157" width="21.44140625" customWidth="1"/>
    <col min="158" max="158" width="15.77734375" bestFit="1" customWidth="1"/>
    <col min="159" max="159" width="9" bestFit="1" customWidth="1"/>
    <col min="160" max="162" width="11.109375" bestFit="1" customWidth="1"/>
  </cols>
  <sheetData>
    <row r="1" spans="1:162" x14ac:dyDescent="0.3">
      <c r="AO1" t="s">
        <v>14</v>
      </c>
      <c r="BU1" t="s">
        <v>15</v>
      </c>
      <c r="DA1" t="s">
        <v>16</v>
      </c>
      <c r="EG1" t="s">
        <v>6</v>
      </c>
    </row>
    <row r="2" spans="1:162" ht="13.95" customHeight="1" x14ac:dyDescent="0.3">
      <c r="A2" s="93" t="s">
        <v>425</v>
      </c>
      <c r="B2" s="67" t="s">
        <v>292</v>
      </c>
      <c r="C2" s="67" t="s">
        <v>293</v>
      </c>
      <c r="D2" s="67" t="s">
        <v>294</v>
      </c>
      <c r="E2" s="67" t="s">
        <v>295</v>
      </c>
      <c r="F2" s="67" t="s">
        <v>296</v>
      </c>
      <c r="G2" s="67" t="s">
        <v>297</v>
      </c>
      <c r="H2" s="67" t="s">
        <v>298</v>
      </c>
      <c r="I2" s="67" t="s">
        <v>299</v>
      </c>
      <c r="J2" s="67" t="s">
        <v>300</v>
      </c>
      <c r="K2" s="67" t="s">
        <v>301</v>
      </c>
      <c r="L2" s="67" t="s">
        <v>302</v>
      </c>
      <c r="M2" s="67" t="s">
        <v>303</v>
      </c>
      <c r="N2" s="67" t="s">
        <v>304</v>
      </c>
      <c r="O2" s="67" t="s">
        <v>305</v>
      </c>
      <c r="P2" s="67" t="s">
        <v>306</v>
      </c>
      <c r="Q2" s="67" t="s">
        <v>307</v>
      </c>
      <c r="R2" s="67" t="s">
        <v>308</v>
      </c>
      <c r="S2" s="67" t="s">
        <v>309</v>
      </c>
      <c r="T2" s="67" t="s">
        <v>310</v>
      </c>
      <c r="U2" s="67" t="s">
        <v>311</v>
      </c>
      <c r="V2" s="67" t="s">
        <v>312</v>
      </c>
      <c r="W2" s="67" t="s">
        <v>313</v>
      </c>
      <c r="X2" s="67" t="s">
        <v>314</v>
      </c>
      <c r="Y2" s="67" t="s">
        <v>315</v>
      </c>
      <c r="Z2" s="67" t="s">
        <v>316</v>
      </c>
      <c r="AA2" s="67" t="s">
        <v>317</v>
      </c>
      <c r="AB2" s="67" t="s">
        <v>318</v>
      </c>
      <c r="AC2" s="67" t="s">
        <v>319</v>
      </c>
      <c r="AD2" s="67" t="s">
        <v>320</v>
      </c>
      <c r="AE2" s="67" t="s">
        <v>321</v>
      </c>
      <c r="AF2" s="67" t="s">
        <v>322</v>
      </c>
      <c r="AG2" s="67" t="s">
        <v>323</v>
      </c>
      <c r="AH2" s="67" t="s">
        <v>324</v>
      </c>
      <c r="AI2" s="67" t="s">
        <v>325</v>
      </c>
      <c r="AJ2" s="67" t="s">
        <v>326</v>
      </c>
      <c r="AK2" s="67" t="s">
        <v>327</v>
      </c>
      <c r="AL2" s="67" t="s">
        <v>328</v>
      </c>
      <c r="AM2" s="67" t="s">
        <v>329</v>
      </c>
      <c r="AN2" s="67" t="s">
        <v>330</v>
      </c>
      <c r="AO2" s="68" t="s">
        <v>291</v>
      </c>
      <c r="AP2" s="67" t="s">
        <v>300</v>
      </c>
      <c r="AQ2" s="67" t="s">
        <v>301</v>
      </c>
      <c r="AR2" s="67" t="s">
        <v>302</v>
      </c>
      <c r="AS2" s="67" t="s">
        <v>303</v>
      </c>
      <c r="AT2" s="67" t="s">
        <v>304</v>
      </c>
      <c r="AU2" s="67" t="s">
        <v>305</v>
      </c>
      <c r="AV2" s="67" t="s">
        <v>306</v>
      </c>
      <c r="AW2" s="67" t="s">
        <v>307</v>
      </c>
      <c r="AX2" s="67" t="s">
        <v>308</v>
      </c>
      <c r="AY2" s="67" t="s">
        <v>309</v>
      </c>
      <c r="AZ2" s="67" t="s">
        <v>310</v>
      </c>
      <c r="BA2" s="67" t="s">
        <v>311</v>
      </c>
      <c r="BB2" s="67" t="s">
        <v>312</v>
      </c>
      <c r="BC2" s="67" t="s">
        <v>313</v>
      </c>
      <c r="BD2" s="67" t="s">
        <v>314</v>
      </c>
      <c r="BE2" s="67" t="s">
        <v>315</v>
      </c>
      <c r="BF2" s="67" t="s">
        <v>316</v>
      </c>
      <c r="BG2" s="67" t="s">
        <v>317</v>
      </c>
      <c r="BH2" s="67" t="s">
        <v>318</v>
      </c>
      <c r="BI2" s="67" t="s">
        <v>319</v>
      </c>
      <c r="BJ2" s="67" t="s">
        <v>320</v>
      </c>
      <c r="BK2" s="67" t="s">
        <v>321</v>
      </c>
      <c r="BL2" s="67" t="s">
        <v>322</v>
      </c>
      <c r="BM2" s="67" t="s">
        <v>323</v>
      </c>
      <c r="BN2" s="67" t="s">
        <v>324</v>
      </c>
      <c r="BO2" s="67" t="s">
        <v>325</v>
      </c>
      <c r="BP2" s="67" t="s">
        <v>326</v>
      </c>
      <c r="BQ2" s="67" t="s">
        <v>327</v>
      </c>
      <c r="BR2" s="67" t="s">
        <v>328</v>
      </c>
      <c r="BS2" s="67" t="s">
        <v>329</v>
      </c>
      <c r="BT2" s="67" t="s">
        <v>330</v>
      </c>
      <c r="BU2" s="68" t="s">
        <v>140</v>
      </c>
      <c r="BV2" s="67" t="s">
        <v>300</v>
      </c>
      <c r="BW2" s="67" t="s">
        <v>301</v>
      </c>
      <c r="BX2" s="67" t="s">
        <v>302</v>
      </c>
      <c r="BY2" s="67" t="s">
        <v>303</v>
      </c>
      <c r="BZ2" s="67" t="s">
        <v>304</v>
      </c>
      <c r="CA2" s="67" t="s">
        <v>305</v>
      </c>
      <c r="CB2" s="67" t="s">
        <v>306</v>
      </c>
      <c r="CC2" s="67" t="s">
        <v>307</v>
      </c>
      <c r="CD2" s="67" t="s">
        <v>308</v>
      </c>
      <c r="CE2" s="67" t="s">
        <v>309</v>
      </c>
      <c r="CF2" s="67" t="s">
        <v>310</v>
      </c>
      <c r="CG2" s="67" t="s">
        <v>311</v>
      </c>
      <c r="CH2" s="67" t="s">
        <v>312</v>
      </c>
      <c r="CI2" s="67" t="s">
        <v>313</v>
      </c>
      <c r="CJ2" s="67" t="s">
        <v>314</v>
      </c>
      <c r="CK2" s="67" t="s">
        <v>315</v>
      </c>
      <c r="CL2" s="67" t="s">
        <v>316</v>
      </c>
      <c r="CM2" s="67" t="s">
        <v>317</v>
      </c>
      <c r="CN2" s="67" t="s">
        <v>318</v>
      </c>
      <c r="CO2" s="67" t="s">
        <v>319</v>
      </c>
      <c r="CP2" s="67" t="s">
        <v>320</v>
      </c>
      <c r="CQ2" s="67" t="s">
        <v>321</v>
      </c>
      <c r="CR2" s="67" t="s">
        <v>322</v>
      </c>
      <c r="CS2" s="67" t="s">
        <v>323</v>
      </c>
      <c r="CT2" s="67" t="s">
        <v>324</v>
      </c>
      <c r="CU2" s="67" t="s">
        <v>325</v>
      </c>
      <c r="CV2" s="67" t="s">
        <v>326</v>
      </c>
      <c r="CW2" s="67" t="s">
        <v>327</v>
      </c>
      <c r="CX2" s="67" t="s">
        <v>328</v>
      </c>
      <c r="CY2" s="67" t="s">
        <v>329</v>
      </c>
      <c r="CZ2" s="67" t="s">
        <v>330</v>
      </c>
      <c r="DA2" s="68" t="s">
        <v>141</v>
      </c>
      <c r="DB2" s="67" t="s">
        <v>300</v>
      </c>
      <c r="DC2" s="67" t="s">
        <v>301</v>
      </c>
      <c r="DD2" s="67" t="s">
        <v>302</v>
      </c>
      <c r="DE2" s="67" t="s">
        <v>303</v>
      </c>
      <c r="DF2" s="67" t="s">
        <v>304</v>
      </c>
      <c r="DG2" s="67" t="s">
        <v>305</v>
      </c>
      <c r="DH2" s="67" t="s">
        <v>306</v>
      </c>
      <c r="DI2" s="67" t="s">
        <v>307</v>
      </c>
      <c r="DJ2" s="67" t="s">
        <v>308</v>
      </c>
      <c r="DK2" s="67" t="s">
        <v>309</v>
      </c>
      <c r="DL2" s="67" t="s">
        <v>310</v>
      </c>
      <c r="DM2" s="67" t="s">
        <v>311</v>
      </c>
      <c r="DN2" s="67" t="s">
        <v>312</v>
      </c>
      <c r="DO2" s="67" t="s">
        <v>313</v>
      </c>
      <c r="DP2" s="67" t="s">
        <v>314</v>
      </c>
      <c r="DQ2" s="67" t="s">
        <v>315</v>
      </c>
      <c r="DR2" s="67" t="s">
        <v>316</v>
      </c>
      <c r="DS2" s="67" t="s">
        <v>317</v>
      </c>
      <c r="DT2" s="67" t="s">
        <v>318</v>
      </c>
      <c r="DU2" s="67" t="s">
        <v>319</v>
      </c>
      <c r="DV2" s="67" t="s">
        <v>320</v>
      </c>
      <c r="DW2" s="67" t="s">
        <v>321</v>
      </c>
      <c r="DX2" s="67" t="s">
        <v>322</v>
      </c>
      <c r="DY2" s="67" t="s">
        <v>323</v>
      </c>
      <c r="DZ2" s="67" t="s">
        <v>324</v>
      </c>
      <c r="EA2" s="67" t="s">
        <v>325</v>
      </c>
      <c r="EB2" s="67" t="s">
        <v>326</v>
      </c>
      <c r="EC2" s="67" t="s">
        <v>327</v>
      </c>
      <c r="ED2" s="67" t="s">
        <v>328</v>
      </c>
      <c r="EE2" s="67" t="s">
        <v>329</v>
      </c>
      <c r="EF2" s="67" t="s">
        <v>330</v>
      </c>
      <c r="EG2" s="68" t="s">
        <v>142</v>
      </c>
    </row>
    <row r="3" spans="1:162" x14ac:dyDescent="0.3">
      <c r="A3" t="str">
        <f t="shared" ref="A3:A35" si="0">EI3&amp;EH3&amp;EM3</f>
        <v>86790-0K051BP</v>
      </c>
      <c r="B3" s="115" t="s">
        <v>149</v>
      </c>
      <c r="C3" s="115" t="s">
        <v>171</v>
      </c>
      <c r="D3" s="115" t="s">
        <v>172</v>
      </c>
      <c r="E3" s="115" t="s">
        <v>331</v>
      </c>
      <c r="F3" s="115" t="s">
        <v>332</v>
      </c>
      <c r="G3" s="115" t="s">
        <v>173</v>
      </c>
      <c r="H3" s="115" t="s">
        <v>153</v>
      </c>
      <c r="I3" s="116">
        <v>25</v>
      </c>
      <c r="J3" s="116">
        <v>0</v>
      </c>
      <c r="K3" s="116">
        <v>87</v>
      </c>
      <c r="L3" s="116">
        <v>85</v>
      </c>
      <c r="M3" s="116">
        <v>79</v>
      </c>
      <c r="N3" s="116">
        <v>83</v>
      </c>
      <c r="O3" s="116">
        <v>83</v>
      </c>
      <c r="P3" s="116">
        <v>0</v>
      </c>
      <c r="Q3" s="116">
        <v>0</v>
      </c>
      <c r="R3" s="116">
        <v>88</v>
      </c>
      <c r="S3" s="116">
        <v>89</v>
      </c>
      <c r="T3" s="116">
        <v>88</v>
      </c>
      <c r="U3" s="116">
        <v>92</v>
      </c>
      <c r="V3" s="116">
        <v>90</v>
      </c>
      <c r="W3" s="116">
        <v>77</v>
      </c>
      <c r="X3" s="116">
        <v>0</v>
      </c>
      <c r="Y3" s="116">
        <v>91</v>
      </c>
      <c r="Z3" s="116">
        <v>91</v>
      </c>
      <c r="AA3" s="116">
        <v>88</v>
      </c>
      <c r="AB3" s="116">
        <v>93</v>
      </c>
      <c r="AC3" s="116">
        <v>85</v>
      </c>
      <c r="AD3" s="116">
        <v>0</v>
      </c>
      <c r="AE3" s="116">
        <v>0</v>
      </c>
      <c r="AF3" s="116">
        <v>85</v>
      </c>
      <c r="AG3" s="116">
        <v>89</v>
      </c>
      <c r="AH3" s="116">
        <v>76</v>
      </c>
      <c r="AI3" s="116">
        <v>84</v>
      </c>
      <c r="AJ3" s="116">
        <v>84</v>
      </c>
      <c r="AK3" s="116">
        <v>84</v>
      </c>
      <c r="AL3" s="116">
        <v>0</v>
      </c>
      <c r="AM3" s="116">
        <v>0</v>
      </c>
      <c r="AN3" s="116">
        <v>0</v>
      </c>
      <c r="AO3" s="116">
        <v>1891</v>
      </c>
      <c r="AP3" s="116">
        <v>0</v>
      </c>
      <c r="AQ3" s="116">
        <v>0</v>
      </c>
      <c r="AR3" s="116">
        <v>0</v>
      </c>
      <c r="AS3" s="116">
        <v>83</v>
      </c>
      <c r="AT3" s="116">
        <v>84</v>
      </c>
      <c r="AU3" s="116">
        <v>83</v>
      </c>
      <c r="AV3" s="116">
        <v>39</v>
      </c>
      <c r="AW3" s="116">
        <v>0</v>
      </c>
      <c r="AX3" s="116">
        <v>79</v>
      </c>
      <c r="AY3" s="116">
        <v>79</v>
      </c>
      <c r="AZ3" s="116">
        <v>79</v>
      </c>
      <c r="BA3" s="116">
        <v>80</v>
      </c>
      <c r="BB3" s="116">
        <v>70</v>
      </c>
      <c r="BC3" s="116">
        <v>65</v>
      </c>
      <c r="BD3" s="116">
        <v>0</v>
      </c>
      <c r="BE3" s="116">
        <v>77</v>
      </c>
      <c r="BF3" s="116">
        <v>80</v>
      </c>
      <c r="BG3" s="116">
        <v>67</v>
      </c>
      <c r="BH3" s="116">
        <v>77</v>
      </c>
      <c r="BI3" s="116">
        <v>76</v>
      </c>
      <c r="BJ3" s="116">
        <v>73</v>
      </c>
      <c r="BK3" s="116">
        <v>0</v>
      </c>
      <c r="BL3" s="116">
        <v>72</v>
      </c>
      <c r="BM3" s="116">
        <v>69</v>
      </c>
      <c r="BN3" s="116">
        <v>55</v>
      </c>
      <c r="BO3" s="116">
        <v>68</v>
      </c>
      <c r="BP3" s="116">
        <v>61</v>
      </c>
      <c r="BQ3" s="116">
        <v>49</v>
      </c>
      <c r="BR3" s="116">
        <v>0</v>
      </c>
      <c r="BS3" s="116">
        <v>61</v>
      </c>
      <c r="BT3" s="116">
        <v>51</v>
      </c>
      <c r="BU3" s="116">
        <v>1677</v>
      </c>
      <c r="BV3" s="116">
        <v>50</v>
      </c>
      <c r="BW3" s="116">
        <v>50</v>
      </c>
      <c r="BX3" s="116">
        <v>50</v>
      </c>
      <c r="BY3" s="116">
        <v>25</v>
      </c>
      <c r="BZ3" s="116">
        <v>0</v>
      </c>
      <c r="CA3" s="116">
        <v>50</v>
      </c>
      <c r="CB3" s="116">
        <v>50</v>
      </c>
      <c r="CC3" s="116">
        <v>50</v>
      </c>
      <c r="CD3" s="116">
        <v>50</v>
      </c>
      <c r="CE3" s="116">
        <v>49</v>
      </c>
      <c r="CF3" s="116">
        <v>0</v>
      </c>
      <c r="CG3" s="116">
        <v>0</v>
      </c>
      <c r="CH3" s="116">
        <v>0</v>
      </c>
      <c r="CI3" s="116">
        <v>0</v>
      </c>
      <c r="CJ3" s="116">
        <v>0</v>
      </c>
      <c r="CK3" s="116">
        <v>0</v>
      </c>
      <c r="CL3" s="116">
        <v>0</v>
      </c>
      <c r="CM3" s="116">
        <v>0</v>
      </c>
      <c r="CN3" s="116">
        <v>0</v>
      </c>
      <c r="CO3" s="116">
        <v>50</v>
      </c>
      <c r="CP3" s="116">
        <v>49</v>
      </c>
      <c r="CQ3" s="116">
        <v>50</v>
      </c>
      <c r="CR3" s="116">
        <v>49</v>
      </c>
      <c r="CS3" s="116">
        <v>50</v>
      </c>
      <c r="CT3" s="116">
        <v>49</v>
      </c>
      <c r="CU3" s="116">
        <v>0</v>
      </c>
      <c r="CV3" s="116">
        <v>50</v>
      </c>
      <c r="CW3" s="116">
        <v>49</v>
      </c>
      <c r="CX3" s="116">
        <v>50</v>
      </c>
      <c r="CY3" s="116">
        <v>49</v>
      </c>
      <c r="CZ3" s="116">
        <v>0</v>
      </c>
      <c r="DA3" s="116">
        <v>919</v>
      </c>
      <c r="DB3" s="116">
        <v>0</v>
      </c>
      <c r="DC3" s="116">
        <v>0</v>
      </c>
      <c r="DD3" s="116">
        <v>0</v>
      </c>
      <c r="DE3" s="116">
        <v>0</v>
      </c>
      <c r="DF3" s="116">
        <v>0</v>
      </c>
      <c r="DG3" s="116">
        <v>0</v>
      </c>
      <c r="DH3" s="116">
        <v>0</v>
      </c>
      <c r="DI3" s="116">
        <v>0</v>
      </c>
      <c r="DJ3" s="116">
        <v>0</v>
      </c>
      <c r="DK3" s="116">
        <v>0</v>
      </c>
      <c r="DL3" s="116">
        <v>0</v>
      </c>
      <c r="DM3" s="116">
        <v>0</v>
      </c>
      <c r="DN3" s="116">
        <v>0</v>
      </c>
      <c r="DO3" s="116">
        <v>0</v>
      </c>
      <c r="DP3" s="116">
        <v>0</v>
      </c>
      <c r="DQ3" s="116">
        <v>0</v>
      </c>
      <c r="DR3" s="116">
        <v>0</v>
      </c>
      <c r="DS3" s="116">
        <v>0</v>
      </c>
      <c r="DT3" s="116">
        <v>0</v>
      </c>
      <c r="DU3" s="116">
        <v>0</v>
      </c>
      <c r="DV3" s="116">
        <v>0</v>
      </c>
      <c r="DW3" s="116">
        <v>0</v>
      </c>
      <c r="DX3" s="116">
        <v>0</v>
      </c>
      <c r="DY3" s="116">
        <v>0</v>
      </c>
      <c r="DZ3" s="116">
        <v>0</v>
      </c>
      <c r="EA3" s="116">
        <v>0</v>
      </c>
      <c r="EB3" s="116">
        <v>0</v>
      </c>
      <c r="EC3" s="116">
        <v>0</v>
      </c>
      <c r="ED3" s="116">
        <v>0</v>
      </c>
      <c r="EE3" s="116">
        <v>0</v>
      </c>
      <c r="EF3" s="116">
        <v>0</v>
      </c>
      <c r="EG3" s="116">
        <v>0</v>
      </c>
      <c r="EH3" t="s">
        <v>64</v>
      </c>
      <c r="EI3" t="str">
        <f t="shared" ref="EI3:EI34" si="1">LEFT(B3,11)</f>
        <v>86790-0K051</v>
      </c>
      <c r="EJ3" s="71" t="s">
        <v>100</v>
      </c>
      <c r="EK3" t="str">
        <f>VLOOKUP(EJ3,'By Plant'!B:D,3,0)</f>
        <v>BP</v>
      </c>
      <c r="EL3" t="str">
        <f t="shared" ref="EL3:EL34" si="2">LEFT(B3,11)&amp;EH3&amp;G3</f>
        <v>86790-0K051BPP1</v>
      </c>
      <c r="EM3" t="str">
        <f t="shared" ref="EM3:EM33" si="3">IFERROR(VLOOKUP(EL3,$EQ$5:$ER$12,2,0),"")</f>
        <v/>
      </c>
      <c r="FC3" s="14" t="s">
        <v>471</v>
      </c>
    </row>
    <row r="4" spans="1:162" x14ac:dyDescent="0.3">
      <c r="A4" t="str">
        <f t="shared" si="0"/>
        <v>86790-0K080BP</v>
      </c>
      <c r="B4" s="115" t="s">
        <v>22</v>
      </c>
      <c r="C4" s="115" t="s">
        <v>177</v>
      </c>
      <c r="D4" s="115" t="s">
        <v>172</v>
      </c>
      <c r="E4" s="115" t="s">
        <v>331</v>
      </c>
      <c r="F4" s="115" t="s">
        <v>332</v>
      </c>
      <c r="G4" s="115" t="s">
        <v>173</v>
      </c>
      <c r="H4" s="115" t="s">
        <v>153</v>
      </c>
      <c r="I4" s="116">
        <v>42</v>
      </c>
      <c r="J4" s="116">
        <v>0</v>
      </c>
      <c r="K4" s="116">
        <v>12</v>
      </c>
      <c r="L4" s="116">
        <v>15</v>
      </c>
      <c r="M4" s="116">
        <v>12</v>
      </c>
      <c r="N4" s="116">
        <v>12</v>
      </c>
      <c r="O4" s="116">
        <v>12</v>
      </c>
      <c r="P4" s="116">
        <v>0</v>
      </c>
      <c r="Q4" s="116">
        <v>0</v>
      </c>
      <c r="R4" s="116">
        <v>17</v>
      </c>
      <c r="S4" s="116">
        <v>15</v>
      </c>
      <c r="T4" s="116">
        <v>13</v>
      </c>
      <c r="U4" s="116">
        <v>12</v>
      </c>
      <c r="V4" s="116">
        <v>15</v>
      </c>
      <c r="W4" s="116">
        <v>13</v>
      </c>
      <c r="X4" s="116">
        <v>0</v>
      </c>
      <c r="Y4" s="116">
        <v>17</v>
      </c>
      <c r="Z4" s="116">
        <v>14</v>
      </c>
      <c r="AA4" s="116">
        <v>13</v>
      </c>
      <c r="AB4" s="116">
        <v>14</v>
      </c>
      <c r="AC4" s="116">
        <v>14</v>
      </c>
      <c r="AD4" s="116">
        <v>0</v>
      </c>
      <c r="AE4" s="116">
        <v>0</v>
      </c>
      <c r="AF4" s="116">
        <v>16</v>
      </c>
      <c r="AG4" s="116">
        <v>12</v>
      </c>
      <c r="AH4" s="116">
        <v>12</v>
      </c>
      <c r="AI4" s="116">
        <v>13</v>
      </c>
      <c r="AJ4" s="116">
        <v>14</v>
      </c>
      <c r="AK4" s="116">
        <v>12</v>
      </c>
      <c r="AL4" s="116">
        <v>0</v>
      </c>
      <c r="AM4" s="116">
        <v>0</v>
      </c>
      <c r="AN4" s="116">
        <v>0</v>
      </c>
      <c r="AO4" s="116">
        <v>299</v>
      </c>
      <c r="AP4" s="116">
        <v>0</v>
      </c>
      <c r="AQ4" s="116">
        <v>0</v>
      </c>
      <c r="AR4" s="116">
        <v>0</v>
      </c>
      <c r="AS4" s="116">
        <v>3</v>
      </c>
      <c r="AT4" s="116">
        <v>5</v>
      </c>
      <c r="AU4" s="116">
        <v>2</v>
      </c>
      <c r="AV4" s="116">
        <v>2</v>
      </c>
      <c r="AW4" s="116">
        <v>0</v>
      </c>
      <c r="AX4" s="116">
        <v>3</v>
      </c>
      <c r="AY4" s="116">
        <v>4</v>
      </c>
      <c r="AZ4" s="116">
        <v>2</v>
      </c>
      <c r="BA4" s="116">
        <v>3</v>
      </c>
      <c r="BB4" s="116">
        <v>3</v>
      </c>
      <c r="BC4" s="116">
        <v>3</v>
      </c>
      <c r="BD4" s="116">
        <v>0</v>
      </c>
      <c r="BE4" s="116">
        <v>5</v>
      </c>
      <c r="BF4" s="116">
        <v>1</v>
      </c>
      <c r="BG4" s="116">
        <v>4</v>
      </c>
      <c r="BH4" s="116">
        <v>2</v>
      </c>
      <c r="BI4" s="116">
        <v>3</v>
      </c>
      <c r="BJ4" s="116">
        <v>3</v>
      </c>
      <c r="BK4" s="116">
        <v>0</v>
      </c>
      <c r="BL4" s="116">
        <v>3</v>
      </c>
      <c r="BM4" s="116">
        <v>3</v>
      </c>
      <c r="BN4" s="116">
        <v>2</v>
      </c>
      <c r="BO4" s="116">
        <v>3</v>
      </c>
      <c r="BP4" s="116">
        <v>2</v>
      </c>
      <c r="BQ4" s="116">
        <v>2</v>
      </c>
      <c r="BR4" s="116">
        <v>0</v>
      </c>
      <c r="BS4" s="116">
        <v>3</v>
      </c>
      <c r="BT4" s="116">
        <v>1</v>
      </c>
      <c r="BU4" s="116">
        <v>67</v>
      </c>
      <c r="BV4" s="116">
        <v>0</v>
      </c>
      <c r="BW4" s="116">
        <v>0</v>
      </c>
      <c r="BX4" s="116">
        <v>0</v>
      </c>
      <c r="BY4" s="116">
        <v>0</v>
      </c>
      <c r="BZ4" s="116">
        <v>0</v>
      </c>
      <c r="CA4" s="116">
        <v>0</v>
      </c>
      <c r="CB4" s="116">
        <v>0</v>
      </c>
      <c r="CC4" s="116">
        <v>0</v>
      </c>
      <c r="CD4" s="116">
        <v>0</v>
      </c>
      <c r="CE4" s="116">
        <v>0</v>
      </c>
      <c r="CF4" s="116">
        <v>0</v>
      </c>
      <c r="CG4" s="116">
        <v>0</v>
      </c>
      <c r="CH4" s="116">
        <v>0</v>
      </c>
      <c r="CI4" s="116">
        <v>0</v>
      </c>
      <c r="CJ4" s="116">
        <v>0</v>
      </c>
      <c r="CK4" s="116">
        <v>0</v>
      </c>
      <c r="CL4" s="116">
        <v>0</v>
      </c>
      <c r="CM4" s="116">
        <v>0</v>
      </c>
      <c r="CN4" s="116">
        <v>0</v>
      </c>
      <c r="CO4" s="116">
        <v>0</v>
      </c>
      <c r="CP4" s="116">
        <v>0</v>
      </c>
      <c r="CQ4" s="116">
        <v>0</v>
      </c>
      <c r="CR4" s="116">
        <v>0</v>
      </c>
      <c r="CS4" s="116">
        <v>0</v>
      </c>
      <c r="CT4" s="116">
        <v>0</v>
      </c>
      <c r="CU4" s="116">
        <v>0</v>
      </c>
      <c r="CV4" s="116">
        <v>0</v>
      </c>
      <c r="CW4" s="116">
        <v>0</v>
      </c>
      <c r="CX4" s="116">
        <v>0</v>
      </c>
      <c r="CY4" s="116">
        <v>0</v>
      </c>
      <c r="CZ4" s="116">
        <v>0</v>
      </c>
      <c r="DA4" s="116">
        <v>0</v>
      </c>
      <c r="DB4" s="116">
        <v>0</v>
      </c>
      <c r="DC4" s="116">
        <v>0</v>
      </c>
      <c r="DD4" s="116">
        <v>0</v>
      </c>
      <c r="DE4" s="116">
        <v>0</v>
      </c>
      <c r="DF4" s="116">
        <v>0</v>
      </c>
      <c r="DG4" s="116">
        <v>0</v>
      </c>
      <c r="DH4" s="116">
        <v>0</v>
      </c>
      <c r="DI4" s="116">
        <v>0</v>
      </c>
      <c r="DJ4" s="116">
        <v>0</v>
      </c>
      <c r="DK4" s="116">
        <v>0</v>
      </c>
      <c r="DL4" s="116">
        <v>0</v>
      </c>
      <c r="DM4" s="116">
        <v>0</v>
      </c>
      <c r="DN4" s="116">
        <v>0</v>
      </c>
      <c r="DO4" s="116">
        <v>0</v>
      </c>
      <c r="DP4" s="116">
        <v>0</v>
      </c>
      <c r="DQ4" s="116">
        <v>0</v>
      </c>
      <c r="DR4" s="116">
        <v>0</v>
      </c>
      <c r="DS4" s="116">
        <v>0</v>
      </c>
      <c r="DT4" s="116">
        <v>0</v>
      </c>
      <c r="DU4" s="116">
        <v>0</v>
      </c>
      <c r="DV4" s="116">
        <v>0</v>
      </c>
      <c r="DW4" s="116">
        <v>0</v>
      </c>
      <c r="DX4" s="116">
        <v>0</v>
      </c>
      <c r="DY4" s="116">
        <v>0</v>
      </c>
      <c r="DZ4" s="116">
        <v>0</v>
      </c>
      <c r="EA4" s="116">
        <v>0</v>
      </c>
      <c r="EB4" s="116">
        <v>0</v>
      </c>
      <c r="EC4" s="116">
        <v>0</v>
      </c>
      <c r="ED4" s="116">
        <v>0</v>
      </c>
      <c r="EE4" s="116">
        <v>0</v>
      </c>
      <c r="EF4" s="116">
        <v>0</v>
      </c>
      <c r="EG4" s="116">
        <v>0</v>
      </c>
      <c r="EH4" t="s">
        <v>64</v>
      </c>
      <c r="EI4" t="str">
        <f t="shared" si="1"/>
        <v>86790-0K080</v>
      </c>
      <c r="EJ4" s="71" t="s">
        <v>58</v>
      </c>
      <c r="EK4" t="str">
        <f>VLOOKUP(EJ4,'By Plant'!B:D,3,0)</f>
        <v>SR</v>
      </c>
      <c r="EL4" t="str">
        <f t="shared" si="2"/>
        <v>86790-0K080BPP1</v>
      </c>
      <c r="EM4" t="str">
        <f t="shared" si="3"/>
        <v/>
      </c>
      <c r="FB4" s="14" t="s">
        <v>424</v>
      </c>
      <c r="FC4" t="s">
        <v>340</v>
      </c>
      <c r="FD4" t="s">
        <v>341</v>
      </c>
      <c r="FE4" t="s">
        <v>342</v>
      </c>
      <c r="FF4" t="s">
        <v>343</v>
      </c>
    </row>
    <row r="5" spans="1:162" x14ac:dyDescent="0.3">
      <c r="A5" t="str">
        <f t="shared" si="0"/>
        <v>86790-0K110BP</v>
      </c>
      <c r="B5" s="115" t="s">
        <v>23</v>
      </c>
      <c r="C5" s="115" t="s">
        <v>179</v>
      </c>
      <c r="D5" s="115" t="s">
        <v>172</v>
      </c>
      <c r="E5" s="115" t="s">
        <v>331</v>
      </c>
      <c r="F5" s="115" t="s">
        <v>332</v>
      </c>
      <c r="G5" s="115" t="s">
        <v>173</v>
      </c>
      <c r="H5" s="115" t="s">
        <v>153</v>
      </c>
      <c r="I5" s="116">
        <v>18</v>
      </c>
      <c r="J5" s="116">
        <v>0</v>
      </c>
      <c r="K5" s="116">
        <v>54</v>
      </c>
      <c r="L5" s="116">
        <v>54</v>
      </c>
      <c r="M5" s="116">
        <v>51</v>
      </c>
      <c r="N5" s="116">
        <v>54</v>
      </c>
      <c r="O5" s="116">
        <v>49</v>
      </c>
      <c r="P5" s="116">
        <v>0</v>
      </c>
      <c r="Q5" s="116">
        <v>0</v>
      </c>
      <c r="R5" s="116">
        <v>58</v>
      </c>
      <c r="S5" s="116">
        <v>60</v>
      </c>
      <c r="T5" s="116">
        <v>54</v>
      </c>
      <c r="U5" s="116">
        <v>58</v>
      </c>
      <c r="V5" s="116">
        <v>56</v>
      </c>
      <c r="W5" s="116">
        <v>49</v>
      </c>
      <c r="X5" s="116">
        <v>0</v>
      </c>
      <c r="Y5" s="116">
        <v>60</v>
      </c>
      <c r="Z5" s="116">
        <v>55</v>
      </c>
      <c r="AA5" s="116">
        <v>56</v>
      </c>
      <c r="AB5" s="116">
        <v>57</v>
      </c>
      <c r="AC5" s="116">
        <v>57</v>
      </c>
      <c r="AD5" s="116">
        <v>0</v>
      </c>
      <c r="AE5" s="116">
        <v>0</v>
      </c>
      <c r="AF5" s="116">
        <v>56</v>
      </c>
      <c r="AG5" s="116">
        <v>52</v>
      </c>
      <c r="AH5" s="116">
        <v>51</v>
      </c>
      <c r="AI5" s="116">
        <v>54</v>
      </c>
      <c r="AJ5" s="116">
        <v>54</v>
      </c>
      <c r="AK5" s="116">
        <v>52</v>
      </c>
      <c r="AL5" s="116">
        <v>0</v>
      </c>
      <c r="AM5" s="116">
        <v>0</v>
      </c>
      <c r="AN5" s="116">
        <v>0</v>
      </c>
      <c r="AO5" s="116">
        <v>1201</v>
      </c>
      <c r="AP5" s="116">
        <v>0</v>
      </c>
      <c r="AQ5" s="116">
        <v>0</v>
      </c>
      <c r="AR5" s="116">
        <v>0</v>
      </c>
      <c r="AS5" s="116">
        <v>49</v>
      </c>
      <c r="AT5" s="116">
        <v>48</v>
      </c>
      <c r="AU5" s="116">
        <v>49</v>
      </c>
      <c r="AV5" s="116">
        <v>20</v>
      </c>
      <c r="AW5" s="116">
        <v>0</v>
      </c>
      <c r="AX5" s="116">
        <v>44</v>
      </c>
      <c r="AY5" s="116">
        <v>43</v>
      </c>
      <c r="AZ5" s="116">
        <v>48</v>
      </c>
      <c r="BA5" s="116">
        <v>42</v>
      </c>
      <c r="BB5" s="116">
        <v>41</v>
      </c>
      <c r="BC5" s="116">
        <v>38</v>
      </c>
      <c r="BD5" s="116">
        <v>0</v>
      </c>
      <c r="BE5" s="116">
        <v>43</v>
      </c>
      <c r="BF5" s="116">
        <v>44</v>
      </c>
      <c r="BG5" s="116">
        <v>38</v>
      </c>
      <c r="BH5" s="116">
        <v>47</v>
      </c>
      <c r="BI5" s="116">
        <v>38</v>
      </c>
      <c r="BJ5" s="116">
        <v>43</v>
      </c>
      <c r="BK5" s="116">
        <v>0</v>
      </c>
      <c r="BL5" s="116">
        <v>43</v>
      </c>
      <c r="BM5" s="116">
        <v>38</v>
      </c>
      <c r="BN5" s="116">
        <v>31</v>
      </c>
      <c r="BO5" s="116">
        <v>39</v>
      </c>
      <c r="BP5" s="116">
        <v>37</v>
      </c>
      <c r="BQ5" s="116">
        <v>28</v>
      </c>
      <c r="BR5" s="116">
        <v>0</v>
      </c>
      <c r="BS5" s="116">
        <v>36</v>
      </c>
      <c r="BT5" s="116">
        <v>31</v>
      </c>
      <c r="BU5" s="116">
        <v>958</v>
      </c>
      <c r="BV5" s="116">
        <v>30</v>
      </c>
      <c r="BW5" s="116">
        <v>30</v>
      </c>
      <c r="BX5" s="116">
        <v>30</v>
      </c>
      <c r="BY5" s="116">
        <v>15</v>
      </c>
      <c r="BZ5" s="116">
        <v>0</v>
      </c>
      <c r="CA5" s="116">
        <v>29</v>
      </c>
      <c r="CB5" s="116">
        <v>30</v>
      </c>
      <c r="CC5" s="116">
        <v>29</v>
      </c>
      <c r="CD5" s="116">
        <v>30</v>
      </c>
      <c r="CE5" s="116">
        <v>29</v>
      </c>
      <c r="CF5" s="116">
        <v>0</v>
      </c>
      <c r="CG5" s="116">
        <v>0</v>
      </c>
      <c r="CH5" s="116">
        <v>0</v>
      </c>
      <c r="CI5" s="116">
        <v>0</v>
      </c>
      <c r="CJ5" s="116">
        <v>0</v>
      </c>
      <c r="CK5" s="116">
        <v>0</v>
      </c>
      <c r="CL5" s="116">
        <v>0</v>
      </c>
      <c r="CM5" s="116">
        <v>0</v>
      </c>
      <c r="CN5" s="116">
        <v>0</v>
      </c>
      <c r="CO5" s="116">
        <v>30</v>
      </c>
      <c r="CP5" s="116">
        <v>29</v>
      </c>
      <c r="CQ5" s="116">
        <v>30</v>
      </c>
      <c r="CR5" s="116">
        <v>29</v>
      </c>
      <c r="CS5" s="116">
        <v>30</v>
      </c>
      <c r="CT5" s="116">
        <v>29</v>
      </c>
      <c r="CU5" s="116">
        <v>0</v>
      </c>
      <c r="CV5" s="116">
        <v>30</v>
      </c>
      <c r="CW5" s="116">
        <v>29</v>
      </c>
      <c r="CX5" s="116">
        <v>30</v>
      </c>
      <c r="CY5" s="116">
        <v>29</v>
      </c>
      <c r="CZ5" s="116">
        <v>0</v>
      </c>
      <c r="DA5" s="116">
        <v>547</v>
      </c>
      <c r="DB5" s="116">
        <v>0</v>
      </c>
      <c r="DC5" s="116">
        <v>0</v>
      </c>
      <c r="DD5" s="116">
        <v>0</v>
      </c>
      <c r="DE5" s="116">
        <v>53</v>
      </c>
      <c r="DF5" s="116">
        <v>53</v>
      </c>
      <c r="DG5" s="116">
        <v>53</v>
      </c>
      <c r="DH5" s="116">
        <v>53</v>
      </c>
      <c r="DI5" s="116">
        <v>53</v>
      </c>
      <c r="DJ5" s="116">
        <v>53</v>
      </c>
      <c r="DK5" s="116">
        <v>0</v>
      </c>
      <c r="DL5" s="116">
        <v>53</v>
      </c>
      <c r="DM5" s="116">
        <v>53</v>
      </c>
      <c r="DN5" s="116">
        <v>52</v>
      </c>
      <c r="DO5" s="116">
        <v>53</v>
      </c>
      <c r="DP5" s="116">
        <v>52</v>
      </c>
      <c r="DQ5" s="116">
        <v>26</v>
      </c>
      <c r="DR5" s="116">
        <v>0</v>
      </c>
      <c r="DS5" s="116">
        <v>53</v>
      </c>
      <c r="DT5" s="116">
        <v>53</v>
      </c>
      <c r="DU5" s="116">
        <v>52</v>
      </c>
      <c r="DV5" s="116">
        <v>53</v>
      </c>
      <c r="DW5" s="116">
        <v>52</v>
      </c>
      <c r="DX5" s="116">
        <v>53</v>
      </c>
      <c r="DY5" s="116">
        <v>0</v>
      </c>
      <c r="DZ5" s="116">
        <v>52</v>
      </c>
      <c r="EA5" s="116">
        <v>53</v>
      </c>
      <c r="EB5" s="116">
        <v>52</v>
      </c>
      <c r="EC5" s="116">
        <v>53</v>
      </c>
      <c r="ED5" s="116">
        <v>52</v>
      </c>
      <c r="EE5" s="116">
        <v>0</v>
      </c>
      <c r="EF5" s="116">
        <v>0</v>
      </c>
      <c r="EG5" s="116">
        <v>1185</v>
      </c>
      <c r="EH5" t="s">
        <v>64</v>
      </c>
      <c r="EI5" t="str">
        <f t="shared" si="1"/>
        <v>86790-0K110</v>
      </c>
      <c r="EJ5" s="71" t="s">
        <v>66</v>
      </c>
      <c r="EK5" t="str">
        <f>VLOOKUP(EJ5,'By Plant'!B:D,3,0)</f>
        <v>BP</v>
      </c>
      <c r="EL5" t="str">
        <f t="shared" si="2"/>
        <v>86790-0K110BPP1</v>
      </c>
      <c r="EM5" t="str">
        <f t="shared" si="3"/>
        <v/>
      </c>
      <c r="EN5" s="71" t="s">
        <v>53</v>
      </c>
      <c r="EO5" t="s">
        <v>61</v>
      </c>
      <c r="EP5" t="s">
        <v>195</v>
      </c>
      <c r="EQ5" t="str">
        <f t="shared" ref="EQ5:EQ12" si="4">LEFT(EN5,11)&amp;EO5&amp;EP5</f>
        <v>86790-0K050BPKB2</v>
      </c>
      <c r="ER5" t="s">
        <v>62</v>
      </c>
      <c r="FB5" s="15" t="s">
        <v>149</v>
      </c>
      <c r="FC5" s="95">
        <v>9673</v>
      </c>
      <c r="FD5" s="95">
        <v>12094</v>
      </c>
      <c r="FE5" s="95">
        <v>8906</v>
      </c>
      <c r="FF5" s="95">
        <v>3950</v>
      </c>
    </row>
    <row r="6" spans="1:162" x14ac:dyDescent="0.3">
      <c r="A6" t="str">
        <f t="shared" si="0"/>
        <v>86790-0K141BP</v>
      </c>
      <c r="B6" s="115" t="s">
        <v>160</v>
      </c>
      <c r="C6" s="115" t="s">
        <v>180</v>
      </c>
      <c r="D6" s="115" t="s">
        <v>172</v>
      </c>
      <c r="E6" s="115" t="s">
        <v>331</v>
      </c>
      <c r="F6" s="115" t="s">
        <v>332</v>
      </c>
      <c r="G6" s="115" t="s">
        <v>173</v>
      </c>
      <c r="H6" s="115" t="s">
        <v>153</v>
      </c>
      <c r="I6" s="116">
        <v>8</v>
      </c>
      <c r="J6" s="116">
        <v>0</v>
      </c>
      <c r="K6" s="116">
        <v>11</v>
      </c>
      <c r="L6" s="116">
        <v>10</v>
      </c>
      <c r="M6" s="116">
        <v>10</v>
      </c>
      <c r="N6" s="116">
        <v>11</v>
      </c>
      <c r="O6" s="116">
        <v>10</v>
      </c>
      <c r="P6" s="116">
        <v>0</v>
      </c>
      <c r="Q6" s="116">
        <v>0</v>
      </c>
      <c r="R6" s="116">
        <v>9</v>
      </c>
      <c r="S6" s="116">
        <v>12</v>
      </c>
      <c r="T6" s="116">
        <v>9</v>
      </c>
      <c r="U6" s="116">
        <v>12</v>
      </c>
      <c r="V6" s="116">
        <v>10</v>
      </c>
      <c r="W6" s="116">
        <v>11</v>
      </c>
      <c r="X6" s="116">
        <v>0</v>
      </c>
      <c r="Y6" s="116">
        <v>13</v>
      </c>
      <c r="Z6" s="116">
        <v>11</v>
      </c>
      <c r="AA6" s="116">
        <v>11</v>
      </c>
      <c r="AB6" s="116">
        <v>10</v>
      </c>
      <c r="AC6" s="116">
        <v>11</v>
      </c>
      <c r="AD6" s="116">
        <v>0</v>
      </c>
      <c r="AE6" s="116">
        <v>0</v>
      </c>
      <c r="AF6" s="116">
        <v>8</v>
      </c>
      <c r="AG6" s="116">
        <v>12</v>
      </c>
      <c r="AH6" s="116">
        <v>10</v>
      </c>
      <c r="AI6" s="116">
        <v>10</v>
      </c>
      <c r="AJ6" s="116">
        <v>10</v>
      </c>
      <c r="AK6" s="116">
        <v>11</v>
      </c>
      <c r="AL6" s="116">
        <v>0</v>
      </c>
      <c r="AM6" s="116">
        <v>0</v>
      </c>
      <c r="AN6" s="116">
        <v>0</v>
      </c>
      <c r="AO6" s="116">
        <v>232</v>
      </c>
      <c r="AP6" s="116">
        <v>0</v>
      </c>
      <c r="AQ6" s="116">
        <v>0</v>
      </c>
      <c r="AR6" s="116">
        <v>0</v>
      </c>
      <c r="AS6" s="116">
        <v>16</v>
      </c>
      <c r="AT6" s="116">
        <v>18</v>
      </c>
      <c r="AU6" s="116">
        <v>17</v>
      </c>
      <c r="AV6" s="116">
        <v>8</v>
      </c>
      <c r="AW6" s="116">
        <v>0</v>
      </c>
      <c r="AX6" s="116">
        <v>16</v>
      </c>
      <c r="AY6" s="116">
        <v>16</v>
      </c>
      <c r="AZ6" s="116">
        <v>17</v>
      </c>
      <c r="BA6" s="116">
        <v>16</v>
      </c>
      <c r="BB6" s="116">
        <v>14</v>
      </c>
      <c r="BC6" s="116">
        <v>13</v>
      </c>
      <c r="BD6" s="116">
        <v>0</v>
      </c>
      <c r="BE6" s="116">
        <v>16</v>
      </c>
      <c r="BF6" s="116">
        <v>15</v>
      </c>
      <c r="BG6" s="116">
        <v>13</v>
      </c>
      <c r="BH6" s="116">
        <v>16</v>
      </c>
      <c r="BI6" s="116">
        <v>15</v>
      </c>
      <c r="BJ6" s="116">
        <v>15</v>
      </c>
      <c r="BK6" s="116">
        <v>0</v>
      </c>
      <c r="BL6" s="116">
        <v>14</v>
      </c>
      <c r="BM6" s="116">
        <v>13</v>
      </c>
      <c r="BN6" s="116">
        <v>10</v>
      </c>
      <c r="BO6" s="116">
        <v>13</v>
      </c>
      <c r="BP6" s="116">
        <v>13</v>
      </c>
      <c r="BQ6" s="116">
        <v>9</v>
      </c>
      <c r="BR6" s="116">
        <v>0</v>
      </c>
      <c r="BS6" s="116">
        <v>13</v>
      </c>
      <c r="BT6" s="116">
        <v>10</v>
      </c>
      <c r="BU6" s="116">
        <v>336</v>
      </c>
      <c r="BV6" s="116">
        <v>3</v>
      </c>
      <c r="BW6" s="116">
        <v>3</v>
      </c>
      <c r="BX6" s="116">
        <v>3</v>
      </c>
      <c r="BY6" s="116">
        <v>2</v>
      </c>
      <c r="BZ6" s="116">
        <v>0</v>
      </c>
      <c r="CA6" s="116">
        <v>3</v>
      </c>
      <c r="CB6" s="116">
        <v>3</v>
      </c>
      <c r="CC6" s="116">
        <v>3</v>
      </c>
      <c r="CD6" s="116">
        <v>3</v>
      </c>
      <c r="CE6" s="116">
        <v>3</v>
      </c>
      <c r="CF6" s="116">
        <v>0</v>
      </c>
      <c r="CG6" s="116">
        <v>0</v>
      </c>
      <c r="CH6" s="116">
        <v>0</v>
      </c>
      <c r="CI6" s="116">
        <v>0</v>
      </c>
      <c r="CJ6" s="116">
        <v>0</v>
      </c>
      <c r="CK6" s="116">
        <v>0</v>
      </c>
      <c r="CL6" s="116">
        <v>0</v>
      </c>
      <c r="CM6" s="116">
        <v>0</v>
      </c>
      <c r="CN6" s="116">
        <v>0</v>
      </c>
      <c r="CO6" s="116">
        <v>3</v>
      </c>
      <c r="CP6" s="116">
        <v>3</v>
      </c>
      <c r="CQ6" s="116">
        <v>3</v>
      </c>
      <c r="CR6" s="116">
        <v>3</v>
      </c>
      <c r="CS6" s="116">
        <v>4</v>
      </c>
      <c r="CT6" s="116">
        <v>3</v>
      </c>
      <c r="CU6" s="116">
        <v>0</v>
      </c>
      <c r="CV6" s="116">
        <v>4</v>
      </c>
      <c r="CW6" s="116">
        <v>3</v>
      </c>
      <c r="CX6" s="116">
        <v>4</v>
      </c>
      <c r="CY6" s="116">
        <v>3</v>
      </c>
      <c r="CZ6" s="116">
        <v>0</v>
      </c>
      <c r="DA6" s="116">
        <v>59</v>
      </c>
      <c r="DB6" s="116">
        <v>0</v>
      </c>
      <c r="DC6" s="116">
        <v>0</v>
      </c>
      <c r="DD6" s="116">
        <v>0</v>
      </c>
      <c r="DE6" s="116">
        <v>0</v>
      </c>
      <c r="DF6" s="116">
        <v>0</v>
      </c>
      <c r="DG6" s="116">
        <v>0</v>
      </c>
      <c r="DH6" s="116">
        <v>0</v>
      </c>
      <c r="DI6" s="116">
        <v>0</v>
      </c>
      <c r="DJ6" s="116">
        <v>0</v>
      </c>
      <c r="DK6" s="116">
        <v>0</v>
      </c>
      <c r="DL6" s="116">
        <v>0</v>
      </c>
      <c r="DM6" s="116">
        <v>0</v>
      </c>
      <c r="DN6" s="116">
        <v>0</v>
      </c>
      <c r="DO6" s="116">
        <v>0</v>
      </c>
      <c r="DP6" s="116">
        <v>0</v>
      </c>
      <c r="DQ6" s="116">
        <v>0</v>
      </c>
      <c r="DR6" s="116">
        <v>0</v>
      </c>
      <c r="DS6" s="116">
        <v>0</v>
      </c>
      <c r="DT6" s="116">
        <v>0</v>
      </c>
      <c r="DU6" s="116">
        <v>0</v>
      </c>
      <c r="DV6" s="116">
        <v>0</v>
      </c>
      <c r="DW6" s="116">
        <v>0</v>
      </c>
      <c r="DX6" s="116">
        <v>0</v>
      </c>
      <c r="DY6" s="116">
        <v>0</v>
      </c>
      <c r="DZ6" s="116">
        <v>0</v>
      </c>
      <c r="EA6" s="116">
        <v>0</v>
      </c>
      <c r="EB6" s="116">
        <v>0</v>
      </c>
      <c r="EC6" s="116">
        <v>0</v>
      </c>
      <c r="ED6" s="116">
        <v>0</v>
      </c>
      <c r="EE6" s="116">
        <v>0</v>
      </c>
      <c r="EF6" s="116">
        <v>0</v>
      </c>
      <c r="EG6" s="116">
        <v>0</v>
      </c>
      <c r="EH6" t="s">
        <v>64</v>
      </c>
      <c r="EI6" t="str">
        <f t="shared" si="1"/>
        <v>86790-0K141</v>
      </c>
      <c r="EJ6" s="71" t="s">
        <v>39</v>
      </c>
      <c r="EK6" t="str">
        <f>VLOOKUP(EJ6,'By Plant'!B:D,3,0)</f>
        <v>BPK</v>
      </c>
      <c r="EL6" t="str">
        <f t="shared" si="2"/>
        <v>86790-0K141BPP1</v>
      </c>
      <c r="EM6" t="str">
        <f t="shared" si="3"/>
        <v/>
      </c>
      <c r="EN6" t="s">
        <v>66</v>
      </c>
      <c r="EO6" t="s">
        <v>61</v>
      </c>
      <c r="EP6" t="s">
        <v>206</v>
      </c>
      <c r="EQ6" t="str">
        <f t="shared" si="4"/>
        <v>86790-0K110BPKBN</v>
      </c>
      <c r="ER6" t="s">
        <v>62</v>
      </c>
      <c r="FB6" s="15" t="s">
        <v>22</v>
      </c>
      <c r="FC6" s="95">
        <v>975</v>
      </c>
      <c r="FD6" s="95">
        <v>1237</v>
      </c>
      <c r="FE6" s="95">
        <v>1084</v>
      </c>
      <c r="FF6" s="95">
        <v>451</v>
      </c>
    </row>
    <row r="7" spans="1:162" x14ac:dyDescent="0.3">
      <c r="A7" t="str">
        <f t="shared" si="0"/>
        <v>86790-0K171BP</v>
      </c>
      <c r="B7" s="115" t="s">
        <v>162</v>
      </c>
      <c r="C7" s="115" t="s">
        <v>182</v>
      </c>
      <c r="D7" s="115" t="s">
        <v>172</v>
      </c>
      <c r="E7" s="115" t="s">
        <v>331</v>
      </c>
      <c r="F7" s="115" t="s">
        <v>332</v>
      </c>
      <c r="G7" s="115" t="s">
        <v>173</v>
      </c>
      <c r="H7" s="115" t="s">
        <v>153</v>
      </c>
      <c r="I7" s="116">
        <v>8</v>
      </c>
      <c r="J7" s="116">
        <v>0</v>
      </c>
      <c r="K7" s="116">
        <v>20</v>
      </c>
      <c r="L7" s="116">
        <v>21</v>
      </c>
      <c r="M7" s="116">
        <v>22</v>
      </c>
      <c r="N7" s="116">
        <v>19</v>
      </c>
      <c r="O7" s="116">
        <v>21</v>
      </c>
      <c r="P7" s="116">
        <v>0</v>
      </c>
      <c r="Q7" s="116">
        <v>0</v>
      </c>
      <c r="R7" s="116">
        <v>28</v>
      </c>
      <c r="S7" s="116">
        <v>23</v>
      </c>
      <c r="T7" s="116">
        <v>23</v>
      </c>
      <c r="U7" s="116">
        <v>21</v>
      </c>
      <c r="V7" s="116">
        <v>22</v>
      </c>
      <c r="W7" s="116">
        <v>22</v>
      </c>
      <c r="X7" s="116">
        <v>0</v>
      </c>
      <c r="Y7" s="116">
        <v>24</v>
      </c>
      <c r="Z7" s="116">
        <v>22</v>
      </c>
      <c r="AA7" s="116">
        <v>22</v>
      </c>
      <c r="AB7" s="116">
        <v>24</v>
      </c>
      <c r="AC7" s="116">
        <v>20</v>
      </c>
      <c r="AD7" s="116">
        <v>0</v>
      </c>
      <c r="AE7" s="116">
        <v>0</v>
      </c>
      <c r="AF7" s="116">
        <v>28</v>
      </c>
      <c r="AG7" s="116">
        <v>22</v>
      </c>
      <c r="AH7" s="116">
        <v>17</v>
      </c>
      <c r="AI7" s="116">
        <v>23</v>
      </c>
      <c r="AJ7" s="116">
        <v>21</v>
      </c>
      <c r="AK7" s="116">
        <v>20</v>
      </c>
      <c r="AL7" s="116">
        <v>0</v>
      </c>
      <c r="AM7" s="116">
        <v>0</v>
      </c>
      <c r="AN7" s="116">
        <v>0</v>
      </c>
      <c r="AO7" s="116">
        <v>485</v>
      </c>
      <c r="AP7" s="116">
        <v>0</v>
      </c>
      <c r="AQ7" s="116">
        <v>0</v>
      </c>
      <c r="AR7" s="116">
        <v>0</v>
      </c>
      <c r="AS7" s="116">
        <v>17</v>
      </c>
      <c r="AT7" s="116">
        <v>20</v>
      </c>
      <c r="AU7" s="116">
        <v>19</v>
      </c>
      <c r="AV7" s="116">
        <v>10</v>
      </c>
      <c r="AW7" s="116">
        <v>0</v>
      </c>
      <c r="AX7" s="116">
        <v>19</v>
      </c>
      <c r="AY7" s="116">
        <v>20</v>
      </c>
      <c r="AZ7" s="116">
        <v>16</v>
      </c>
      <c r="BA7" s="116">
        <v>22</v>
      </c>
      <c r="BB7" s="116">
        <v>15</v>
      </c>
      <c r="BC7" s="116">
        <v>17</v>
      </c>
      <c r="BD7" s="116">
        <v>0</v>
      </c>
      <c r="BE7" s="116">
        <v>18</v>
      </c>
      <c r="BF7" s="116">
        <v>22</v>
      </c>
      <c r="BG7" s="116">
        <v>16</v>
      </c>
      <c r="BH7" s="116">
        <v>18</v>
      </c>
      <c r="BI7" s="116">
        <v>18</v>
      </c>
      <c r="BJ7" s="116">
        <v>17</v>
      </c>
      <c r="BK7" s="116">
        <v>0</v>
      </c>
      <c r="BL7" s="116">
        <v>19</v>
      </c>
      <c r="BM7" s="116">
        <v>17</v>
      </c>
      <c r="BN7" s="116">
        <v>14</v>
      </c>
      <c r="BO7" s="116">
        <v>18</v>
      </c>
      <c r="BP7" s="116">
        <v>12</v>
      </c>
      <c r="BQ7" s="116">
        <v>13</v>
      </c>
      <c r="BR7" s="116">
        <v>0</v>
      </c>
      <c r="BS7" s="116">
        <v>12</v>
      </c>
      <c r="BT7" s="116">
        <v>13</v>
      </c>
      <c r="BU7" s="116">
        <v>402</v>
      </c>
      <c r="BV7" s="116">
        <v>16</v>
      </c>
      <c r="BW7" s="116">
        <v>16</v>
      </c>
      <c r="BX7" s="116">
        <v>16</v>
      </c>
      <c r="BY7" s="116">
        <v>8</v>
      </c>
      <c r="BZ7" s="116">
        <v>0</v>
      </c>
      <c r="CA7" s="116">
        <v>16</v>
      </c>
      <c r="CB7" s="116">
        <v>16</v>
      </c>
      <c r="CC7" s="116">
        <v>16</v>
      </c>
      <c r="CD7" s="116">
        <v>16</v>
      </c>
      <c r="CE7" s="116">
        <v>16</v>
      </c>
      <c r="CF7" s="116">
        <v>0</v>
      </c>
      <c r="CG7" s="116">
        <v>0</v>
      </c>
      <c r="CH7" s="116">
        <v>0</v>
      </c>
      <c r="CI7" s="116">
        <v>0</v>
      </c>
      <c r="CJ7" s="116">
        <v>0</v>
      </c>
      <c r="CK7" s="116">
        <v>0</v>
      </c>
      <c r="CL7" s="116">
        <v>0</v>
      </c>
      <c r="CM7" s="116">
        <v>0</v>
      </c>
      <c r="CN7" s="116">
        <v>0</v>
      </c>
      <c r="CO7" s="116">
        <v>16</v>
      </c>
      <c r="CP7" s="116">
        <v>16</v>
      </c>
      <c r="CQ7" s="116">
        <v>16</v>
      </c>
      <c r="CR7" s="116">
        <v>16</v>
      </c>
      <c r="CS7" s="116">
        <v>17</v>
      </c>
      <c r="CT7" s="116">
        <v>16</v>
      </c>
      <c r="CU7" s="116">
        <v>0</v>
      </c>
      <c r="CV7" s="116">
        <v>17</v>
      </c>
      <c r="CW7" s="116">
        <v>16</v>
      </c>
      <c r="CX7" s="116">
        <v>17</v>
      </c>
      <c r="CY7" s="116">
        <v>16</v>
      </c>
      <c r="CZ7" s="116">
        <v>0</v>
      </c>
      <c r="DA7" s="116">
        <v>299</v>
      </c>
      <c r="DB7" s="116">
        <v>0</v>
      </c>
      <c r="DC7" s="116">
        <v>0</v>
      </c>
      <c r="DD7" s="116">
        <v>0</v>
      </c>
      <c r="DE7" s="116">
        <v>0</v>
      </c>
      <c r="DF7" s="116">
        <v>0</v>
      </c>
      <c r="DG7" s="116">
        <v>0</v>
      </c>
      <c r="DH7" s="116">
        <v>0</v>
      </c>
      <c r="DI7" s="116">
        <v>0</v>
      </c>
      <c r="DJ7" s="116">
        <v>0</v>
      </c>
      <c r="DK7" s="116">
        <v>0</v>
      </c>
      <c r="DL7" s="116">
        <v>0</v>
      </c>
      <c r="DM7" s="116">
        <v>0</v>
      </c>
      <c r="DN7" s="116">
        <v>0</v>
      </c>
      <c r="DO7" s="116">
        <v>0</v>
      </c>
      <c r="DP7" s="116">
        <v>0</v>
      </c>
      <c r="DQ7" s="116">
        <v>0</v>
      </c>
      <c r="DR7" s="116">
        <v>0</v>
      </c>
      <c r="DS7" s="116">
        <v>0</v>
      </c>
      <c r="DT7" s="116">
        <v>0</v>
      </c>
      <c r="DU7" s="116">
        <v>0</v>
      </c>
      <c r="DV7" s="116">
        <v>0</v>
      </c>
      <c r="DW7" s="116">
        <v>0</v>
      </c>
      <c r="DX7" s="116">
        <v>0</v>
      </c>
      <c r="DY7" s="116">
        <v>0</v>
      </c>
      <c r="DZ7" s="116">
        <v>0</v>
      </c>
      <c r="EA7" s="116">
        <v>0</v>
      </c>
      <c r="EB7" s="116">
        <v>0</v>
      </c>
      <c r="EC7" s="116">
        <v>0</v>
      </c>
      <c r="ED7" s="116">
        <v>0</v>
      </c>
      <c r="EE7" s="116">
        <v>0</v>
      </c>
      <c r="EF7" s="116">
        <v>0</v>
      </c>
      <c r="EG7" s="116">
        <v>0</v>
      </c>
      <c r="EH7" t="s">
        <v>64</v>
      </c>
      <c r="EI7" t="str">
        <f t="shared" si="1"/>
        <v>86790-0K171</v>
      </c>
      <c r="EJ7" s="71" t="s">
        <v>41</v>
      </c>
      <c r="EK7" t="str">
        <f>VLOOKUP(EJ7,'By Plant'!B:D,3,0)</f>
        <v>SR</v>
      </c>
      <c r="EL7" t="str">
        <f t="shared" si="2"/>
        <v>86790-0K171BPP1</v>
      </c>
      <c r="EM7" t="str">
        <f t="shared" si="3"/>
        <v/>
      </c>
      <c r="EN7" t="s">
        <v>149</v>
      </c>
      <c r="EO7" t="s">
        <v>61</v>
      </c>
      <c r="EP7" t="s">
        <v>201</v>
      </c>
      <c r="EQ7" t="str">
        <f t="shared" si="4"/>
        <v>86790-0K051BPKD1</v>
      </c>
      <c r="ER7" t="s">
        <v>69</v>
      </c>
      <c r="FB7" s="15" t="s">
        <v>23</v>
      </c>
      <c r="FC7" s="95">
        <v>8051</v>
      </c>
      <c r="FD7" s="95">
        <v>8078</v>
      </c>
      <c r="FE7" s="95">
        <v>5797</v>
      </c>
      <c r="FF7" s="95">
        <v>5615</v>
      </c>
    </row>
    <row r="8" spans="1:162" x14ac:dyDescent="0.3">
      <c r="A8" t="str">
        <f t="shared" si="0"/>
        <v>86790-0K181BP</v>
      </c>
      <c r="B8" s="115" t="s">
        <v>183</v>
      </c>
      <c r="C8" s="115" t="s">
        <v>184</v>
      </c>
      <c r="D8" s="115" t="s">
        <v>172</v>
      </c>
      <c r="E8" s="115" t="s">
        <v>331</v>
      </c>
      <c r="F8" s="115" t="s">
        <v>332</v>
      </c>
      <c r="G8" s="115" t="s">
        <v>173</v>
      </c>
      <c r="H8" s="115" t="s">
        <v>153</v>
      </c>
      <c r="I8" s="116">
        <v>8</v>
      </c>
      <c r="J8" s="116">
        <v>0</v>
      </c>
      <c r="K8" s="116">
        <v>4</v>
      </c>
      <c r="L8" s="116">
        <v>3</v>
      </c>
      <c r="M8" s="116">
        <v>2</v>
      </c>
      <c r="N8" s="116">
        <v>4</v>
      </c>
      <c r="O8" s="116">
        <v>3</v>
      </c>
      <c r="P8" s="116">
        <v>0</v>
      </c>
      <c r="Q8" s="116">
        <v>0</v>
      </c>
      <c r="R8" s="116">
        <v>3</v>
      </c>
      <c r="S8" s="116">
        <v>4</v>
      </c>
      <c r="T8" s="116">
        <v>3</v>
      </c>
      <c r="U8" s="116">
        <v>3</v>
      </c>
      <c r="V8" s="116">
        <v>3</v>
      </c>
      <c r="W8" s="116">
        <v>3</v>
      </c>
      <c r="X8" s="116">
        <v>0</v>
      </c>
      <c r="Y8" s="116">
        <v>3</v>
      </c>
      <c r="Z8" s="116">
        <v>3</v>
      </c>
      <c r="AA8" s="116">
        <v>3</v>
      </c>
      <c r="AB8" s="116">
        <v>4</v>
      </c>
      <c r="AC8" s="116">
        <v>4</v>
      </c>
      <c r="AD8" s="116">
        <v>0</v>
      </c>
      <c r="AE8" s="116">
        <v>0</v>
      </c>
      <c r="AF8" s="116">
        <v>2</v>
      </c>
      <c r="AG8" s="116">
        <v>3</v>
      </c>
      <c r="AH8" s="116">
        <v>4</v>
      </c>
      <c r="AI8" s="116">
        <v>3</v>
      </c>
      <c r="AJ8" s="116">
        <v>2</v>
      </c>
      <c r="AK8" s="116">
        <v>4</v>
      </c>
      <c r="AL8" s="116">
        <v>0</v>
      </c>
      <c r="AM8" s="116">
        <v>0</v>
      </c>
      <c r="AN8" s="116">
        <v>0</v>
      </c>
      <c r="AO8" s="116">
        <v>70</v>
      </c>
      <c r="AP8" s="116">
        <v>0</v>
      </c>
      <c r="AQ8" s="116">
        <v>0</v>
      </c>
      <c r="AR8" s="116">
        <v>0</v>
      </c>
      <c r="AS8" s="116">
        <v>0</v>
      </c>
      <c r="AT8" s="116">
        <v>0</v>
      </c>
      <c r="AU8" s="116">
        <v>1</v>
      </c>
      <c r="AV8" s="116">
        <v>0</v>
      </c>
      <c r="AW8" s="116">
        <v>0</v>
      </c>
      <c r="AX8" s="116">
        <v>0</v>
      </c>
      <c r="AY8" s="116">
        <v>0</v>
      </c>
      <c r="AZ8" s="116">
        <v>1</v>
      </c>
      <c r="BA8" s="116">
        <v>0</v>
      </c>
      <c r="BB8" s="116">
        <v>0</v>
      </c>
      <c r="BC8" s="116">
        <v>0</v>
      </c>
      <c r="BD8" s="116">
        <v>0</v>
      </c>
      <c r="BE8" s="116">
        <v>0</v>
      </c>
      <c r="BF8" s="116">
        <v>1</v>
      </c>
      <c r="BG8" s="116">
        <v>0</v>
      </c>
      <c r="BH8" s="116">
        <v>0</v>
      </c>
      <c r="BI8" s="116">
        <v>0</v>
      </c>
      <c r="BJ8" s="116">
        <v>0</v>
      </c>
      <c r="BK8" s="116">
        <v>0</v>
      </c>
      <c r="BL8" s="116">
        <v>0</v>
      </c>
      <c r="BM8" s="116">
        <v>1</v>
      </c>
      <c r="BN8" s="116">
        <v>0</v>
      </c>
      <c r="BO8" s="116">
        <v>0</v>
      </c>
      <c r="BP8" s="116">
        <v>0</v>
      </c>
      <c r="BQ8" s="116">
        <v>0</v>
      </c>
      <c r="BR8" s="116">
        <v>0</v>
      </c>
      <c r="BS8" s="116">
        <v>0</v>
      </c>
      <c r="BT8" s="116">
        <v>0</v>
      </c>
      <c r="BU8" s="116">
        <v>4</v>
      </c>
      <c r="BV8" s="116">
        <v>0</v>
      </c>
      <c r="BW8" s="116">
        <v>0</v>
      </c>
      <c r="BX8" s="116">
        <v>0</v>
      </c>
      <c r="BY8" s="116">
        <v>0</v>
      </c>
      <c r="BZ8" s="116">
        <v>0</v>
      </c>
      <c r="CA8" s="116">
        <v>0</v>
      </c>
      <c r="CB8" s="116">
        <v>0</v>
      </c>
      <c r="CC8" s="116">
        <v>0</v>
      </c>
      <c r="CD8" s="116">
        <v>0</v>
      </c>
      <c r="CE8" s="116">
        <v>0</v>
      </c>
      <c r="CF8" s="116">
        <v>0</v>
      </c>
      <c r="CG8" s="116">
        <v>0</v>
      </c>
      <c r="CH8" s="116">
        <v>0</v>
      </c>
      <c r="CI8" s="116">
        <v>0</v>
      </c>
      <c r="CJ8" s="116">
        <v>0</v>
      </c>
      <c r="CK8" s="116">
        <v>0</v>
      </c>
      <c r="CL8" s="116">
        <v>0</v>
      </c>
      <c r="CM8" s="116">
        <v>0</v>
      </c>
      <c r="CN8" s="116">
        <v>0</v>
      </c>
      <c r="CO8" s="116">
        <v>0</v>
      </c>
      <c r="CP8" s="116">
        <v>0</v>
      </c>
      <c r="CQ8" s="116">
        <v>0</v>
      </c>
      <c r="CR8" s="116">
        <v>0</v>
      </c>
      <c r="CS8" s="116">
        <v>0</v>
      </c>
      <c r="CT8" s="116">
        <v>0</v>
      </c>
      <c r="CU8" s="116">
        <v>0</v>
      </c>
      <c r="CV8" s="116">
        <v>1</v>
      </c>
      <c r="CW8" s="116">
        <v>0</v>
      </c>
      <c r="CX8" s="116">
        <v>1</v>
      </c>
      <c r="CY8" s="116">
        <v>0</v>
      </c>
      <c r="CZ8" s="116">
        <v>0</v>
      </c>
      <c r="DA8" s="116">
        <v>2</v>
      </c>
      <c r="DB8" s="116">
        <v>0</v>
      </c>
      <c r="DC8" s="116">
        <v>0</v>
      </c>
      <c r="DD8" s="116">
        <v>0</v>
      </c>
      <c r="DE8" s="116">
        <v>1</v>
      </c>
      <c r="DF8" s="116">
        <v>1</v>
      </c>
      <c r="DG8" s="116">
        <v>1</v>
      </c>
      <c r="DH8" s="116">
        <v>1</v>
      </c>
      <c r="DI8" s="116">
        <v>1</v>
      </c>
      <c r="DJ8" s="116">
        <v>1</v>
      </c>
      <c r="DK8" s="116">
        <v>0</v>
      </c>
      <c r="DL8" s="116">
        <v>1</v>
      </c>
      <c r="DM8" s="116">
        <v>1</v>
      </c>
      <c r="DN8" s="116">
        <v>0</v>
      </c>
      <c r="DO8" s="116">
        <v>1</v>
      </c>
      <c r="DP8" s="116">
        <v>0</v>
      </c>
      <c r="DQ8" s="116">
        <v>0</v>
      </c>
      <c r="DR8" s="116">
        <v>0</v>
      </c>
      <c r="DS8" s="116">
        <v>1</v>
      </c>
      <c r="DT8" s="116">
        <v>1</v>
      </c>
      <c r="DU8" s="116">
        <v>0</v>
      </c>
      <c r="DV8" s="116">
        <v>1</v>
      </c>
      <c r="DW8" s="116">
        <v>0</v>
      </c>
      <c r="DX8" s="116">
        <v>1</v>
      </c>
      <c r="DY8" s="116">
        <v>0</v>
      </c>
      <c r="DZ8" s="116">
        <v>0</v>
      </c>
      <c r="EA8" s="116">
        <v>1</v>
      </c>
      <c r="EB8" s="116">
        <v>0</v>
      </c>
      <c r="EC8" s="116">
        <v>1</v>
      </c>
      <c r="ED8" s="116">
        <v>0</v>
      </c>
      <c r="EE8" s="116">
        <v>0</v>
      </c>
      <c r="EF8" s="116">
        <v>0</v>
      </c>
      <c r="EG8" s="116">
        <v>15</v>
      </c>
      <c r="EH8" t="s">
        <v>64</v>
      </c>
      <c r="EI8" t="str">
        <f t="shared" si="1"/>
        <v>86790-0K181</v>
      </c>
      <c r="EJ8" s="71" t="s">
        <v>42</v>
      </c>
      <c r="EK8" t="str">
        <f>VLOOKUP(EJ8,'By Plant'!B:D,3,0)</f>
        <v>BP</v>
      </c>
      <c r="EL8" t="str">
        <f t="shared" si="2"/>
        <v>86790-0K181BPP1</v>
      </c>
      <c r="EM8" t="str">
        <f t="shared" si="3"/>
        <v/>
      </c>
      <c r="EN8" t="s">
        <v>149</v>
      </c>
      <c r="EO8" t="s">
        <v>61</v>
      </c>
      <c r="EP8" t="s">
        <v>206</v>
      </c>
      <c r="EQ8" t="str">
        <f t="shared" si="4"/>
        <v>86790-0K051BPKBN</v>
      </c>
      <c r="ER8" t="s">
        <v>62</v>
      </c>
      <c r="FB8" s="15" t="s">
        <v>211</v>
      </c>
      <c r="FC8" s="95">
        <v>240</v>
      </c>
      <c r="FD8" s="95">
        <v>360</v>
      </c>
      <c r="FE8" s="95">
        <v>200</v>
      </c>
      <c r="FF8" s="95">
        <v>20</v>
      </c>
    </row>
    <row r="9" spans="1:162" x14ac:dyDescent="0.3">
      <c r="A9" t="str">
        <f t="shared" si="0"/>
        <v>86790-0K190BP</v>
      </c>
      <c r="B9" s="115" t="s">
        <v>185</v>
      </c>
      <c r="C9" s="115" t="s">
        <v>186</v>
      </c>
      <c r="D9" s="115" t="s">
        <v>172</v>
      </c>
      <c r="E9" s="115" t="s">
        <v>331</v>
      </c>
      <c r="F9" s="115" t="s">
        <v>332</v>
      </c>
      <c r="G9" s="115" t="s">
        <v>173</v>
      </c>
      <c r="H9" s="115" t="s">
        <v>153</v>
      </c>
      <c r="I9" s="116">
        <v>6</v>
      </c>
      <c r="J9" s="116">
        <v>0</v>
      </c>
      <c r="K9" s="116">
        <v>26</v>
      </c>
      <c r="L9" s="116">
        <v>29</v>
      </c>
      <c r="M9" s="116">
        <v>25</v>
      </c>
      <c r="N9" s="116">
        <v>26</v>
      </c>
      <c r="O9" s="116">
        <v>26</v>
      </c>
      <c r="P9" s="116">
        <v>0</v>
      </c>
      <c r="Q9" s="116">
        <v>0</v>
      </c>
      <c r="R9" s="116">
        <v>28</v>
      </c>
      <c r="S9" s="116">
        <v>29</v>
      </c>
      <c r="T9" s="116">
        <v>30</v>
      </c>
      <c r="U9" s="116">
        <v>28</v>
      </c>
      <c r="V9" s="116">
        <v>28</v>
      </c>
      <c r="W9" s="116">
        <v>25</v>
      </c>
      <c r="X9" s="116">
        <v>0</v>
      </c>
      <c r="Y9" s="116">
        <v>30</v>
      </c>
      <c r="Z9" s="116">
        <v>28</v>
      </c>
      <c r="AA9" s="116">
        <v>27</v>
      </c>
      <c r="AB9" s="116">
        <v>31</v>
      </c>
      <c r="AC9" s="116">
        <v>27</v>
      </c>
      <c r="AD9" s="116">
        <v>0</v>
      </c>
      <c r="AE9" s="116">
        <v>0</v>
      </c>
      <c r="AF9" s="116">
        <v>27</v>
      </c>
      <c r="AG9" s="116">
        <v>29</v>
      </c>
      <c r="AH9" s="116">
        <v>23</v>
      </c>
      <c r="AI9" s="116">
        <v>27</v>
      </c>
      <c r="AJ9" s="116">
        <v>29</v>
      </c>
      <c r="AK9" s="116">
        <v>25</v>
      </c>
      <c r="AL9" s="116">
        <v>0</v>
      </c>
      <c r="AM9" s="116">
        <v>0</v>
      </c>
      <c r="AN9" s="116">
        <v>0</v>
      </c>
      <c r="AO9" s="116">
        <v>603</v>
      </c>
      <c r="AP9" s="116">
        <v>0</v>
      </c>
      <c r="AQ9" s="116">
        <v>0</v>
      </c>
      <c r="AR9" s="116">
        <v>0</v>
      </c>
      <c r="AS9" s="116">
        <v>37</v>
      </c>
      <c r="AT9" s="116">
        <v>35</v>
      </c>
      <c r="AU9" s="116">
        <v>34</v>
      </c>
      <c r="AV9" s="116">
        <v>16</v>
      </c>
      <c r="AW9" s="116">
        <v>0</v>
      </c>
      <c r="AX9" s="116">
        <v>33</v>
      </c>
      <c r="AY9" s="116">
        <v>32</v>
      </c>
      <c r="AZ9" s="116">
        <v>35</v>
      </c>
      <c r="BA9" s="116">
        <v>33</v>
      </c>
      <c r="BB9" s="116">
        <v>28</v>
      </c>
      <c r="BC9" s="116">
        <v>26</v>
      </c>
      <c r="BD9" s="116">
        <v>0</v>
      </c>
      <c r="BE9" s="116">
        <v>33</v>
      </c>
      <c r="BF9" s="116">
        <v>32</v>
      </c>
      <c r="BG9" s="116">
        <v>29</v>
      </c>
      <c r="BH9" s="116">
        <v>34</v>
      </c>
      <c r="BI9" s="116">
        <v>29</v>
      </c>
      <c r="BJ9" s="116">
        <v>31</v>
      </c>
      <c r="BK9" s="116">
        <v>0</v>
      </c>
      <c r="BL9" s="116">
        <v>32</v>
      </c>
      <c r="BM9" s="116">
        <v>26</v>
      </c>
      <c r="BN9" s="116">
        <v>23</v>
      </c>
      <c r="BO9" s="116">
        <v>29</v>
      </c>
      <c r="BP9" s="116">
        <v>25</v>
      </c>
      <c r="BQ9" s="116">
        <v>18</v>
      </c>
      <c r="BR9" s="116">
        <v>0</v>
      </c>
      <c r="BS9" s="116">
        <v>28</v>
      </c>
      <c r="BT9" s="116">
        <v>21</v>
      </c>
      <c r="BU9" s="116">
        <v>699</v>
      </c>
      <c r="BV9" s="116">
        <v>18</v>
      </c>
      <c r="BW9" s="116">
        <v>18</v>
      </c>
      <c r="BX9" s="116">
        <v>18</v>
      </c>
      <c r="BY9" s="116">
        <v>9</v>
      </c>
      <c r="BZ9" s="116">
        <v>0</v>
      </c>
      <c r="CA9" s="116">
        <v>18</v>
      </c>
      <c r="CB9" s="116">
        <v>18</v>
      </c>
      <c r="CC9" s="116">
        <v>18</v>
      </c>
      <c r="CD9" s="116">
        <v>18</v>
      </c>
      <c r="CE9" s="116">
        <v>18</v>
      </c>
      <c r="CF9" s="116">
        <v>0</v>
      </c>
      <c r="CG9" s="116">
        <v>0</v>
      </c>
      <c r="CH9" s="116">
        <v>0</v>
      </c>
      <c r="CI9" s="116">
        <v>0</v>
      </c>
      <c r="CJ9" s="116">
        <v>0</v>
      </c>
      <c r="CK9" s="116">
        <v>0</v>
      </c>
      <c r="CL9" s="116">
        <v>0</v>
      </c>
      <c r="CM9" s="116">
        <v>0</v>
      </c>
      <c r="CN9" s="116">
        <v>0</v>
      </c>
      <c r="CO9" s="116">
        <v>18</v>
      </c>
      <c r="CP9" s="116">
        <v>18</v>
      </c>
      <c r="CQ9" s="116">
        <v>18</v>
      </c>
      <c r="CR9" s="116">
        <v>18</v>
      </c>
      <c r="CS9" s="116">
        <v>18</v>
      </c>
      <c r="CT9" s="116">
        <v>18</v>
      </c>
      <c r="CU9" s="116">
        <v>0</v>
      </c>
      <c r="CV9" s="116">
        <v>18</v>
      </c>
      <c r="CW9" s="116">
        <v>18</v>
      </c>
      <c r="CX9" s="116">
        <v>18</v>
      </c>
      <c r="CY9" s="116">
        <v>17</v>
      </c>
      <c r="CZ9" s="116">
        <v>0</v>
      </c>
      <c r="DA9" s="116">
        <v>332</v>
      </c>
      <c r="DB9" s="116">
        <v>0</v>
      </c>
      <c r="DC9" s="116">
        <v>0</v>
      </c>
      <c r="DD9" s="116">
        <v>0</v>
      </c>
      <c r="DE9" s="116">
        <v>32</v>
      </c>
      <c r="DF9" s="116">
        <v>32</v>
      </c>
      <c r="DG9" s="116">
        <v>32</v>
      </c>
      <c r="DH9" s="116">
        <v>32</v>
      </c>
      <c r="DI9" s="116">
        <v>32</v>
      </c>
      <c r="DJ9" s="116">
        <v>32</v>
      </c>
      <c r="DK9" s="116">
        <v>0</v>
      </c>
      <c r="DL9" s="116">
        <v>32</v>
      </c>
      <c r="DM9" s="116">
        <v>33</v>
      </c>
      <c r="DN9" s="116">
        <v>32</v>
      </c>
      <c r="DO9" s="116">
        <v>33</v>
      </c>
      <c r="DP9" s="116">
        <v>32</v>
      </c>
      <c r="DQ9" s="116">
        <v>16</v>
      </c>
      <c r="DR9" s="116">
        <v>0</v>
      </c>
      <c r="DS9" s="116">
        <v>33</v>
      </c>
      <c r="DT9" s="116">
        <v>33</v>
      </c>
      <c r="DU9" s="116">
        <v>32</v>
      </c>
      <c r="DV9" s="116">
        <v>33</v>
      </c>
      <c r="DW9" s="116">
        <v>32</v>
      </c>
      <c r="DX9" s="116">
        <v>33</v>
      </c>
      <c r="DY9" s="116">
        <v>0</v>
      </c>
      <c r="DZ9" s="116">
        <v>32</v>
      </c>
      <c r="EA9" s="116">
        <v>33</v>
      </c>
      <c r="EB9" s="116">
        <v>32</v>
      </c>
      <c r="EC9" s="116">
        <v>33</v>
      </c>
      <c r="ED9" s="116">
        <v>32</v>
      </c>
      <c r="EE9" s="116">
        <v>0</v>
      </c>
      <c r="EF9" s="116">
        <v>0</v>
      </c>
      <c r="EG9" s="116">
        <v>728</v>
      </c>
      <c r="EH9" t="s">
        <v>64</v>
      </c>
      <c r="EI9" t="str">
        <f t="shared" si="1"/>
        <v>86790-0K190</v>
      </c>
      <c r="EJ9" s="71" t="s">
        <v>113</v>
      </c>
      <c r="EK9" t="str">
        <f>VLOOKUP(EJ9,'By Plant'!B:D,3,0)</f>
        <v>BP</v>
      </c>
      <c r="EL9" t="str">
        <f t="shared" si="2"/>
        <v>86790-0K190BPP1</v>
      </c>
      <c r="EM9" t="str">
        <f t="shared" si="3"/>
        <v/>
      </c>
      <c r="EN9" t="s">
        <v>160</v>
      </c>
      <c r="EO9" t="s">
        <v>61</v>
      </c>
      <c r="EP9" t="s">
        <v>206</v>
      </c>
      <c r="EQ9" t="str">
        <f t="shared" si="4"/>
        <v>86790-0K141BPKBN</v>
      </c>
      <c r="ER9" t="s">
        <v>62</v>
      </c>
      <c r="FB9" s="15" t="s">
        <v>160</v>
      </c>
      <c r="FC9" s="95">
        <v>1946</v>
      </c>
      <c r="FD9" s="95">
        <v>2404</v>
      </c>
      <c r="FE9" s="95">
        <v>1451</v>
      </c>
      <c r="FF9" s="95">
        <v>912</v>
      </c>
    </row>
    <row r="10" spans="1:162" x14ac:dyDescent="0.3">
      <c r="A10" t="str">
        <f t="shared" si="0"/>
        <v>86790-0K230BP</v>
      </c>
      <c r="B10" s="115" t="s">
        <v>187</v>
      </c>
      <c r="C10" s="115" t="s">
        <v>188</v>
      </c>
      <c r="D10" s="115" t="s">
        <v>172</v>
      </c>
      <c r="E10" s="115" t="s">
        <v>331</v>
      </c>
      <c r="F10" s="115" t="s">
        <v>332</v>
      </c>
      <c r="G10" s="115" t="s">
        <v>173</v>
      </c>
      <c r="H10" s="115" t="s">
        <v>153</v>
      </c>
      <c r="I10" s="116">
        <v>10</v>
      </c>
      <c r="J10" s="116">
        <v>0</v>
      </c>
      <c r="K10" s="116">
        <v>30</v>
      </c>
      <c r="L10" s="116">
        <v>30</v>
      </c>
      <c r="M10" s="116">
        <v>25</v>
      </c>
      <c r="N10" s="116">
        <v>27</v>
      </c>
      <c r="O10" s="116">
        <v>28</v>
      </c>
      <c r="P10" s="116">
        <v>0</v>
      </c>
      <c r="Q10" s="116">
        <v>0</v>
      </c>
      <c r="R10" s="116">
        <v>25</v>
      </c>
      <c r="S10" s="116">
        <v>29</v>
      </c>
      <c r="T10" s="116">
        <v>31</v>
      </c>
      <c r="U10" s="116">
        <v>31</v>
      </c>
      <c r="V10" s="116">
        <v>31</v>
      </c>
      <c r="W10" s="116">
        <v>17</v>
      </c>
      <c r="X10" s="116">
        <v>0</v>
      </c>
      <c r="Y10" s="116">
        <v>26</v>
      </c>
      <c r="Z10" s="116">
        <v>33</v>
      </c>
      <c r="AA10" s="116">
        <v>29</v>
      </c>
      <c r="AB10" s="116">
        <v>34</v>
      </c>
      <c r="AC10" s="116">
        <v>29</v>
      </c>
      <c r="AD10" s="116">
        <v>0</v>
      </c>
      <c r="AE10" s="116">
        <v>0</v>
      </c>
      <c r="AF10" s="116">
        <v>24</v>
      </c>
      <c r="AG10" s="116">
        <v>30</v>
      </c>
      <c r="AH10" s="116">
        <v>24</v>
      </c>
      <c r="AI10" s="116">
        <v>26</v>
      </c>
      <c r="AJ10" s="116">
        <v>31</v>
      </c>
      <c r="AK10" s="116">
        <v>28</v>
      </c>
      <c r="AL10" s="116">
        <v>0</v>
      </c>
      <c r="AM10" s="116">
        <v>0</v>
      </c>
      <c r="AN10" s="116">
        <v>0</v>
      </c>
      <c r="AO10" s="116">
        <v>618</v>
      </c>
      <c r="AP10" s="116">
        <v>0</v>
      </c>
      <c r="AQ10" s="116">
        <v>0</v>
      </c>
      <c r="AR10" s="116">
        <v>0</v>
      </c>
      <c r="AS10" s="116">
        <v>40</v>
      </c>
      <c r="AT10" s="116">
        <v>36</v>
      </c>
      <c r="AU10" s="116">
        <v>37</v>
      </c>
      <c r="AV10" s="116">
        <v>15</v>
      </c>
      <c r="AW10" s="116">
        <v>0</v>
      </c>
      <c r="AX10" s="116">
        <v>35</v>
      </c>
      <c r="AY10" s="116">
        <v>34</v>
      </c>
      <c r="AZ10" s="116">
        <v>36</v>
      </c>
      <c r="BA10" s="116">
        <v>34</v>
      </c>
      <c r="BB10" s="116">
        <v>31</v>
      </c>
      <c r="BC10" s="116">
        <v>29</v>
      </c>
      <c r="BD10" s="116">
        <v>0</v>
      </c>
      <c r="BE10" s="116">
        <v>32</v>
      </c>
      <c r="BF10" s="116">
        <v>30</v>
      </c>
      <c r="BG10" s="116">
        <v>31</v>
      </c>
      <c r="BH10" s="116">
        <v>34</v>
      </c>
      <c r="BI10" s="116">
        <v>33</v>
      </c>
      <c r="BJ10" s="116">
        <v>33</v>
      </c>
      <c r="BK10" s="116">
        <v>0</v>
      </c>
      <c r="BL10" s="116">
        <v>31</v>
      </c>
      <c r="BM10" s="116">
        <v>28</v>
      </c>
      <c r="BN10" s="116">
        <v>26</v>
      </c>
      <c r="BO10" s="116">
        <v>29</v>
      </c>
      <c r="BP10" s="116">
        <v>26</v>
      </c>
      <c r="BQ10" s="116">
        <v>21</v>
      </c>
      <c r="BR10" s="116">
        <v>0</v>
      </c>
      <c r="BS10" s="116">
        <v>28</v>
      </c>
      <c r="BT10" s="116">
        <v>24</v>
      </c>
      <c r="BU10" s="116">
        <v>733</v>
      </c>
      <c r="BV10" s="116">
        <v>22</v>
      </c>
      <c r="BW10" s="116">
        <v>22</v>
      </c>
      <c r="BX10" s="116">
        <v>22</v>
      </c>
      <c r="BY10" s="116">
        <v>11</v>
      </c>
      <c r="BZ10" s="116">
        <v>0</v>
      </c>
      <c r="CA10" s="116">
        <v>22</v>
      </c>
      <c r="CB10" s="116">
        <v>22</v>
      </c>
      <c r="CC10" s="116">
        <v>22</v>
      </c>
      <c r="CD10" s="116">
        <v>22</v>
      </c>
      <c r="CE10" s="116">
        <v>22</v>
      </c>
      <c r="CF10" s="116">
        <v>0</v>
      </c>
      <c r="CG10" s="116">
        <v>0</v>
      </c>
      <c r="CH10" s="116">
        <v>0</v>
      </c>
      <c r="CI10" s="116">
        <v>0</v>
      </c>
      <c r="CJ10" s="116">
        <v>0</v>
      </c>
      <c r="CK10" s="116">
        <v>0</v>
      </c>
      <c r="CL10" s="116">
        <v>0</v>
      </c>
      <c r="CM10" s="116">
        <v>0</v>
      </c>
      <c r="CN10" s="116">
        <v>0</v>
      </c>
      <c r="CO10" s="116">
        <v>22</v>
      </c>
      <c r="CP10" s="116">
        <v>22</v>
      </c>
      <c r="CQ10" s="116">
        <v>22</v>
      </c>
      <c r="CR10" s="116">
        <v>22</v>
      </c>
      <c r="CS10" s="116">
        <v>22</v>
      </c>
      <c r="CT10" s="116">
        <v>22</v>
      </c>
      <c r="CU10" s="116">
        <v>0</v>
      </c>
      <c r="CV10" s="116">
        <v>22</v>
      </c>
      <c r="CW10" s="116">
        <v>22</v>
      </c>
      <c r="CX10" s="116">
        <v>22</v>
      </c>
      <c r="CY10" s="116">
        <v>21</v>
      </c>
      <c r="CZ10" s="116">
        <v>0</v>
      </c>
      <c r="DA10" s="116">
        <v>406</v>
      </c>
      <c r="DB10" s="116">
        <v>0</v>
      </c>
      <c r="DC10" s="116">
        <v>0</v>
      </c>
      <c r="DD10" s="116">
        <v>0</v>
      </c>
      <c r="DE10" s="116">
        <v>0</v>
      </c>
      <c r="DF10" s="116">
        <v>0</v>
      </c>
      <c r="DG10" s="116">
        <v>0</v>
      </c>
      <c r="DH10" s="116">
        <v>0</v>
      </c>
      <c r="DI10" s="116">
        <v>0</v>
      </c>
      <c r="DJ10" s="116">
        <v>0</v>
      </c>
      <c r="DK10" s="116">
        <v>0</v>
      </c>
      <c r="DL10" s="116">
        <v>0</v>
      </c>
      <c r="DM10" s="116">
        <v>0</v>
      </c>
      <c r="DN10" s="116">
        <v>0</v>
      </c>
      <c r="DO10" s="116">
        <v>0</v>
      </c>
      <c r="DP10" s="116">
        <v>0</v>
      </c>
      <c r="DQ10" s="116">
        <v>0</v>
      </c>
      <c r="DR10" s="116">
        <v>0</v>
      </c>
      <c r="DS10" s="116">
        <v>0</v>
      </c>
      <c r="DT10" s="116">
        <v>0</v>
      </c>
      <c r="DU10" s="116">
        <v>0</v>
      </c>
      <c r="DV10" s="116">
        <v>0</v>
      </c>
      <c r="DW10" s="116">
        <v>0</v>
      </c>
      <c r="DX10" s="116">
        <v>0</v>
      </c>
      <c r="DY10" s="116">
        <v>0</v>
      </c>
      <c r="DZ10" s="116">
        <v>0</v>
      </c>
      <c r="EA10" s="116">
        <v>0</v>
      </c>
      <c r="EB10" s="116">
        <v>0</v>
      </c>
      <c r="EC10" s="116">
        <v>0</v>
      </c>
      <c r="ED10" s="116">
        <v>0</v>
      </c>
      <c r="EE10" s="116">
        <v>0</v>
      </c>
      <c r="EF10" s="116">
        <v>0</v>
      </c>
      <c r="EG10" s="116">
        <v>0</v>
      </c>
      <c r="EH10" s="47" t="s">
        <v>64</v>
      </c>
      <c r="EI10" t="str">
        <f t="shared" si="1"/>
        <v>86790-0K230</v>
      </c>
      <c r="EJ10" s="71" t="s">
        <v>72</v>
      </c>
      <c r="EK10" t="str">
        <f>VLOOKUP(EJ10,'By Plant'!B:D,3,0)</f>
        <v>BP</v>
      </c>
      <c r="EL10" t="str">
        <f t="shared" si="2"/>
        <v>86790-0K230BPP1</v>
      </c>
      <c r="EM10" t="str">
        <f t="shared" si="3"/>
        <v/>
      </c>
      <c r="EN10" t="s">
        <v>162</v>
      </c>
      <c r="EO10" t="s">
        <v>61</v>
      </c>
      <c r="EP10" t="s">
        <v>206</v>
      </c>
      <c r="EQ10" t="str">
        <f t="shared" si="4"/>
        <v>86790-0K171BPKBN</v>
      </c>
      <c r="ER10" t="s">
        <v>62</v>
      </c>
      <c r="FB10" s="15" t="s">
        <v>162</v>
      </c>
      <c r="FC10" s="95">
        <v>1026</v>
      </c>
      <c r="FD10" s="95">
        <v>1077</v>
      </c>
      <c r="FE10" s="95">
        <v>1019</v>
      </c>
      <c r="FF10" s="95">
        <v>230</v>
      </c>
    </row>
    <row r="11" spans="1:162" x14ac:dyDescent="0.3">
      <c r="A11" t="str">
        <f t="shared" si="0"/>
        <v>86790-0K310BP</v>
      </c>
      <c r="B11" s="230" t="s">
        <v>166</v>
      </c>
      <c r="C11" s="115" t="s">
        <v>189</v>
      </c>
      <c r="D11" s="115" t="s">
        <v>172</v>
      </c>
      <c r="E11" s="115" t="s">
        <v>331</v>
      </c>
      <c r="F11" s="118" t="s">
        <v>335</v>
      </c>
      <c r="G11" s="240" t="s">
        <v>173</v>
      </c>
      <c r="H11" s="240" t="s">
        <v>191</v>
      </c>
      <c r="I11" s="116">
        <v>25</v>
      </c>
      <c r="J11" s="116">
        <v>0</v>
      </c>
      <c r="K11" s="116">
        <v>10</v>
      </c>
      <c r="L11" s="116">
        <v>9</v>
      </c>
      <c r="M11" s="116">
        <v>10</v>
      </c>
      <c r="N11" s="116">
        <v>11</v>
      </c>
      <c r="O11" s="116">
        <v>8</v>
      </c>
      <c r="P11" s="116">
        <v>0</v>
      </c>
      <c r="Q11" s="116">
        <v>0</v>
      </c>
      <c r="R11" s="116">
        <v>9</v>
      </c>
      <c r="S11" s="116">
        <v>9</v>
      </c>
      <c r="T11" s="116">
        <v>9</v>
      </c>
      <c r="U11" s="116">
        <v>11</v>
      </c>
      <c r="V11" s="116">
        <v>9</v>
      </c>
      <c r="W11" s="116">
        <v>8</v>
      </c>
      <c r="X11" s="116">
        <v>0</v>
      </c>
      <c r="Y11" s="116">
        <v>10</v>
      </c>
      <c r="Z11" s="116">
        <v>10</v>
      </c>
      <c r="AA11" s="116">
        <v>10</v>
      </c>
      <c r="AB11" s="116">
        <v>9</v>
      </c>
      <c r="AC11" s="116">
        <v>10</v>
      </c>
      <c r="AD11" s="116">
        <v>0</v>
      </c>
      <c r="AE11" s="116">
        <v>0</v>
      </c>
      <c r="AF11" s="116">
        <v>7</v>
      </c>
      <c r="AG11" s="116">
        <v>8</v>
      </c>
      <c r="AH11" s="116">
        <v>8</v>
      </c>
      <c r="AI11" s="116">
        <v>10</v>
      </c>
      <c r="AJ11" s="116">
        <v>7</v>
      </c>
      <c r="AK11" s="116">
        <v>9</v>
      </c>
      <c r="AL11" s="116">
        <v>0</v>
      </c>
      <c r="AM11" s="116">
        <v>0</v>
      </c>
      <c r="AN11" s="116">
        <v>0</v>
      </c>
      <c r="AO11" s="116">
        <v>201</v>
      </c>
      <c r="AP11" s="116">
        <v>0</v>
      </c>
      <c r="AQ11" s="116">
        <v>0</v>
      </c>
      <c r="AR11" s="116">
        <v>0</v>
      </c>
      <c r="AS11" s="116">
        <v>8</v>
      </c>
      <c r="AT11" s="116">
        <v>6</v>
      </c>
      <c r="AU11" s="116">
        <v>7</v>
      </c>
      <c r="AV11" s="116">
        <v>0</v>
      </c>
      <c r="AW11" s="116">
        <v>0</v>
      </c>
      <c r="AX11" s="116">
        <v>7</v>
      </c>
      <c r="AY11" s="116">
        <v>6</v>
      </c>
      <c r="AZ11" s="116">
        <v>6</v>
      </c>
      <c r="BA11" s="116">
        <v>8</v>
      </c>
      <c r="BB11" s="116">
        <v>7</v>
      </c>
      <c r="BC11" s="116">
        <v>6</v>
      </c>
      <c r="BD11" s="116">
        <v>0</v>
      </c>
      <c r="BE11" s="116">
        <v>7</v>
      </c>
      <c r="BF11" s="116">
        <v>5</v>
      </c>
      <c r="BG11" s="116">
        <v>7</v>
      </c>
      <c r="BH11" s="116">
        <v>6</v>
      </c>
      <c r="BI11" s="116">
        <v>7</v>
      </c>
      <c r="BJ11" s="116">
        <v>0</v>
      </c>
      <c r="BK11" s="116">
        <v>0</v>
      </c>
      <c r="BL11" s="116">
        <v>6</v>
      </c>
      <c r="BM11" s="116">
        <v>6</v>
      </c>
      <c r="BN11" s="116">
        <v>7</v>
      </c>
      <c r="BO11" s="116">
        <v>6</v>
      </c>
      <c r="BP11" s="116">
        <v>7</v>
      </c>
      <c r="BQ11" s="116">
        <v>6</v>
      </c>
      <c r="BR11" s="116">
        <v>0</v>
      </c>
      <c r="BS11" s="116">
        <v>7</v>
      </c>
      <c r="BT11" s="116">
        <v>6</v>
      </c>
      <c r="BU11" s="116">
        <v>144</v>
      </c>
      <c r="BV11" s="116">
        <v>4</v>
      </c>
      <c r="BW11" s="116">
        <v>4</v>
      </c>
      <c r="BX11" s="116">
        <v>4</v>
      </c>
      <c r="BY11" s="116">
        <v>2</v>
      </c>
      <c r="BZ11" s="116">
        <v>0</v>
      </c>
      <c r="CA11" s="116">
        <v>4</v>
      </c>
      <c r="CB11" s="116">
        <v>4</v>
      </c>
      <c r="CC11" s="116">
        <v>4</v>
      </c>
      <c r="CD11" s="116">
        <v>4</v>
      </c>
      <c r="CE11" s="116">
        <v>4</v>
      </c>
      <c r="CF11" s="116">
        <v>0</v>
      </c>
      <c r="CG11" s="116">
        <v>0</v>
      </c>
      <c r="CH11" s="116">
        <v>0</v>
      </c>
      <c r="CI11" s="116">
        <v>0</v>
      </c>
      <c r="CJ11" s="116">
        <v>0</v>
      </c>
      <c r="CK11" s="116">
        <v>0</v>
      </c>
      <c r="CL11" s="116">
        <v>0</v>
      </c>
      <c r="CM11" s="116">
        <v>0</v>
      </c>
      <c r="CN11" s="116">
        <v>0</v>
      </c>
      <c r="CO11" s="116">
        <v>5</v>
      </c>
      <c r="CP11" s="116">
        <v>4</v>
      </c>
      <c r="CQ11" s="116">
        <v>5</v>
      </c>
      <c r="CR11" s="116">
        <v>4</v>
      </c>
      <c r="CS11" s="116">
        <v>5</v>
      </c>
      <c r="CT11" s="116">
        <v>4</v>
      </c>
      <c r="CU11" s="116">
        <v>0</v>
      </c>
      <c r="CV11" s="116">
        <v>5</v>
      </c>
      <c r="CW11" s="116">
        <v>4</v>
      </c>
      <c r="CX11" s="116">
        <v>5</v>
      </c>
      <c r="CY11" s="116">
        <v>4</v>
      </c>
      <c r="CZ11" s="116">
        <v>0</v>
      </c>
      <c r="DA11" s="116">
        <v>79</v>
      </c>
      <c r="DB11" s="116">
        <v>0</v>
      </c>
      <c r="DC11" s="116">
        <v>0</v>
      </c>
      <c r="DD11" s="116">
        <v>0</v>
      </c>
      <c r="DE11" s="116">
        <v>9</v>
      </c>
      <c r="DF11" s="116">
        <v>9</v>
      </c>
      <c r="DG11" s="116">
        <v>9</v>
      </c>
      <c r="DH11" s="116">
        <v>9</v>
      </c>
      <c r="DI11" s="116">
        <v>9</v>
      </c>
      <c r="DJ11" s="116">
        <v>9</v>
      </c>
      <c r="DK11" s="116">
        <v>0</v>
      </c>
      <c r="DL11" s="116">
        <v>9</v>
      </c>
      <c r="DM11" s="116">
        <v>9</v>
      </c>
      <c r="DN11" s="116">
        <v>9</v>
      </c>
      <c r="DO11" s="116">
        <v>9</v>
      </c>
      <c r="DP11" s="116">
        <v>9</v>
      </c>
      <c r="DQ11" s="116">
        <v>4</v>
      </c>
      <c r="DR11" s="116">
        <v>0</v>
      </c>
      <c r="DS11" s="116">
        <v>9</v>
      </c>
      <c r="DT11" s="116">
        <v>9</v>
      </c>
      <c r="DU11" s="116">
        <v>9</v>
      </c>
      <c r="DV11" s="116">
        <v>9</v>
      </c>
      <c r="DW11" s="116">
        <v>9</v>
      </c>
      <c r="DX11" s="116">
        <v>9</v>
      </c>
      <c r="DY11" s="116">
        <v>0</v>
      </c>
      <c r="DZ11" s="116">
        <v>9</v>
      </c>
      <c r="EA11" s="116">
        <v>9</v>
      </c>
      <c r="EB11" s="116">
        <v>8</v>
      </c>
      <c r="EC11" s="116">
        <v>9</v>
      </c>
      <c r="ED11" s="116">
        <v>8</v>
      </c>
      <c r="EE11" s="116">
        <v>0</v>
      </c>
      <c r="EF11" s="116">
        <v>0</v>
      </c>
      <c r="EG11" s="116">
        <v>200</v>
      </c>
      <c r="EH11" t="s">
        <v>64</v>
      </c>
      <c r="EI11" t="str">
        <f t="shared" si="1"/>
        <v>86790-0K310</v>
      </c>
      <c r="EJ11" t="s">
        <v>117</v>
      </c>
      <c r="EK11" t="str">
        <f>VLOOKUP(EJ11,'By Plant'!B:D,3,0)</f>
        <v>BP</v>
      </c>
      <c r="EL11" t="str">
        <f t="shared" si="2"/>
        <v>86790-0K310BPP1</v>
      </c>
      <c r="EM11" t="str">
        <f t="shared" si="3"/>
        <v/>
      </c>
      <c r="EN11" t="s">
        <v>224</v>
      </c>
      <c r="EO11" t="s">
        <v>88</v>
      </c>
      <c r="EP11" t="s">
        <v>233</v>
      </c>
      <c r="EQ11" t="str">
        <f t="shared" si="4"/>
        <v>86790-BZ310GWZ1</v>
      </c>
      <c r="ER11" t="s">
        <v>69</v>
      </c>
      <c r="FB11" s="15" t="s">
        <v>183</v>
      </c>
      <c r="FC11" s="95">
        <v>582</v>
      </c>
      <c r="FD11" s="95">
        <v>388</v>
      </c>
      <c r="FE11" s="95">
        <v>386</v>
      </c>
      <c r="FF11" s="95">
        <v>367</v>
      </c>
    </row>
    <row r="12" spans="1:162" x14ac:dyDescent="0.3">
      <c r="A12" t="str">
        <f t="shared" si="0"/>
        <v>86790-0K310BP</v>
      </c>
      <c r="B12" s="230" t="s">
        <v>166</v>
      </c>
      <c r="C12" s="115" t="s">
        <v>189</v>
      </c>
      <c r="D12" s="115" t="s">
        <v>172</v>
      </c>
      <c r="E12" s="115" t="s">
        <v>331</v>
      </c>
      <c r="F12" s="115"/>
      <c r="G12" s="240" t="s">
        <v>334</v>
      </c>
      <c r="H12" s="240" t="s">
        <v>191</v>
      </c>
      <c r="I12" s="116">
        <v>25</v>
      </c>
      <c r="J12" s="116">
        <v>0</v>
      </c>
      <c r="K12" s="116">
        <v>110</v>
      </c>
      <c r="L12" s="116">
        <v>106</v>
      </c>
      <c r="M12" s="116">
        <v>101</v>
      </c>
      <c r="N12" s="116">
        <v>100</v>
      </c>
      <c r="O12" s="116">
        <v>92</v>
      </c>
      <c r="P12" s="116">
        <v>0</v>
      </c>
      <c r="Q12" s="116">
        <v>0</v>
      </c>
      <c r="R12" s="116">
        <v>107</v>
      </c>
      <c r="S12" s="116">
        <v>108</v>
      </c>
      <c r="T12" s="116">
        <v>100</v>
      </c>
      <c r="U12" s="116">
        <v>108</v>
      </c>
      <c r="V12" s="116">
        <v>99</v>
      </c>
      <c r="W12" s="116">
        <v>94</v>
      </c>
      <c r="X12" s="116">
        <v>0</v>
      </c>
      <c r="Y12" s="116">
        <v>105</v>
      </c>
      <c r="Z12" s="116">
        <v>98</v>
      </c>
      <c r="AA12" s="116">
        <v>106</v>
      </c>
      <c r="AB12" s="116">
        <v>103</v>
      </c>
      <c r="AC12" s="116">
        <v>101</v>
      </c>
      <c r="AD12" s="116">
        <v>0</v>
      </c>
      <c r="AE12" s="116">
        <v>0</v>
      </c>
      <c r="AF12" s="116">
        <v>0</v>
      </c>
      <c r="AG12" s="116">
        <v>0</v>
      </c>
      <c r="AH12" s="116">
        <v>0</v>
      </c>
      <c r="AI12" s="116">
        <v>0</v>
      </c>
      <c r="AJ12" s="116">
        <v>0</v>
      </c>
      <c r="AK12" s="116">
        <v>1</v>
      </c>
      <c r="AL12" s="116">
        <v>0</v>
      </c>
      <c r="AM12" s="116">
        <v>0</v>
      </c>
      <c r="AN12" s="116">
        <v>0</v>
      </c>
      <c r="AO12" s="116">
        <v>1639</v>
      </c>
      <c r="AP12" s="116">
        <v>0</v>
      </c>
      <c r="AQ12" s="116">
        <v>0</v>
      </c>
      <c r="AR12" s="116">
        <v>0</v>
      </c>
      <c r="AS12" s="116">
        <v>121</v>
      </c>
      <c r="AT12" s="116">
        <v>122</v>
      </c>
      <c r="AU12" s="116">
        <v>116</v>
      </c>
      <c r="AV12" s="116">
        <v>50</v>
      </c>
      <c r="AW12" s="116">
        <v>0</v>
      </c>
      <c r="AX12" s="116">
        <v>116</v>
      </c>
      <c r="AY12" s="116">
        <v>115</v>
      </c>
      <c r="AZ12" s="116">
        <v>121</v>
      </c>
      <c r="BA12" s="116">
        <v>120</v>
      </c>
      <c r="BB12" s="116">
        <v>108</v>
      </c>
      <c r="BC12" s="116">
        <v>100</v>
      </c>
      <c r="BD12" s="116">
        <v>0</v>
      </c>
      <c r="BE12" s="116">
        <v>166</v>
      </c>
      <c r="BF12" s="116">
        <v>157</v>
      </c>
      <c r="BG12" s="116">
        <v>148</v>
      </c>
      <c r="BH12" s="116">
        <v>170</v>
      </c>
      <c r="BI12" s="116">
        <v>159</v>
      </c>
      <c r="BJ12" s="116">
        <v>158</v>
      </c>
      <c r="BK12" s="116">
        <v>0</v>
      </c>
      <c r="BL12" s="116">
        <v>170</v>
      </c>
      <c r="BM12" s="116">
        <v>165</v>
      </c>
      <c r="BN12" s="116">
        <v>143</v>
      </c>
      <c r="BO12" s="116">
        <v>173</v>
      </c>
      <c r="BP12" s="116">
        <v>154</v>
      </c>
      <c r="BQ12" s="116">
        <v>143</v>
      </c>
      <c r="BR12" s="116">
        <v>0</v>
      </c>
      <c r="BS12" s="116">
        <v>170</v>
      </c>
      <c r="BT12" s="116">
        <v>151</v>
      </c>
      <c r="BU12" s="116">
        <v>3316</v>
      </c>
      <c r="BV12" s="116">
        <v>118</v>
      </c>
      <c r="BW12" s="116">
        <v>118</v>
      </c>
      <c r="BX12" s="116">
        <v>118</v>
      </c>
      <c r="BY12" s="116">
        <v>59</v>
      </c>
      <c r="BZ12" s="116">
        <v>0</v>
      </c>
      <c r="CA12" s="116">
        <v>118</v>
      </c>
      <c r="CB12" s="116">
        <v>118</v>
      </c>
      <c r="CC12" s="116">
        <v>118</v>
      </c>
      <c r="CD12" s="116">
        <v>118</v>
      </c>
      <c r="CE12" s="116">
        <v>118</v>
      </c>
      <c r="CF12" s="116">
        <v>0</v>
      </c>
      <c r="CG12" s="116">
        <v>0</v>
      </c>
      <c r="CH12" s="116">
        <v>0</v>
      </c>
      <c r="CI12" s="116">
        <v>0</v>
      </c>
      <c r="CJ12" s="116">
        <v>0</v>
      </c>
      <c r="CK12" s="116">
        <v>0</v>
      </c>
      <c r="CL12" s="116">
        <v>0</v>
      </c>
      <c r="CM12" s="116">
        <v>0</v>
      </c>
      <c r="CN12" s="116">
        <v>0</v>
      </c>
      <c r="CO12" s="116">
        <v>118</v>
      </c>
      <c r="CP12" s="116">
        <v>118</v>
      </c>
      <c r="CQ12" s="116">
        <v>118</v>
      </c>
      <c r="CR12" s="116">
        <v>118</v>
      </c>
      <c r="CS12" s="116">
        <v>118</v>
      </c>
      <c r="CT12" s="116">
        <v>118</v>
      </c>
      <c r="CU12" s="116">
        <v>0</v>
      </c>
      <c r="CV12" s="116">
        <v>118</v>
      </c>
      <c r="CW12" s="116">
        <v>118</v>
      </c>
      <c r="CX12" s="116">
        <v>118</v>
      </c>
      <c r="CY12" s="116">
        <v>118</v>
      </c>
      <c r="CZ12" s="116">
        <v>0</v>
      </c>
      <c r="DA12" s="116">
        <v>2183</v>
      </c>
      <c r="DB12" s="116">
        <v>0</v>
      </c>
      <c r="DC12" s="116">
        <v>0</v>
      </c>
      <c r="DD12" s="116">
        <v>0</v>
      </c>
      <c r="DE12" s="116">
        <v>147</v>
      </c>
      <c r="DF12" s="116">
        <v>147</v>
      </c>
      <c r="DG12" s="116">
        <v>147</v>
      </c>
      <c r="DH12" s="116">
        <v>147</v>
      </c>
      <c r="DI12" s="116">
        <v>147</v>
      </c>
      <c r="DJ12" s="116">
        <v>147</v>
      </c>
      <c r="DK12" s="116">
        <v>0</v>
      </c>
      <c r="DL12" s="116">
        <v>147</v>
      </c>
      <c r="DM12" s="116">
        <v>147</v>
      </c>
      <c r="DN12" s="116">
        <v>147</v>
      </c>
      <c r="DO12" s="116">
        <v>147</v>
      </c>
      <c r="DP12" s="116">
        <v>147</v>
      </c>
      <c r="DQ12" s="116">
        <v>74</v>
      </c>
      <c r="DR12" s="116">
        <v>0</v>
      </c>
      <c r="DS12" s="116">
        <v>147</v>
      </c>
      <c r="DT12" s="116">
        <v>147</v>
      </c>
      <c r="DU12" s="116">
        <v>147</v>
      </c>
      <c r="DV12" s="116">
        <v>147</v>
      </c>
      <c r="DW12" s="116">
        <v>147</v>
      </c>
      <c r="DX12" s="116">
        <v>147</v>
      </c>
      <c r="DY12" s="116">
        <v>0</v>
      </c>
      <c r="DZ12" s="116">
        <v>147</v>
      </c>
      <c r="EA12" s="116">
        <v>147</v>
      </c>
      <c r="EB12" s="116">
        <v>147</v>
      </c>
      <c r="EC12" s="116">
        <v>147</v>
      </c>
      <c r="ED12" s="116">
        <v>147</v>
      </c>
      <c r="EE12" s="116">
        <v>0</v>
      </c>
      <c r="EF12" s="116">
        <v>0</v>
      </c>
      <c r="EG12" s="116">
        <v>3308</v>
      </c>
      <c r="EH12" t="s">
        <v>64</v>
      </c>
      <c r="EI12" t="str">
        <f t="shared" si="1"/>
        <v>86790-0K310</v>
      </c>
      <c r="EJ12" t="s">
        <v>117</v>
      </c>
      <c r="EK12" t="str">
        <f>VLOOKUP(EJ12,'By Plant'!B:D,3,0)</f>
        <v>BP</v>
      </c>
      <c r="EL12" t="str">
        <f t="shared" si="2"/>
        <v>86790-0K310BPE1</v>
      </c>
      <c r="EM12" t="str">
        <f t="shared" si="3"/>
        <v/>
      </c>
      <c r="EN12" t="s">
        <v>185</v>
      </c>
      <c r="EO12" t="s">
        <v>61</v>
      </c>
      <c r="EP12" t="s">
        <v>206</v>
      </c>
      <c r="EQ12" t="str">
        <f t="shared" si="4"/>
        <v>86790-0K190BPKBN</v>
      </c>
      <c r="ER12" t="s">
        <v>62</v>
      </c>
      <c r="FB12" s="15" t="s">
        <v>185</v>
      </c>
      <c r="FC12" s="95">
        <v>4745</v>
      </c>
      <c r="FD12" s="95">
        <v>5243</v>
      </c>
      <c r="FE12" s="95">
        <v>3468</v>
      </c>
      <c r="FF12" s="95">
        <v>3284</v>
      </c>
    </row>
    <row r="13" spans="1:162" x14ac:dyDescent="0.3">
      <c r="A13" t="str">
        <f t="shared" si="0"/>
        <v>86790-0K400BP</v>
      </c>
      <c r="B13" s="230" t="s">
        <v>168</v>
      </c>
      <c r="C13" s="115" t="s">
        <v>192</v>
      </c>
      <c r="D13" s="115" t="s">
        <v>172</v>
      </c>
      <c r="E13" s="115" t="s">
        <v>331</v>
      </c>
      <c r="F13" s="118" t="s">
        <v>335</v>
      </c>
      <c r="G13" s="240" t="s">
        <v>173</v>
      </c>
      <c r="H13" s="240" t="s">
        <v>191</v>
      </c>
      <c r="I13" s="116">
        <v>38</v>
      </c>
      <c r="J13" s="116">
        <v>0</v>
      </c>
      <c r="K13" s="116">
        <v>10</v>
      </c>
      <c r="L13" s="116">
        <v>9</v>
      </c>
      <c r="M13" s="116">
        <v>10</v>
      </c>
      <c r="N13" s="116">
        <v>11</v>
      </c>
      <c r="O13" s="116">
        <v>8</v>
      </c>
      <c r="P13" s="116">
        <v>0</v>
      </c>
      <c r="Q13" s="116">
        <v>0</v>
      </c>
      <c r="R13" s="116">
        <v>9</v>
      </c>
      <c r="S13" s="116">
        <v>9</v>
      </c>
      <c r="T13" s="116">
        <v>9</v>
      </c>
      <c r="U13" s="116">
        <v>11</v>
      </c>
      <c r="V13" s="116">
        <v>9</v>
      </c>
      <c r="W13" s="116">
        <v>8</v>
      </c>
      <c r="X13" s="116">
        <v>0</v>
      </c>
      <c r="Y13" s="116">
        <v>10</v>
      </c>
      <c r="Z13" s="116">
        <v>10</v>
      </c>
      <c r="AA13" s="116">
        <v>10</v>
      </c>
      <c r="AB13" s="116">
        <v>9</v>
      </c>
      <c r="AC13" s="116">
        <v>10</v>
      </c>
      <c r="AD13" s="116">
        <v>0</v>
      </c>
      <c r="AE13" s="116">
        <v>0</v>
      </c>
      <c r="AF13" s="116">
        <v>7</v>
      </c>
      <c r="AG13" s="116">
        <v>8</v>
      </c>
      <c r="AH13" s="116">
        <v>8</v>
      </c>
      <c r="AI13" s="116">
        <v>10</v>
      </c>
      <c r="AJ13" s="116">
        <v>7</v>
      </c>
      <c r="AK13" s="116">
        <v>9</v>
      </c>
      <c r="AL13" s="116">
        <v>0</v>
      </c>
      <c r="AM13" s="116">
        <v>0</v>
      </c>
      <c r="AN13" s="116">
        <v>0</v>
      </c>
      <c r="AO13" s="116">
        <v>201</v>
      </c>
      <c r="AP13" s="116">
        <v>0</v>
      </c>
      <c r="AQ13" s="116">
        <v>0</v>
      </c>
      <c r="AR13" s="116">
        <v>0</v>
      </c>
      <c r="AS13" s="116">
        <v>8</v>
      </c>
      <c r="AT13" s="116">
        <v>6</v>
      </c>
      <c r="AU13" s="116">
        <v>7</v>
      </c>
      <c r="AV13" s="116">
        <v>0</v>
      </c>
      <c r="AW13" s="116">
        <v>0</v>
      </c>
      <c r="AX13" s="116">
        <v>7</v>
      </c>
      <c r="AY13" s="116">
        <v>6</v>
      </c>
      <c r="AZ13" s="116">
        <v>6</v>
      </c>
      <c r="BA13" s="116">
        <v>8</v>
      </c>
      <c r="BB13" s="116">
        <v>7</v>
      </c>
      <c r="BC13" s="116">
        <v>6</v>
      </c>
      <c r="BD13" s="116">
        <v>0</v>
      </c>
      <c r="BE13" s="116">
        <v>7</v>
      </c>
      <c r="BF13" s="116">
        <v>5</v>
      </c>
      <c r="BG13" s="116">
        <v>7</v>
      </c>
      <c r="BH13" s="116">
        <v>6</v>
      </c>
      <c r="BI13" s="116">
        <v>7</v>
      </c>
      <c r="BJ13" s="116">
        <v>0</v>
      </c>
      <c r="BK13" s="116">
        <v>0</v>
      </c>
      <c r="BL13" s="116">
        <v>6</v>
      </c>
      <c r="BM13" s="116">
        <v>6</v>
      </c>
      <c r="BN13" s="116">
        <v>7</v>
      </c>
      <c r="BO13" s="116">
        <v>6</v>
      </c>
      <c r="BP13" s="116">
        <v>7</v>
      </c>
      <c r="BQ13" s="116">
        <v>6</v>
      </c>
      <c r="BR13" s="116">
        <v>0</v>
      </c>
      <c r="BS13" s="116">
        <v>7</v>
      </c>
      <c r="BT13" s="116">
        <v>6</v>
      </c>
      <c r="BU13" s="116">
        <v>144</v>
      </c>
      <c r="BV13" s="116">
        <v>4</v>
      </c>
      <c r="BW13" s="116">
        <v>4</v>
      </c>
      <c r="BX13" s="116">
        <v>4</v>
      </c>
      <c r="BY13" s="116">
        <v>2</v>
      </c>
      <c r="BZ13" s="116">
        <v>0</v>
      </c>
      <c r="CA13" s="116">
        <v>4</v>
      </c>
      <c r="CB13" s="116">
        <v>4</v>
      </c>
      <c r="CC13" s="116">
        <v>4</v>
      </c>
      <c r="CD13" s="116">
        <v>4</v>
      </c>
      <c r="CE13" s="116">
        <v>4</v>
      </c>
      <c r="CF13" s="116">
        <v>0</v>
      </c>
      <c r="CG13" s="116">
        <v>0</v>
      </c>
      <c r="CH13" s="116">
        <v>0</v>
      </c>
      <c r="CI13" s="116">
        <v>0</v>
      </c>
      <c r="CJ13" s="116">
        <v>0</v>
      </c>
      <c r="CK13" s="116">
        <v>0</v>
      </c>
      <c r="CL13" s="116">
        <v>0</v>
      </c>
      <c r="CM13" s="116">
        <v>0</v>
      </c>
      <c r="CN13" s="116">
        <v>0</v>
      </c>
      <c r="CO13" s="116">
        <v>5</v>
      </c>
      <c r="CP13" s="116">
        <v>4</v>
      </c>
      <c r="CQ13" s="116">
        <v>5</v>
      </c>
      <c r="CR13" s="116">
        <v>4</v>
      </c>
      <c r="CS13" s="116">
        <v>5</v>
      </c>
      <c r="CT13" s="116">
        <v>4</v>
      </c>
      <c r="CU13" s="116">
        <v>0</v>
      </c>
      <c r="CV13" s="116">
        <v>5</v>
      </c>
      <c r="CW13" s="116">
        <v>4</v>
      </c>
      <c r="CX13" s="116">
        <v>5</v>
      </c>
      <c r="CY13" s="116">
        <v>4</v>
      </c>
      <c r="CZ13" s="116">
        <v>0</v>
      </c>
      <c r="DA13" s="116">
        <v>79</v>
      </c>
      <c r="DB13" s="116">
        <v>0</v>
      </c>
      <c r="DC13" s="116">
        <v>0</v>
      </c>
      <c r="DD13" s="116">
        <v>0</v>
      </c>
      <c r="DE13" s="116">
        <v>9</v>
      </c>
      <c r="DF13" s="116">
        <v>9</v>
      </c>
      <c r="DG13" s="116">
        <v>9</v>
      </c>
      <c r="DH13" s="116">
        <v>9</v>
      </c>
      <c r="DI13" s="116">
        <v>9</v>
      </c>
      <c r="DJ13" s="116">
        <v>9</v>
      </c>
      <c r="DK13" s="116">
        <v>0</v>
      </c>
      <c r="DL13" s="116">
        <v>9</v>
      </c>
      <c r="DM13" s="116">
        <v>9</v>
      </c>
      <c r="DN13" s="116">
        <v>9</v>
      </c>
      <c r="DO13" s="116">
        <v>9</v>
      </c>
      <c r="DP13" s="116">
        <v>9</v>
      </c>
      <c r="DQ13" s="116">
        <v>4</v>
      </c>
      <c r="DR13" s="116">
        <v>0</v>
      </c>
      <c r="DS13" s="116">
        <v>9</v>
      </c>
      <c r="DT13" s="116">
        <v>9</v>
      </c>
      <c r="DU13" s="116">
        <v>9</v>
      </c>
      <c r="DV13" s="116">
        <v>9</v>
      </c>
      <c r="DW13" s="116">
        <v>9</v>
      </c>
      <c r="DX13" s="116">
        <v>9</v>
      </c>
      <c r="DY13" s="116">
        <v>0</v>
      </c>
      <c r="DZ13" s="116">
        <v>9</v>
      </c>
      <c r="EA13" s="116">
        <v>9</v>
      </c>
      <c r="EB13" s="116">
        <v>8</v>
      </c>
      <c r="EC13" s="116">
        <v>9</v>
      </c>
      <c r="ED13" s="116">
        <v>8</v>
      </c>
      <c r="EE13" s="116">
        <v>0</v>
      </c>
      <c r="EF13" s="116">
        <v>0</v>
      </c>
      <c r="EG13" s="116">
        <v>200</v>
      </c>
      <c r="EH13" t="s">
        <v>64</v>
      </c>
      <c r="EI13" t="str">
        <f t="shared" si="1"/>
        <v>86790-0K400</v>
      </c>
      <c r="EJ13" t="s">
        <v>118</v>
      </c>
      <c r="EK13" t="str">
        <f>VLOOKUP(EJ13,'By Plant'!B:D,3,0)</f>
        <v>BP</v>
      </c>
      <c r="EL13" t="str">
        <f t="shared" si="2"/>
        <v>86790-0K400BPP1</v>
      </c>
      <c r="EM13" t="str">
        <f t="shared" si="3"/>
        <v/>
      </c>
      <c r="FB13" s="15" t="s">
        <v>220</v>
      </c>
      <c r="FC13" s="95">
        <v>3020</v>
      </c>
      <c r="FD13" s="95">
        <v>2820</v>
      </c>
      <c r="FE13" s="95">
        <v>2880</v>
      </c>
      <c r="FF13" s="95">
        <v>2620</v>
      </c>
    </row>
    <row r="14" spans="1:162" x14ac:dyDescent="0.3">
      <c r="A14" t="str">
        <f t="shared" si="0"/>
        <v>86790-0K400BP</v>
      </c>
      <c r="B14" s="230" t="s">
        <v>168</v>
      </c>
      <c r="C14" s="115" t="s">
        <v>192</v>
      </c>
      <c r="D14" s="115" t="s">
        <v>172</v>
      </c>
      <c r="E14" s="115" t="s">
        <v>331</v>
      </c>
      <c r="F14" s="115"/>
      <c r="G14" s="240" t="s">
        <v>334</v>
      </c>
      <c r="H14" s="240" t="s">
        <v>191</v>
      </c>
      <c r="I14" s="116">
        <v>38</v>
      </c>
      <c r="J14" s="116">
        <v>0</v>
      </c>
      <c r="K14" s="116">
        <v>110</v>
      </c>
      <c r="L14" s="116">
        <v>106</v>
      </c>
      <c r="M14" s="116">
        <v>101</v>
      </c>
      <c r="N14" s="116">
        <v>100</v>
      </c>
      <c r="O14" s="116">
        <v>92</v>
      </c>
      <c r="P14" s="116">
        <v>0</v>
      </c>
      <c r="Q14" s="116">
        <v>0</v>
      </c>
      <c r="R14" s="116">
        <v>107</v>
      </c>
      <c r="S14" s="116">
        <v>108</v>
      </c>
      <c r="T14" s="116">
        <v>100</v>
      </c>
      <c r="U14" s="116">
        <v>108</v>
      </c>
      <c r="V14" s="116">
        <v>99</v>
      </c>
      <c r="W14" s="116">
        <v>94</v>
      </c>
      <c r="X14" s="116">
        <v>0</v>
      </c>
      <c r="Y14" s="116">
        <v>105</v>
      </c>
      <c r="Z14" s="116">
        <v>98</v>
      </c>
      <c r="AA14" s="116">
        <v>106</v>
      </c>
      <c r="AB14" s="116">
        <v>103</v>
      </c>
      <c r="AC14" s="116">
        <v>101</v>
      </c>
      <c r="AD14" s="116">
        <v>0</v>
      </c>
      <c r="AE14" s="116">
        <v>0</v>
      </c>
      <c r="AF14" s="116">
        <v>0</v>
      </c>
      <c r="AG14" s="116">
        <v>0</v>
      </c>
      <c r="AH14" s="116">
        <v>0</v>
      </c>
      <c r="AI14" s="116">
        <v>0</v>
      </c>
      <c r="AJ14" s="116">
        <v>0</v>
      </c>
      <c r="AK14" s="116">
        <v>1</v>
      </c>
      <c r="AL14" s="116">
        <v>0</v>
      </c>
      <c r="AM14" s="116">
        <v>0</v>
      </c>
      <c r="AN14" s="116">
        <v>0</v>
      </c>
      <c r="AO14" s="116">
        <v>1639</v>
      </c>
      <c r="AP14" s="116">
        <v>0</v>
      </c>
      <c r="AQ14" s="116">
        <v>0</v>
      </c>
      <c r="AR14" s="116">
        <v>0</v>
      </c>
      <c r="AS14" s="116">
        <v>121</v>
      </c>
      <c r="AT14" s="116">
        <v>122</v>
      </c>
      <c r="AU14" s="116">
        <v>116</v>
      </c>
      <c r="AV14" s="116">
        <v>50</v>
      </c>
      <c r="AW14" s="116">
        <v>0</v>
      </c>
      <c r="AX14" s="116">
        <v>116</v>
      </c>
      <c r="AY14" s="116">
        <v>115</v>
      </c>
      <c r="AZ14" s="116">
        <v>121</v>
      </c>
      <c r="BA14" s="116">
        <v>120</v>
      </c>
      <c r="BB14" s="116">
        <v>108</v>
      </c>
      <c r="BC14" s="116">
        <v>100</v>
      </c>
      <c r="BD14" s="116">
        <v>0</v>
      </c>
      <c r="BE14" s="116">
        <v>166</v>
      </c>
      <c r="BF14" s="116">
        <v>157</v>
      </c>
      <c r="BG14" s="116">
        <v>148</v>
      </c>
      <c r="BH14" s="116">
        <v>170</v>
      </c>
      <c r="BI14" s="116">
        <v>159</v>
      </c>
      <c r="BJ14" s="116">
        <v>158</v>
      </c>
      <c r="BK14" s="116">
        <v>0</v>
      </c>
      <c r="BL14" s="116">
        <v>170</v>
      </c>
      <c r="BM14" s="116">
        <v>165</v>
      </c>
      <c r="BN14" s="116">
        <v>143</v>
      </c>
      <c r="BO14" s="116">
        <v>173</v>
      </c>
      <c r="BP14" s="116">
        <v>154</v>
      </c>
      <c r="BQ14" s="116">
        <v>143</v>
      </c>
      <c r="BR14" s="116">
        <v>0</v>
      </c>
      <c r="BS14" s="116">
        <v>170</v>
      </c>
      <c r="BT14" s="116">
        <v>151</v>
      </c>
      <c r="BU14" s="116">
        <v>3316</v>
      </c>
      <c r="BV14" s="116">
        <v>118</v>
      </c>
      <c r="BW14" s="116">
        <v>118</v>
      </c>
      <c r="BX14" s="116">
        <v>118</v>
      </c>
      <c r="BY14" s="116">
        <v>59</v>
      </c>
      <c r="BZ14" s="116">
        <v>0</v>
      </c>
      <c r="CA14" s="116">
        <v>118</v>
      </c>
      <c r="CB14" s="116">
        <v>118</v>
      </c>
      <c r="CC14" s="116">
        <v>118</v>
      </c>
      <c r="CD14" s="116">
        <v>118</v>
      </c>
      <c r="CE14" s="116">
        <v>118</v>
      </c>
      <c r="CF14" s="116">
        <v>0</v>
      </c>
      <c r="CG14" s="116">
        <v>0</v>
      </c>
      <c r="CH14" s="116">
        <v>0</v>
      </c>
      <c r="CI14" s="116">
        <v>0</v>
      </c>
      <c r="CJ14" s="116">
        <v>0</v>
      </c>
      <c r="CK14" s="116">
        <v>0</v>
      </c>
      <c r="CL14" s="116">
        <v>0</v>
      </c>
      <c r="CM14" s="116">
        <v>0</v>
      </c>
      <c r="CN14" s="116">
        <v>0</v>
      </c>
      <c r="CO14" s="116">
        <v>118</v>
      </c>
      <c r="CP14" s="116">
        <v>118</v>
      </c>
      <c r="CQ14" s="116">
        <v>118</v>
      </c>
      <c r="CR14" s="116">
        <v>118</v>
      </c>
      <c r="CS14" s="116">
        <v>118</v>
      </c>
      <c r="CT14" s="116">
        <v>118</v>
      </c>
      <c r="CU14" s="116">
        <v>0</v>
      </c>
      <c r="CV14" s="116">
        <v>118</v>
      </c>
      <c r="CW14" s="116">
        <v>118</v>
      </c>
      <c r="CX14" s="116">
        <v>118</v>
      </c>
      <c r="CY14" s="116">
        <v>118</v>
      </c>
      <c r="CZ14" s="116">
        <v>0</v>
      </c>
      <c r="DA14" s="116">
        <v>2183</v>
      </c>
      <c r="DB14" s="116">
        <v>0</v>
      </c>
      <c r="DC14" s="116">
        <v>0</v>
      </c>
      <c r="DD14" s="116">
        <v>0</v>
      </c>
      <c r="DE14" s="116">
        <v>147</v>
      </c>
      <c r="DF14" s="116">
        <v>147</v>
      </c>
      <c r="DG14" s="116">
        <v>147</v>
      </c>
      <c r="DH14" s="116">
        <v>147</v>
      </c>
      <c r="DI14" s="116">
        <v>147</v>
      </c>
      <c r="DJ14" s="116">
        <v>147</v>
      </c>
      <c r="DK14" s="116">
        <v>0</v>
      </c>
      <c r="DL14" s="116">
        <v>147</v>
      </c>
      <c r="DM14" s="116">
        <v>147</v>
      </c>
      <c r="DN14" s="116">
        <v>147</v>
      </c>
      <c r="DO14" s="116">
        <v>147</v>
      </c>
      <c r="DP14" s="116">
        <v>147</v>
      </c>
      <c r="DQ14" s="116">
        <v>74</v>
      </c>
      <c r="DR14" s="116">
        <v>0</v>
      </c>
      <c r="DS14" s="116">
        <v>147</v>
      </c>
      <c r="DT14" s="116">
        <v>147</v>
      </c>
      <c r="DU14" s="116">
        <v>147</v>
      </c>
      <c r="DV14" s="116">
        <v>147</v>
      </c>
      <c r="DW14" s="116">
        <v>147</v>
      </c>
      <c r="DX14" s="116">
        <v>147</v>
      </c>
      <c r="DY14" s="116">
        <v>0</v>
      </c>
      <c r="DZ14" s="116">
        <v>147</v>
      </c>
      <c r="EA14" s="116">
        <v>147</v>
      </c>
      <c r="EB14" s="116">
        <v>147</v>
      </c>
      <c r="EC14" s="116">
        <v>147</v>
      </c>
      <c r="ED14" s="116">
        <v>147</v>
      </c>
      <c r="EE14" s="116">
        <v>0</v>
      </c>
      <c r="EF14" s="116">
        <v>0</v>
      </c>
      <c r="EG14" s="116">
        <v>3308</v>
      </c>
      <c r="EH14" t="s">
        <v>64</v>
      </c>
      <c r="EI14" t="str">
        <f t="shared" si="1"/>
        <v>86790-0K400</v>
      </c>
      <c r="EJ14" t="s">
        <v>118</v>
      </c>
      <c r="EK14" t="str">
        <f>VLOOKUP(EJ14,'By Plant'!B:D,3,0)</f>
        <v>BP</v>
      </c>
      <c r="EL14" t="str">
        <f t="shared" si="2"/>
        <v>86790-0K400BPE1</v>
      </c>
      <c r="EM14" t="str">
        <f t="shared" si="3"/>
        <v/>
      </c>
      <c r="FB14" s="15" t="s">
        <v>199</v>
      </c>
      <c r="FC14" s="95">
        <v>1160</v>
      </c>
      <c r="FD14" s="95">
        <v>2100</v>
      </c>
      <c r="FE14" s="95">
        <v>2040</v>
      </c>
      <c r="FF14" s="95">
        <v>1040</v>
      </c>
    </row>
    <row r="15" spans="1:162" x14ac:dyDescent="0.3">
      <c r="A15" t="str">
        <f t="shared" si="0"/>
        <v>86790-0K220BPK</v>
      </c>
      <c r="B15" s="229" t="s">
        <v>199</v>
      </c>
      <c r="C15" s="115" t="s">
        <v>200</v>
      </c>
      <c r="D15" s="115" t="s">
        <v>172</v>
      </c>
      <c r="E15" s="115" t="s">
        <v>331</v>
      </c>
      <c r="F15" s="115"/>
      <c r="G15" s="115" t="s">
        <v>201</v>
      </c>
      <c r="H15" s="115" t="s">
        <v>202</v>
      </c>
      <c r="I15" s="116">
        <v>20</v>
      </c>
      <c r="J15" s="116">
        <v>0</v>
      </c>
      <c r="K15" s="116">
        <v>60</v>
      </c>
      <c r="L15" s="116">
        <v>40</v>
      </c>
      <c r="M15" s="116">
        <v>60</v>
      </c>
      <c r="N15" s="116">
        <v>60</v>
      </c>
      <c r="O15" s="116">
        <v>40</v>
      </c>
      <c r="P15" s="116">
        <v>0</v>
      </c>
      <c r="Q15" s="116">
        <v>0</v>
      </c>
      <c r="R15" s="116">
        <v>60</v>
      </c>
      <c r="S15" s="116">
        <v>40</v>
      </c>
      <c r="T15" s="116">
        <v>60</v>
      </c>
      <c r="U15" s="116">
        <v>60</v>
      </c>
      <c r="V15" s="116">
        <v>40</v>
      </c>
      <c r="W15" s="116">
        <v>60</v>
      </c>
      <c r="X15" s="116">
        <v>0</v>
      </c>
      <c r="Y15" s="116">
        <v>60</v>
      </c>
      <c r="Z15" s="116">
        <v>40</v>
      </c>
      <c r="AA15" s="116">
        <v>60</v>
      </c>
      <c r="AB15" s="116">
        <v>60</v>
      </c>
      <c r="AC15" s="116">
        <v>40</v>
      </c>
      <c r="AD15" s="116">
        <v>0</v>
      </c>
      <c r="AE15" s="116">
        <v>0</v>
      </c>
      <c r="AF15" s="116">
        <v>60</v>
      </c>
      <c r="AG15" s="116">
        <v>60</v>
      </c>
      <c r="AH15" s="116">
        <v>40</v>
      </c>
      <c r="AI15" s="116">
        <v>60</v>
      </c>
      <c r="AJ15" s="116">
        <v>40</v>
      </c>
      <c r="AK15" s="116">
        <v>60</v>
      </c>
      <c r="AL15" s="116">
        <v>0</v>
      </c>
      <c r="AM15" s="116">
        <v>0</v>
      </c>
      <c r="AN15" s="116">
        <v>0</v>
      </c>
      <c r="AO15" s="116">
        <v>1160</v>
      </c>
      <c r="AP15" s="116">
        <v>0</v>
      </c>
      <c r="AQ15" s="116">
        <v>0</v>
      </c>
      <c r="AR15" s="116">
        <v>80</v>
      </c>
      <c r="AS15" s="116">
        <v>100</v>
      </c>
      <c r="AT15" s="116">
        <v>80</v>
      </c>
      <c r="AU15" s="116">
        <v>80</v>
      </c>
      <c r="AV15" s="116">
        <v>40</v>
      </c>
      <c r="AW15" s="116">
        <v>0</v>
      </c>
      <c r="AX15" s="116">
        <v>100</v>
      </c>
      <c r="AY15" s="116">
        <v>80</v>
      </c>
      <c r="AZ15" s="116">
        <v>100</v>
      </c>
      <c r="BA15" s="116">
        <v>80</v>
      </c>
      <c r="BB15" s="116">
        <v>100</v>
      </c>
      <c r="BC15" s="116">
        <v>80</v>
      </c>
      <c r="BD15" s="116">
        <v>0</v>
      </c>
      <c r="BE15" s="116">
        <v>100</v>
      </c>
      <c r="BF15" s="116">
        <v>80</v>
      </c>
      <c r="BG15" s="116">
        <v>100</v>
      </c>
      <c r="BH15" s="116">
        <v>80</v>
      </c>
      <c r="BI15" s="116">
        <v>100</v>
      </c>
      <c r="BJ15" s="116">
        <v>0</v>
      </c>
      <c r="BK15" s="116">
        <v>0</v>
      </c>
      <c r="BL15" s="116">
        <v>80</v>
      </c>
      <c r="BM15" s="116">
        <v>100</v>
      </c>
      <c r="BN15" s="116">
        <v>80</v>
      </c>
      <c r="BO15" s="116">
        <v>100</v>
      </c>
      <c r="BP15" s="116">
        <v>100</v>
      </c>
      <c r="BQ15" s="116">
        <v>80</v>
      </c>
      <c r="BR15" s="116">
        <v>0</v>
      </c>
      <c r="BS15" s="116">
        <v>80</v>
      </c>
      <c r="BT15" s="116">
        <v>100</v>
      </c>
      <c r="BU15" s="116">
        <v>2100</v>
      </c>
      <c r="BV15" s="116">
        <v>110</v>
      </c>
      <c r="BW15" s="116">
        <v>110</v>
      </c>
      <c r="BX15" s="116">
        <v>110</v>
      </c>
      <c r="BY15" s="116">
        <v>55</v>
      </c>
      <c r="BZ15" s="116">
        <v>0</v>
      </c>
      <c r="CA15" s="116">
        <v>110</v>
      </c>
      <c r="CB15" s="116">
        <v>110</v>
      </c>
      <c r="CC15" s="116">
        <v>110</v>
      </c>
      <c r="CD15" s="116">
        <v>110</v>
      </c>
      <c r="CE15" s="116">
        <v>110</v>
      </c>
      <c r="CF15" s="116">
        <v>0</v>
      </c>
      <c r="CG15" s="116">
        <v>0</v>
      </c>
      <c r="CH15" s="116">
        <v>0</v>
      </c>
      <c r="CI15" s="116">
        <v>0</v>
      </c>
      <c r="CJ15" s="116">
        <v>0</v>
      </c>
      <c r="CK15" s="116">
        <v>0</v>
      </c>
      <c r="CL15" s="116">
        <v>0</v>
      </c>
      <c r="CM15" s="116">
        <v>0</v>
      </c>
      <c r="CN15" s="116">
        <v>0</v>
      </c>
      <c r="CO15" s="116">
        <v>111</v>
      </c>
      <c r="CP15" s="116">
        <v>110</v>
      </c>
      <c r="CQ15" s="116">
        <v>111</v>
      </c>
      <c r="CR15" s="116">
        <v>110</v>
      </c>
      <c r="CS15" s="116">
        <v>111</v>
      </c>
      <c r="CT15" s="116">
        <v>110</v>
      </c>
      <c r="CU15" s="116">
        <v>0</v>
      </c>
      <c r="CV15" s="116">
        <v>111</v>
      </c>
      <c r="CW15" s="116">
        <v>110</v>
      </c>
      <c r="CX15" s="116">
        <v>111</v>
      </c>
      <c r="CY15" s="116">
        <v>110</v>
      </c>
      <c r="CZ15" s="116">
        <v>0</v>
      </c>
      <c r="DA15" s="116">
        <v>2040</v>
      </c>
      <c r="DB15" s="116">
        <v>0</v>
      </c>
      <c r="DC15" s="116">
        <v>0</v>
      </c>
      <c r="DD15" s="116">
        <v>0</v>
      </c>
      <c r="DE15" s="116">
        <v>0</v>
      </c>
      <c r="DF15" s="116">
        <v>52</v>
      </c>
      <c r="DG15" s="116">
        <v>52</v>
      </c>
      <c r="DH15" s="116">
        <v>52</v>
      </c>
      <c r="DI15" s="116">
        <v>52</v>
      </c>
      <c r="DJ15" s="116">
        <v>52</v>
      </c>
      <c r="DK15" s="116">
        <v>0</v>
      </c>
      <c r="DL15" s="116">
        <v>52</v>
      </c>
      <c r="DM15" s="116">
        <v>52</v>
      </c>
      <c r="DN15" s="116">
        <v>52</v>
      </c>
      <c r="DO15" s="116">
        <v>52</v>
      </c>
      <c r="DP15" s="116">
        <v>52</v>
      </c>
      <c r="DQ15" s="116">
        <v>0</v>
      </c>
      <c r="DR15" s="116">
        <v>0</v>
      </c>
      <c r="DS15" s="116">
        <v>52</v>
      </c>
      <c r="DT15" s="116">
        <v>52</v>
      </c>
      <c r="DU15" s="116">
        <v>52</v>
      </c>
      <c r="DV15" s="116">
        <v>52</v>
      </c>
      <c r="DW15" s="116">
        <v>52</v>
      </c>
      <c r="DX15" s="116">
        <v>0</v>
      </c>
      <c r="DY15" s="116">
        <v>0</v>
      </c>
      <c r="DZ15" s="116">
        <v>52</v>
      </c>
      <c r="EA15" s="116">
        <v>52</v>
      </c>
      <c r="EB15" s="116">
        <v>52</v>
      </c>
      <c r="EC15" s="116">
        <v>52</v>
      </c>
      <c r="ED15" s="116">
        <v>52</v>
      </c>
      <c r="EE15" s="116">
        <v>0</v>
      </c>
      <c r="EF15" s="116">
        <v>0</v>
      </c>
      <c r="EG15" s="116">
        <v>1040</v>
      </c>
      <c r="EH15" t="s">
        <v>61</v>
      </c>
      <c r="EI15" t="str">
        <f t="shared" si="1"/>
        <v>86790-0K220</v>
      </c>
      <c r="EJ15" s="71" t="s">
        <v>32</v>
      </c>
      <c r="EK15" t="str">
        <f>VLOOKUP(EJ15,'By Plant'!B:D,3,0)</f>
        <v>BPK</v>
      </c>
      <c r="EL15" t="str">
        <f t="shared" si="2"/>
        <v>86790-0K220BPKD1</v>
      </c>
      <c r="EM15" t="str">
        <f t="shared" si="3"/>
        <v/>
      </c>
      <c r="FB15" s="15" t="s">
        <v>187</v>
      </c>
      <c r="FC15" s="95">
        <v>1082</v>
      </c>
      <c r="FD15" s="95">
        <v>1309</v>
      </c>
      <c r="FE15" s="95">
        <v>822</v>
      </c>
      <c r="FF15" s="95">
        <v>288</v>
      </c>
    </row>
    <row r="16" spans="1:162" x14ac:dyDescent="0.3">
      <c r="A16" t="str">
        <f t="shared" si="0"/>
        <v>86790-0K051BPKTP1</v>
      </c>
      <c r="B16" s="205" t="s">
        <v>149</v>
      </c>
      <c r="C16" s="189" t="s">
        <v>205</v>
      </c>
      <c r="D16" s="189" t="s">
        <v>172</v>
      </c>
      <c r="E16" s="189" t="s">
        <v>331</v>
      </c>
      <c r="F16" s="189"/>
      <c r="G16" s="189" t="s">
        <v>206</v>
      </c>
      <c r="H16" s="189" t="s">
        <v>426</v>
      </c>
      <c r="I16" s="190">
        <v>25</v>
      </c>
      <c r="J16" s="171">
        <v>0</v>
      </c>
      <c r="K16" s="171">
        <v>0</v>
      </c>
      <c r="L16" s="171">
        <v>0</v>
      </c>
      <c r="M16" s="171">
        <v>0</v>
      </c>
      <c r="N16" s="171">
        <v>0</v>
      </c>
      <c r="O16" s="171">
        <v>0</v>
      </c>
      <c r="P16" s="171">
        <v>0</v>
      </c>
      <c r="Q16" s="171">
        <v>0</v>
      </c>
      <c r="R16" s="171">
        <v>0</v>
      </c>
      <c r="S16" s="171">
        <v>0</v>
      </c>
      <c r="T16" s="171">
        <v>0</v>
      </c>
      <c r="U16" s="171">
        <v>0</v>
      </c>
      <c r="V16" s="171">
        <v>0</v>
      </c>
      <c r="W16" s="171">
        <v>0</v>
      </c>
      <c r="X16" s="171">
        <v>0</v>
      </c>
      <c r="Y16" s="171">
        <v>0</v>
      </c>
      <c r="Z16" s="171">
        <v>0</v>
      </c>
      <c r="AA16" s="171">
        <v>0</v>
      </c>
      <c r="AB16" s="171">
        <v>0</v>
      </c>
      <c r="AC16" s="171">
        <v>0</v>
      </c>
      <c r="AD16" s="171">
        <v>0</v>
      </c>
      <c r="AE16" s="171">
        <v>0</v>
      </c>
      <c r="AF16" s="171">
        <v>0</v>
      </c>
      <c r="AG16" s="171">
        <v>0</v>
      </c>
      <c r="AH16" s="171">
        <v>0</v>
      </c>
      <c r="AI16" s="171">
        <v>0</v>
      </c>
      <c r="AJ16" s="171">
        <v>0</v>
      </c>
      <c r="AK16" s="171">
        <v>0</v>
      </c>
      <c r="AL16" s="171">
        <v>0</v>
      </c>
      <c r="AM16" s="171">
        <v>0</v>
      </c>
      <c r="AN16" s="171">
        <v>0</v>
      </c>
      <c r="AO16" s="220">
        <v>0</v>
      </c>
      <c r="AP16" s="220">
        <v>0</v>
      </c>
      <c r="AQ16" s="220">
        <v>0</v>
      </c>
      <c r="AR16" s="220">
        <v>0</v>
      </c>
      <c r="AS16" s="220">
        <v>0</v>
      </c>
      <c r="AT16" s="220">
        <v>0</v>
      </c>
      <c r="AU16" s="220">
        <v>0</v>
      </c>
      <c r="AV16" s="220">
        <v>0</v>
      </c>
      <c r="AW16" s="220">
        <v>0</v>
      </c>
      <c r="AX16" s="220">
        <v>0</v>
      </c>
      <c r="AY16" s="220">
        <v>0</v>
      </c>
      <c r="AZ16" s="220">
        <v>0</v>
      </c>
      <c r="BA16" s="220">
        <v>0</v>
      </c>
      <c r="BB16" s="220">
        <v>0</v>
      </c>
      <c r="BC16" s="220">
        <v>0</v>
      </c>
      <c r="BD16" s="220">
        <v>0</v>
      </c>
      <c r="BE16" s="220">
        <v>0</v>
      </c>
      <c r="BF16" s="220">
        <v>0</v>
      </c>
      <c r="BG16" s="220">
        <v>0</v>
      </c>
      <c r="BH16" s="220">
        <v>0</v>
      </c>
      <c r="BI16" s="220">
        <v>0</v>
      </c>
      <c r="BJ16" s="220">
        <v>0</v>
      </c>
      <c r="BK16" s="220">
        <v>0</v>
      </c>
      <c r="BL16" s="220">
        <v>0</v>
      </c>
      <c r="BM16" s="220">
        <v>0</v>
      </c>
      <c r="BN16" s="220">
        <v>0</v>
      </c>
      <c r="BO16" s="220">
        <v>0</v>
      </c>
      <c r="BP16" s="220">
        <v>0</v>
      </c>
      <c r="BQ16" s="220">
        <v>0</v>
      </c>
      <c r="BR16" s="220">
        <v>0</v>
      </c>
      <c r="BS16" s="220">
        <v>0</v>
      </c>
      <c r="BT16" s="220">
        <v>0</v>
      </c>
      <c r="BU16" s="220">
        <v>0</v>
      </c>
      <c r="BV16" s="220">
        <v>0</v>
      </c>
      <c r="BW16" s="220">
        <v>0</v>
      </c>
      <c r="BX16" s="220">
        <v>0</v>
      </c>
      <c r="BY16" s="220">
        <v>0</v>
      </c>
      <c r="BZ16" s="220">
        <v>0</v>
      </c>
      <c r="CA16" s="220">
        <v>0</v>
      </c>
      <c r="CB16" s="220">
        <v>0</v>
      </c>
      <c r="CC16" s="220">
        <v>0</v>
      </c>
      <c r="CD16" s="220">
        <v>0</v>
      </c>
      <c r="CE16" s="220">
        <v>0</v>
      </c>
      <c r="CF16" s="220">
        <v>0</v>
      </c>
      <c r="CG16" s="220">
        <v>0</v>
      </c>
      <c r="CH16" s="220">
        <v>0</v>
      </c>
      <c r="CI16" s="220">
        <v>0</v>
      </c>
      <c r="CJ16" s="220">
        <v>0</v>
      </c>
      <c r="CK16" s="220">
        <v>0</v>
      </c>
      <c r="CL16" s="220">
        <v>0</v>
      </c>
      <c r="CM16" s="220">
        <v>0</v>
      </c>
      <c r="CN16" s="220">
        <v>0</v>
      </c>
      <c r="CO16" s="220">
        <v>0</v>
      </c>
      <c r="CP16" s="220">
        <v>0</v>
      </c>
      <c r="CQ16" s="220">
        <v>0</v>
      </c>
      <c r="CR16" s="220">
        <v>0</v>
      </c>
      <c r="CS16" s="220">
        <v>0</v>
      </c>
      <c r="CT16" s="220">
        <v>0</v>
      </c>
      <c r="CU16" s="220">
        <v>0</v>
      </c>
      <c r="CV16" s="220">
        <v>0</v>
      </c>
      <c r="CW16" s="220">
        <v>0</v>
      </c>
      <c r="CX16" s="220">
        <v>0</v>
      </c>
      <c r="CY16" s="220">
        <v>0</v>
      </c>
      <c r="CZ16" s="220">
        <v>0</v>
      </c>
      <c r="DA16" s="220">
        <v>0</v>
      </c>
      <c r="DB16" s="220">
        <v>0</v>
      </c>
      <c r="DC16" s="220">
        <v>0</v>
      </c>
      <c r="DD16" s="220">
        <v>0</v>
      </c>
      <c r="DE16" s="220">
        <v>0</v>
      </c>
      <c r="DF16" s="220">
        <v>0</v>
      </c>
      <c r="DG16" s="220">
        <v>0</v>
      </c>
      <c r="DH16" s="220">
        <v>0</v>
      </c>
      <c r="DI16" s="220">
        <v>0</v>
      </c>
      <c r="DJ16" s="220">
        <v>0</v>
      </c>
      <c r="DK16" s="220">
        <v>0</v>
      </c>
      <c r="DL16" s="220">
        <v>0</v>
      </c>
      <c r="DM16" s="220">
        <v>0</v>
      </c>
      <c r="DN16" s="220">
        <v>0</v>
      </c>
      <c r="DO16" s="220">
        <v>0</v>
      </c>
      <c r="DP16" s="220">
        <v>0</v>
      </c>
      <c r="DQ16" s="220">
        <v>0</v>
      </c>
      <c r="DR16" s="220">
        <v>0</v>
      </c>
      <c r="DS16" s="220">
        <v>0</v>
      </c>
      <c r="DT16" s="220">
        <v>0</v>
      </c>
      <c r="DU16" s="220">
        <v>0</v>
      </c>
      <c r="DV16" s="220">
        <v>0</v>
      </c>
      <c r="DW16" s="220">
        <v>0</v>
      </c>
      <c r="DX16" s="220">
        <v>0</v>
      </c>
      <c r="DY16" s="220">
        <v>0</v>
      </c>
      <c r="DZ16" s="220">
        <v>0</v>
      </c>
      <c r="EA16" s="220">
        <v>0</v>
      </c>
      <c r="EB16" s="220">
        <v>0</v>
      </c>
      <c r="EC16" s="220">
        <v>0</v>
      </c>
      <c r="ED16" s="220">
        <v>0</v>
      </c>
      <c r="EE16" s="220">
        <v>0</v>
      </c>
      <c r="EF16" s="220">
        <v>0</v>
      </c>
      <c r="EG16" s="220">
        <v>0</v>
      </c>
      <c r="EH16" t="s">
        <v>61</v>
      </c>
      <c r="EI16" t="str">
        <f t="shared" si="1"/>
        <v>86790-0K051</v>
      </c>
      <c r="EJ16" s="71" t="s">
        <v>100</v>
      </c>
      <c r="EK16" t="str">
        <f>VLOOKUP(EJ16,'By Plant'!B:D,3,0)</f>
        <v>BP</v>
      </c>
      <c r="EL16" t="str">
        <f t="shared" si="2"/>
        <v>86790-0K051BPKBN</v>
      </c>
      <c r="EM16" t="str">
        <f t="shared" si="3"/>
        <v>TP1</v>
      </c>
      <c r="FB16" s="15" t="s">
        <v>166</v>
      </c>
      <c r="FC16" s="95">
        <v>1910</v>
      </c>
      <c r="FD16" s="95">
        <v>5903</v>
      </c>
      <c r="FE16" s="95">
        <v>5385</v>
      </c>
      <c r="FF16" s="95">
        <v>5966</v>
      </c>
    </row>
    <row r="17" spans="1:163" x14ac:dyDescent="0.3">
      <c r="A17" t="str">
        <f t="shared" si="0"/>
        <v>86790-0K051BPKTP1</v>
      </c>
      <c r="B17" s="170" t="s">
        <v>149</v>
      </c>
      <c r="C17" s="170" t="s">
        <v>427</v>
      </c>
      <c r="D17" s="170" t="s">
        <v>428</v>
      </c>
      <c r="E17" s="170" t="s">
        <v>331</v>
      </c>
      <c r="F17" s="170"/>
      <c r="G17" s="170" t="s">
        <v>206</v>
      </c>
      <c r="H17" s="170" t="s">
        <v>153</v>
      </c>
      <c r="I17" s="171">
        <v>1</v>
      </c>
      <c r="J17" s="171">
        <v>0</v>
      </c>
      <c r="K17" s="171">
        <v>0</v>
      </c>
      <c r="L17" s="171">
        <v>0</v>
      </c>
      <c r="M17" s="171">
        <v>0</v>
      </c>
      <c r="N17" s="171">
        <v>0</v>
      </c>
      <c r="O17" s="171">
        <v>0</v>
      </c>
      <c r="P17" s="171">
        <v>0</v>
      </c>
      <c r="Q17" s="171">
        <v>0</v>
      </c>
      <c r="R17" s="171">
        <v>0</v>
      </c>
      <c r="S17" s="171">
        <v>0</v>
      </c>
      <c r="T17" s="171">
        <v>0</v>
      </c>
      <c r="U17" s="171">
        <v>0</v>
      </c>
      <c r="V17" s="171">
        <v>0</v>
      </c>
      <c r="W17" s="171">
        <v>0</v>
      </c>
      <c r="X17" s="171">
        <v>0</v>
      </c>
      <c r="Y17" s="171">
        <v>0</v>
      </c>
      <c r="Z17" s="171">
        <v>0</v>
      </c>
      <c r="AA17" s="171">
        <v>0</v>
      </c>
      <c r="AB17" s="171">
        <v>0</v>
      </c>
      <c r="AC17" s="171">
        <v>0</v>
      </c>
      <c r="AD17" s="171">
        <v>0</v>
      </c>
      <c r="AE17" s="171">
        <v>0</v>
      </c>
      <c r="AF17" s="171">
        <v>0</v>
      </c>
      <c r="AG17" s="171">
        <v>0</v>
      </c>
      <c r="AH17" s="171">
        <v>0</v>
      </c>
      <c r="AI17" s="171">
        <v>0</v>
      </c>
      <c r="AJ17" s="171">
        <v>0</v>
      </c>
      <c r="AK17" s="171">
        <v>0</v>
      </c>
      <c r="AL17" s="171">
        <v>0</v>
      </c>
      <c r="AM17" s="171">
        <v>0</v>
      </c>
      <c r="AN17" s="171">
        <v>0</v>
      </c>
      <c r="AO17" s="171">
        <v>0</v>
      </c>
      <c r="AP17" s="171">
        <v>0</v>
      </c>
      <c r="AQ17" s="171">
        <v>0</v>
      </c>
      <c r="AR17" s="171">
        <v>0</v>
      </c>
      <c r="AS17" s="171">
        <v>0</v>
      </c>
      <c r="AT17" s="171">
        <v>0</v>
      </c>
      <c r="AU17" s="171">
        <v>0</v>
      </c>
      <c r="AV17" s="171">
        <v>0</v>
      </c>
      <c r="AW17" s="171">
        <v>0</v>
      </c>
      <c r="AX17" s="171">
        <v>0</v>
      </c>
      <c r="AY17" s="171">
        <v>0</v>
      </c>
      <c r="AZ17" s="171">
        <v>0</v>
      </c>
      <c r="BA17" s="171">
        <v>0</v>
      </c>
      <c r="BB17" s="171">
        <v>0</v>
      </c>
      <c r="BC17" s="171">
        <v>0</v>
      </c>
      <c r="BD17" s="171">
        <v>0</v>
      </c>
      <c r="BE17" s="171">
        <v>0</v>
      </c>
      <c r="BF17" s="171">
        <v>0</v>
      </c>
      <c r="BG17" s="171">
        <v>0</v>
      </c>
      <c r="BH17" s="171">
        <v>0</v>
      </c>
      <c r="BI17" s="171">
        <v>0</v>
      </c>
      <c r="BJ17" s="171">
        <v>0</v>
      </c>
      <c r="BK17" s="171">
        <v>0</v>
      </c>
      <c r="BL17" s="171">
        <v>0</v>
      </c>
      <c r="BM17" s="171">
        <v>0</v>
      </c>
      <c r="BN17" s="171">
        <v>0</v>
      </c>
      <c r="BO17" s="171">
        <v>0</v>
      </c>
      <c r="BP17" s="171">
        <v>0</v>
      </c>
      <c r="BQ17" s="171">
        <v>0</v>
      </c>
      <c r="BR17" s="171">
        <v>0</v>
      </c>
      <c r="BS17" s="171">
        <v>0</v>
      </c>
      <c r="BT17" s="171">
        <v>0</v>
      </c>
      <c r="BU17" s="171">
        <v>0</v>
      </c>
      <c r="BV17" s="171">
        <v>0</v>
      </c>
      <c r="BW17" s="171">
        <v>0</v>
      </c>
      <c r="BX17" s="171">
        <v>0</v>
      </c>
      <c r="BY17" s="171">
        <v>0</v>
      </c>
      <c r="BZ17" s="171">
        <v>0</v>
      </c>
      <c r="CA17" s="171">
        <v>0</v>
      </c>
      <c r="CB17" s="171">
        <v>0</v>
      </c>
      <c r="CC17" s="171">
        <v>0</v>
      </c>
      <c r="CD17" s="171">
        <v>0</v>
      </c>
      <c r="CE17" s="171">
        <v>0</v>
      </c>
      <c r="CF17" s="171">
        <v>0</v>
      </c>
      <c r="CG17" s="171">
        <v>0</v>
      </c>
      <c r="CH17" s="171">
        <v>0</v>
      </c>
      <c r="CI17" s="171">
        <v>0</v>
      </c>
      <c r="CJ17" s="171">
        <v>0</v>
      </c>
      <c r="CK17" s="171">
        <v>0</v>
      </c>
      <c r="CL17" s="171">
        <v>0</v>
      </c>
      <c r="CM17" s="171">
        <v>0</v>
      </c>
      <c r="CN17" s="171">
        <v>0</v>
      </c>
      <c r="CO17" s="171">
        <v>0</v>
      </c>
      <c r="CP17" s="171">
        <v>0</v>
      </c>
      <c r="CQ17" s="171">
        <v>0</v>
      </c>
      <c r="CR17" s="171">
        <v>0</v>
      </c>
      <c r="CS17" s="171">
        <v>0</v>
      </c>
      <c r="CT17" s="171">
        <v>0</v>
      </c>
      <c r="CU17" s="171">
        <v>0</v>
      </c>
      <c r="CV17" s="171">
        <v>0</v>
      </c>
      <c r="CW17" s="171">
        <v>0</v>
      </c>
      <c r="CX17" s="171">
        <v>0</v>
      </c>
      <c r="CY17" s="171">
        <v>0</v>
      </c>
      <c r="CZ17" s="171">
        <v>0</v>
      </c>
      <c r="DA17" s="171">
        <v>0</v>
      </c>
      <c r="DB17" s="171">
        <v>0</v>
      </c>
      <c r="DC17" s="171">
        <v>0</v>
      </c>
      <c r="DD17" s="171">
        <v>0</v>
      </c>
      <c r="DE17" s="171">
        <v>0</v>
      </c>
      <c r="DF17" s="171">
        <v>0</v>
      </c>
      <c r="DG17" s="171">
        <v>0</v>
      </c>
      <c r="DH17" s="171">
        <v>0</v>
      </c>
      <c r="DI17" s="171">
        <v>0</v>
      </c>
      <c r="DJ17" s="171">
        <v>0</v>
      </c>
      <c r="DK17" s="171">
        <v>0</v>
      </c>
      <c r="DL17" s="171">
        <v>0</v>
      </c>
      <c r="DM17" s="171">
        <v>0</v>
      </c>
      <c r="DN17" s="171">
        <v>0</v>
      </c>
      <c r="DO17" s="171">
        <v>0</v>
      </c>
      <c r="DP17" s="171">
        <v>0</v>
      </c>
      <c r="DQ17" s="171">
        <v>0</v>
      </c>
      <c r="DR17" s="171">
        <v>0</v>
      </c>
      <c r="DS17" s="171">
        <v>0</v>
      </c>
      <c r="DT17" s="171">
        <v>0</v>
      </c>
      <c r="DU17" s="171">
        <v>0</v>
      </c>
      <c r="DV17" s="171">
        <v>0</v>
      </c>
      <c r="DW17" s="171">
        <v>0</v>
      </c>
      <c r="DX17" s="171">
        <v>0</v>
      </c>
      <c r="DY17" s="171">
        <v>0</v>
      </c>
      <c r="DZ17" s="171">
        <v>0</v>
      </c>
      <c r="EA17" s="171">
        <v>0</v>
      </c>
      <c r="EB17" s="171">
        <v>0</v>
      </c>
      <c r="EC17" s="171">
        <v>0</v>
      </c>
      <c r="ED17" s="171">
        <v>0</v>
      </c>
      <c r="EE17" s="171">
        <v>0</v>
      </c>
      <c r="EF17" s="171">
        <v>0</v>
      </c>
      <c r="EG17" s="171">
        <v>0</v>
      </c>
      <c r="EH17" t="s">
        <v>61</v>
      </c>
      <c r="EI17" t="str">
        <f t="shared" si="1"/>
        <v>86790-0K051</v>
      </c>
      <c r="EJ17" s="71" t="s">
        <v>100</v>
      </c>
      <c r="EK17" t="str">
        <f>VLOOKUP(EJ17,'By Plant'!B:D,3,0)</f>
        <v>BP</v>
      </c>
      <c r="EL17" t="str">
        <f t="shared" si="2"/>
        <v>86790-0K051BPKBN</v>
      </c>
      <c r="EM17" t="str">
        <f t="shared" si="3"/>
        <v>TP1</v>
      </c>
      <c r="FB17" s="15" t="s">
        <v>168</v>
      </c>
      <c r="FC17" s="95">
        <v>1910</v>
      </c>
      <c r="FD17" s="95">
        <v>5915</v>
      </c>
      <c r="FE17" s="95">
        <v>5397</v>
      </c>
      <c r="FF17" s="95">
        <v>6002</v>
      </c>
    </row>
    <row r="18" spans="1:163" x14ac:dyDescent="0.3">
      <c r="A18" t="str">
        <f t="shared" si="0"/>
        <v>86790-0K051BPKTP1</v>
      </c>
      <c r="B18" s="115" t="s">
        <v>149</v>
      </c>
      <c r="C18" s="115" t="s">
        <v>205</v>
      </c>
      <c r="D18" s="115" t="s">
        <v>172</v>
      </c>
      <c r="E18" s="115" t="s">
        <v>331</v>
      </c>
      <c r="F18" s="115"/>
      <c r="G18" s="115" t="s">
        <v>206</v>
      </c>
      <c r="H18" s="115" t="s">
        <v>153</v>
      </c>
      <c r="I18" s="116">
        <v>25</v>
      </c>
      <c r="J18" s="116">
        <v>0</v>
      </c>
      <c r="K18" s="116">
        <v>30</v>
      </c>
      <c r="L18" s="116">
        <v>40</v>
      </c>
      <c r="M18" s="116">
        <v>30</v>
      </c>
      <c r="N18" s="116">
        <v>20</v>
      </c>
      <c r="O18" s="116">
        <v>40</v>
      </c>
      <c r="P18" s="116">
        <v>0</v>
      </c>
      <c r="Q18" s="116">
        <v>0</v>
      </c>
      <c r="R18" s="116">
        <v>10</v>
      </c>
      <c r="S18" s="116">
        <v>30</v>
      </c>
      <c r="T18" s="116">
        <v>40</v>
      </c>
      <c r="U18" s="116">
        <v>30</v>
      </c>
      <c r="V18" s="116">
        <v>30</v>
      </c>
      <c r="W18" s="116">
        <v>30</v>
      </c>
      <c r="X18" s="116">
        <v>0</v>
      </c>
      <c r="Y18" s="116">
        <v>30</v>
      </c>
      <c r="Z18" s="116">
        <v>30</v>
      </c>
      <c r="AA18" s="116">
        <v>40</v>
      </c>
      <c r="AB18" s="116">
        <v>20</v>
      </c>
      <c r="AC18" s="116">
        <v>30</v>
      </c>
      <c r="AD18" s="116">
        <v>0</v>
      </c>
      <c r="AE18" s="116">
        <v>0</v>
      </c>
      <c r="AF18" s="116">
        <v>20</v>
      </c>
      <c r="AG18" s="116">
        <v>30</v>
      </c>
      <c r="AH18" s="116">
        <v>40</v>
      </c>
      <c r="AI18" s="116">
        <v>30</v>
      </c>
      <c r="AJ18" s="116">
        <v>30</v>
      </c>
      <c r="AK18" s="116">
        <v>10</v>
      </c>
      <c r="AL18" s="116">
        <v>0</v>
      </c>
      <c r="AM18" s="116">
        <v>0</v>
      </c>
      <c r="AN18" s="116">
        <v>0</v>
      </c>
      <c r="AO18" s="116">
        <v>640</v>
      </c>
      <c r="AP18" s="116">
        <v>0</v>
      </c>
      <c r="AQ18" s="116">
        <v>0</v>
      </c>
      <c r="AR18" s="116">
        <v>30</v>
      </c>
      <c r="AS18" s="116">
        <v>30</v>
      </c>
      <c r="AT18" s="116">
        <v>20</v>
      </c>
      <c r="AU18" s="116">
        <v>20</v>
      </c>
      <c r="AV18" s="116">
        <v>20</v>
      </c>
      <c r="AW18" s="116">
        <v>0</v>
      </c>
      <c r="AX18" s="116">
        <v>40</v>
      </c>
      <c r="AY18" s="116">
        <v>10</v>
      </c>
      <c r="AZ18" s="116">
        <v>40</v>
      </c>
      <c r="BA18" s="116">
        <v>20</v>
      </c>
      <c r="BB18" s="116">
        <v>30</v>
      </c>
      <c r="BC18" s="116">
        <v>20</v>
      </c>
      <c r="BD18" s="116">
        <v>0</v>
      </c>
      <c r="BE18" s="116">
        <v>40</v>
      </c>
      <c r="BF18" s="116">
        <v>20</v>
      </c>
      <c r="BG18" s="116">
        <v>30</v>
      </c>
      <c r="BH18" s="116">
        <v>20</v>
      </c>
      <c r="BI18" s="116">
        <v>30</v>
      </c>
      <c r="BJ18" s="116">
        <v>0</v>
      </c>
      <c r="BK18" s="116">
        <v>0</v>
      </c>
      <c r="BL18" s="116">
        <v>40</v>
      </c>
      <c r="BM18" s="116">
        <v>20</v>
      </c>
      <c r="BN18" s="116">
        <v>30</v>
      </c>
      <c r="BO18" s="116">
        <v>40</v>
      </c>
      <c r="BP18" s="116">
        <v>0</v>
      </c>
      <c r="BQ18" s="116">
        <v>40</v>
      </c>
      <c r="BR18" s="116">
        <v>0</v>
      </c>
      <c r="BS18" s="116">
        <v>30</v>
      </c>
      <c r="BT18" s="116">
        <v>30</v>
      </c>
      <c r="BU18" s="116">
        <v>650</v>
      </c>
      <c r="BV18" s="116">
        <v>25</v>
      </c>
      <c r="BW18" s="116">
        <v>25</v>
      </c>
      <c r="BX18" s="116">
        <v>25</v>
      </c>
      <c r="BY18" s="116">
        <v>12</v>
      </c>
      <c r="BZ18" s="116">
        <v>0</v>
      </c>
      <c r="CA18" s="116">
        <v>25</v>
      </c>
      <c r="CB18" s="116">
        <v>25</v>
      </c>
      <c r="CC18" s="116">
        <v>25</v>
      </c>
      <c r="CD18" s="116">
        <v>25</v>
      </c>
      <c r="CE18" s="116">
        <v>25</v>
      </c>
      <c r="CF18" s="116">
        <v>0</v>
      </c>
      <c r="CG18" s="116">
        <v>0</v>
      </c>
      <c r="CH18" s="116">
        <v>0</v>
      </c>
      <c r="CI18" s="116">
        <v>0</v>
      </c>
      <c r="CJ18" s="116">
        <v>0</v>
      </c>
      <c r="CK18" s="116">
        <v>0</v>
      </c>
      <c r="CL18" s="116">
        <v>0</v>
      </c>
      <c r="CM18" s="116">
        <v>0</v>
      </c>
      <c r="CN18" s="116">
        <v>0</v>
      </c>
      <c r="CO18" s="116">
        <v>25</v>
      </c>
      <c r="CP18" s="116">
        <v>25</v>
      </c>
      <c r="CQ18" s="116">
        <v>25</v>
      </c>
      <c r="CR18" s="116">
        <v>25</v>
      </c>
      <c r="CS18" s="116">
        <v>25</v>
      </c>
      <c r="CT18" s="116">
        <v>25</v>
      </c>
      <c r="CU18" s="116">
        <v>0</v>
      </c>
      <c r="CV18" s="116">
        <v>25</v>
      </c>
      <c r="CW18" s="116">
        <v>24</v>
      </c>
      <c r="CX18" s="116">
        <v>25</v>
      </c>
      <c r="CY18" s="116">
        <v>24</v>
      </c>
      <c r="CZ18" s="116">
        <v>0</v>
      </c>
      <c r="DA18" s="116">
        <v>460</v>
      </c>
      <c r="DB18" s="116">
        <v>0</v>
      </c>
      <c r="DC18" s="116">
        <v>0</v>
      </c>
      <c r="DD18" s="116">
        <v>0</v>
      </c>
      <c r="DE18" s="116">
        <v>0</v>
      </c>
      <c r="DF18" s="116">
        <v>12</v>
      </c>
      <c r="DG18" s="116">
        <v>11</v>
      </c>
      <c r="DH18" s="116">
        <v>12</v>
      </c>
      <c r="DI18" s="116">
        <v>11</v>
      </c>
      <c r="DJ18" s="116">
        <v>12</v>
      </c>
      <c r="DK18" s="116">
        <v>0</v>
      </c>
      <c r="DL18" s="116">
        <v>11</v>
      </c>
      <c r="DM18" s="116">
        <v>12</v>
      </c>
      <c r="DN18" s="116">
        <v>11</v>
      </c>
      <c r="DO18" s="116">
        <v>12</v>
      </c>
      <c r="DP18" s="116">
        <v>11</v>
      </c>
      <c r="DQ18" s="116">
        <v>0</v>
      </c>
      <c r="DR18" s="116">
        <v>0</v>
      </c>
      <c r="DS18" s="116">
        <v>12</v>
      </c>
      <c r="DT18" s="116">
        <v>11</v>
      </c>
      <c r="DU18" s="116">
        <v>12</v>
      </c>
      <c r="DV18" s="116">
        <v>11</v>
      </c>
      <c r="DW18" s="116">
        <v>12</v>
      </c>
      <c r="DX18" s="116">
        <v>0</v>
      </c>
      <c r="DY18" s="116">
        <v>0</v>
      </c>
      <c r="DZ18" s="116">
        <v>11</v>
      </c>
      <c r="EA18" s="116">
        <v>12</v>
      </c>
      <c r="EB18" s="116">
        <v>11</v>
      </c>
      <c r="EC18" s="116">
        <v>12</v>
      </c>
      <c r="ED18" s="116">
        <v>11</v>
      </c>
      <c r="EE18" s="116">
        <v>0</v>
      </c>
      <c r="EF18" s="116">
        <v>0</v>
      </c>
      <c r="EG18" s="116">
        <v>230</v>
      </c>
      <c r="EH18" t="s">
        <v>61</v>
      </c>
      <c r="EI18" t="str">
        <f t="shared" si="1"/>
        <v>86790-0K051</v>
      </c>
      <c r="EJ18" s="71" t="s">
        <v>100</v>
      </c>
      <c r="EK18" t="str">
        <f>VLOOKUP(EJ18,'By Plant'!B:D,3,0)</f>
        <v>BP</v>
      </c>
      <c r="EL18" t="str">
        <f t="shared" si="2"/>
        <v>86790-0K051BPKBN</v>
      </c>
      <c r="EM18" t="str">
        <f t="shared" si="3"/>
        <v>TP1</v>
      </c>
      <c r="FB18" s="15" t="s">
        <v>250</v>
      </c>
      <c r="FC18" s="95">
        <v>5651</v>
      </c>
      <c r="FD18" s="95">
        <v>7044</v>
      </c>
      <c r="FE18" s="95">
        <v>5224</v>
      </c>
      <c r="FF18" s="95">
        <v>7912</v>
      </c>
    </row>
    <row r="19" spans="1:163" x14ac:dyDescent="0.3">
      <c r="A19" t="str">
        <f t="shared" si="0"/>
        <v>86790-0K051BPKSN1</v>
      </c>
      <c r="B19" s="115" t="s">
        <v>149</v>
      </c>
      <c r="C19" s="115" t="s">
        <v>205</v>
      </c>
      <c r="D19" s="115" t="s">
        <v>172</v>
      </c>
      <c r="E19" s="115" t="s">
        <v>331</v>
      </c>
      <c r="F19" s="115"/>
      <c r="G19" s="115" t="s">
        <v>201</v>
      </c>
      <c r="H19" s="115" t="s">
        <v>153</v>
      </c>
      <c r="I19" s="116">
        <v>30</v>
      </c>
      <c r="J19" s="116">
        <v>0</v>
      </c>
      <c r="K19" s="116">
        <v>270</v>
      </c>
      <c r="L19" s="116">
        <v>270</v>
      </c>
      <c r="M19" s="116">
        <v>240</v>
      </c>
      <c r="N19" s="116">
        <v>270</v>
      </c>
      <c r="O19" s="116">
        <v>270</v>
      </c>
      <c r="P19" s="116">
        <v>0</v>
      </c>
      <c r="Q19" s="116">
        <v>0</v>
      </c>
      <c r="R19" s="116">
        <v>270</v>
      </c>
      <c r="S19" s="116">
        <v>270</v>
      </c>
      <c r="T19" s="116">
        <v>240</v>
      </c>
      <c r="U19" s="116">
        <v>300</v>
      </c>
      <c r="V19" s="116">
        <v>240</v>
      </c>
      <c r="W19" s="116">
        <v>240</v>
      </c>
      <c r="X19" s="116">
        <v>0</v>
      </c>
      <c r="Y19" s="116">
        <v>300</v>
      </c>
      <c r="Z19" s="116">
        <v>240</v>
      </c>
      <c r="AA19" s="116">
        <v>270</v>
      </c>
      <c r="AB19" s="116">
        <v>270</v>
      </c>
      <c r="AC19" s="116">
        <v>270</v>
      </c>
      <c r="AD19" s="116">
        <v>0</v>
      </c>
      <c r="AE19" s="116">
        <v>0</v>
      </c>
      <c r="AF19" s="116">
        <v>240</v>
      </c>
      <c r="AG19" s="116">
        <v>270</v>
      </c>
      <c r="AH19" s="116">
        <v>270</v>
      </c>
      <c r="AI19" s="116">
        <v>270</v>
      </c>
      <c r="AJ19" s="116">
        <v>270</v>
      </c>
      <c r="AK19" s="116">
        <v>240</v>
      </c>
      <c r="AL19" s="116">
        <v>0</v>
      </c>
      <c r="AM19" s="116">
        <v>0</v>
      </c>
      <c r="AN19" s="116">
        <v>0</v>
      </c>
      <c r="AO19" s="116">
        <v>5790</v>
      </c>
      <c r="AP19" s="116">
        <v>0</v>
      </c>
      <c r="AQ19" s="116">
        <v>0</v>
      </c>
      <c r="AR19" s="116">
        <v>240</v>
      </c>
      <c r="AS19" s="116">
        <v>300</v>
      </c>
      <c r="AT19" s="116">
        <v>300</v>
      </c>
      <c r="AU19" s="116">
        <v>360</v>
      </c>
      <c r="AV19" s="116">
        <v>150</v>
      </c>
      <c r="AW19" s="116">
        <v>0</v>
      </c>
      <c r="AX19" s="116">
        <v>330</v>
      </c>
      <c r="AY19" s="116">
        <v>360</v>
      </c>
      <c r="AZ19" s="116">
        <v>330</v>
      </c>
      <c r="BA19" s="116">
        <v>360</v>
      </c>
      <c r="BB19" s="116">
        <v>360</v>
      </c>
      <c r="BC19" s="116">
        <v>360</v>
      </c>
      <c r="BD19" s="116">
        <v>0</v>
      </c>
      <c r="BE19" s="116">
        <v>330</v>
      </c>
      <c r="BF19" s="116">
        <v>390</v>
      </c>
      <c r="BG19" s="116">
        <v>360</v>
      </c>
      <c r="BH19" s="116">
        <v>330</v>
      </c>
      <c r="BI19" s="116">
        <v>360</v>
      </c>
      <c r="BJ19" s="116">
        <v>0</v>
      </c>
      <c r="BK19" s="116">
        <v>0</v>
      </c>
      <c r="BL19" s="116">
        <v>360</v>
      </c>
      <c r="BM19" s="116">
        <v>360</v>
      </c>
      <c r="BN19" s="116">
        <v>330</v>
      </c>
      <c r="BO19" s="116">
        <v>390</v>
      </c>
      <c r="BP19" s="116">
        <v>360</v>
      </c>
      <c r="BQ19" s="116">
        <v>330</v>
      </c>
      <c r="BR19" s="116">
        <v>0</v>
      </c>
      <c r="BS19" s="116">
        <v>360</v>
      </c>
      <c r="BT19" s="116">
        <v>270</v>
      </c>
      <c r="BU19" s="116">
        <v>7980</v>
      </c>
      <c r="BV19" s="116">
        <v>297</v>
      </c>
      <c r="BW19" s="116">
        <v>297</v>
      </c>
      <c r="BX19" s="116">
        <v>297</v>
      </c>
      <c r="BY19" s="116">
        <v>148</v>
      </c>
      <c r="BZ19" s="116">
        <v>0</v>
      </c>
      <c r="CA19" s="116">
        <v>297</v>
      </c>
      <c r="CB19" s="116">
        <v>297</v>
      </c>
      <c r="CC19" s="116">
        <v>297</v>
      </c>
      <c r="CD19" s="116">
        <v>297</v>
      </c>
      <c r="CE19" s="116">
        <v>297</v>
      </c>
      <c r="CF19" s="116">
        <v>0</v>
      </c>
      <c r="CG19" s="116">
        <v>0</v>
      </c>
      <c r="CH19" s="116">
        <v>0</v>
      </c>
      <c r="CI19" s="116">
        <v>0</v>
      </c>
      <c r="CJ19" s="116">
        <v>0</v>
      </c>
      <c r="CK19" s="116">
        <v>0</v>
      </c>
      <c r="CL19" s="116">
        <v>0</v>
      </c>
      <c r="CM19" s="116">
        <v>0</v>
      </c>
      <c r="CN19" s="116">
        <v>0</v>
      </c>
      <c r="CO19" s="116">
        <v>297</v>
      </c>
      <c r="CP19" s="116">
        <v>297</v>
      </c>
      <c r="CQ19" s="116">
        <v>297</v>
      </c>
      <c r="CR19" s="116">
        <v>296</v>
      </c>
      <c r="CS19" s="116">
        <v>297</v>
      </c>
      <c r="CT19" s="116">
        <v>296</v>
      </c>
      <c r="CU19" s="116">
        <v>0</v>
      </c>
      <c r="CV19" s="116">
        <v>297</v>
      </c>
      <c r="CW19" s="116">
        <v>296</v>
      </c>
      <c r="CX19" s="116">
        <v>297</v>
      </c>
      <c r="CY19" s="116">
        <v>296</v>
      </c>
      <c r="CZ19" s="116">
        <v>0</v>
      </c>
      <c r="DA19" s="116">
        <v>5490</v>
      </c>
      <c r="DB19" s="116">
        <v>0</v>
      </c>
      <c r="DC19" s="116">
        <v>0</v>
      </c>
      <c r="DD19" s="116">
        <v>0</v>
      </c>
      <c r="DE19" s="116">
        <v>0</v>
      </c>
      <c r="DF19" s="116">
        <v>186</v>
      </c>
      <c r="DG19" s="116">
        <v>186</v>
      </c>
      <c r="DH19" s="116">
        <v>186</v>
      </c>
      <c r="DI19" s="116">
        <v>186</v>
      </c>
      <c r="DJ19" s="116">
        <v>186</v>
      </c>
      <c r="DK19" s="116">
        <v>0</v>
      </c>
      <c r="DL19" s="116">
        <v>186</v>
      </c>
      <c r="DM19" s="116">
        <v>186</v>
      </c>
      <c r="DN19" s="116">
        <v>186</v>
      </c>
      <c r="DO19" s="116">
        <v>186</v>
      </c>
      <c r="DP19" s="116">
        <v>186</v>
      </c>
      <c r="DQ19" s="116">
        <v>0</v>
      </c>
      <c r="DR19" s="116">
        <v>0</v>
      </c>
      <c r="DS19" s="116">
        <v>186</v>
      </c>
      <c r="DT19" s="116">
        <v>186</v>
      </c>
      <c r="DU19" s="116">
        <v>186</v>
      </c>
      <c r="DV19" s="116">
        <v>186</v>
      </c>
      <c r="DW19" s="116">
        <v>186</v>
      </c>
      <c r="DX19" s="116">
        <v>0</v>
      </c>
      <c r="DY19" s="116">
        <v>0</v>
      </c>
      <c r="DZ19" s="116">
        <v>186</v>
      </c>
      <c r="EA19" s="116">
        <v>186</v>
      </c>
      <c r="EB19" s="116">
        <v>186</v>
      </c>
      <c r="EC19" s="116">
        <v>186</v>
      </c>
      <c r="ED19" s="116">
        <v>186</v>
      </c>
      <c r="EE19" s="116">
        <v>0</v>
      </c>
      <c r="EF19" s="116">
        <v>0</v>
      </c>
      <c r="EG19" s="116">
        <v>3720</v>
      </c>
      <c r="EH19" t="s">
        <v>61</v>
      </c>
      <c r="EI19" t="str">
        <f t="shared" si="1"/>
        <v>86790-0K051</v>
      </c>
      <c r="EJ19" s="71" t="s">
        <v>100</v>
      </c>
      <c r="EK19" t="str">
        <f>VLOOKUP(EJ19,'By Plant'!B:D,3,0)</f>
        <v>BP</v>
      </c>
      <c r="EL19" t="str">
        <f t="shared" si="2"/>
        <v>86790-0K051BPKD1</v>
      </c>
      <c r="EM19" t="str">
        <f t="shared" si="3"/>
        <v>SN1</v>
      </c>
      <c r="FB19" s="15" t="s">
        <v>255</v>
      </c>
      <c r="FC19" s="95">
        <v>772</v>
      </c>
      <c r="FD19" s="95">
        <v>1388</v>
      </c>
      <c r="FE19" s="95">
        <v>733</v>
      </c>
      <c r="FF19" s="95">
        <v>1353</v>
      </c>
    </row>
    <row r="20" spans="1:163" x14ac:dyDescent="0.3">
      <c r="A20" t="str">
        <f t="shared" si="0"/>
        <v>86790-0K110BPK</v>
      </c>
      <c r="B20" s="115" t="s">
        <v>23</v>
      </c>
      <c r="C20" s="115" t="s">
        <v>209</v>
      </c>
      <c r="D20" s="115" t="s">
        <v>172</v>
      </c>
      <c r="E20" s="115" t="s">
        <v>331</v>
      </c>
      <c r="F20" s="115"/>
      <c r="G20" s="115" t="s">
        <v>201</v>
      </c>
      <c r="H20" s="115" t="s">
        <v>153</v>
      </c>
      <c r="I20" s="116">
        <v>20</v>
      </c>
      <c r="J20" s="116">
        <v>0</v>
      </c>
      <c r="K20" s="116">
        <v>340</v>
      </c>
      <c r="L20" s="116">
        <v>280</v>
      </c>
      <c r="M20" s="116">
        <v>300</v>
      </c>
      <c r="N20" s="116">
        <v>320</v>
      </c>
      <c r="O20" s="116">
        <v>280</v>
      </c>
      <c r="P20" s="116">
        <v>0</v>
      </c>
      <c r="Q20" s="116">
        <v>0</v>
      </c>
      <c r="R20" s="116">
        <v>280</v>
      </c>
      <c r="S20" s="116">
        <v>280</v>
      </c>
      <c r="T20" s="116">
        <v>320</v>
      </c>
      <c r="U20" s="116">
        <v>280</v>
      </c>
      <c r="V20" s="116">
        <v>320</v>
      </c>
      <c r="W20" s="116">
        <v>300</v>
      </c>
      <c r="X20" s="116">
        <v>0</v>
      </c>
      <c r="Y20" s="116">
        <v>280</v>
      </c>
      <c r="Z20" s="116">
        <v>260</v>
      </c>
      <c r="AA20" s="116">
        <v>260</v>
      </c>
      <c r="AB20" s="116">
        <v>320</v>
      </c>
      <c r="AC20" s="116">
        <v>320</v>
      </c>
      <c r="AD20" s="116">
        <v>0</v>
      </c>
      <c r="AE20" s="116">
        <v>0</v>
      </c>
      <c r="AF20" s="116">
        <v>320</v>
      </c>
      <c r="AG20" s="116">
        <v>320</v>
      </c>
      <c r="AH20" s="116">
        <v>300</v>
      </c>
      <c r="AI20" s="116">
        <v>360</v>
      </c>
      <c r="AJ20" s="116">
        <v>320</v>
      </c>
      <c r="AK20" s="116">
        <v>320</v>
      </c>
      <c r="AL20" s="116">
        <v>0</v>
      </c>
      <c r="AM20" s="116">
        <v>0</v>
      </c>
      <c r="AN20" s="116">
        <v>0</v>
      </c>
      <c r="AO20" s="116">
        <v>6680</v>
      </c>
      <c r="AP20" s="116">
        <v>0</v>
      </c>
      <c r="AQ20" s="116">
        <v>0</v>
      </c>
      <c r="AR20" s="116">
        <v>260</v>
      </c>
      <c r="AS20" s="116">
        <v>280</v>
      </c>
      <c r="AT20" s="116">
        <v>320</v>
      </c>
      <c r="AU20" s="116">
        <v>300</v>
      </c>
      <c r="AV20" s="116">
        <v>140</v>
      </c>
      <c r="AW20" s="116">
        <v>0</v>
      </c>
      <c r="AX20" s="116">
        <v>300</v>
      </c>
      <c r="AY20" s="116">
        <v>280</v>
      </c>
      <c r="AZ20" s="116">
        <v>320</v>
      </c>
      <c r="BA20" s="116">
        <v>320</v>
      </c>
      <c r="BB20" s="116">
        <v>300</v>
      </c>
      <c r="BC20" s="116">
        <v>300</v>
      </c>
      <c r="BD20" s="116">
        <v>0</v>
      </c>
      <c r="BE20" s="116">
        <v>300</v>
      </c>
      <c r="BF20" s="116">
        <v>300</v>
      </c>
      <c r="BG20" s="116">
        <v>320</v>
      </c>
      <c r="BH20" s="116">
        <v>300</v>
      </c>
      <c r="BI20" s="116">
        <v>300</v>
      </c>
      <c r="BJ20" s="116">
        <v>0</v>
      </c>
      <c r="BK20" s="116">
        <v>0</v>
      </c>
      <c r="BL20" s="116">
        <v>280</v>
      </c>
      <c r="BM20" s="116">
        <v>280</v>
      </c>
      <c r="BN20" s="116">
        <v>260</v>
      </c>
      <c r="BO20" s="116">
        <v>280</v>
      </c>
      <c r="BP20" s="116">
        <v>260</v>
      </c>
      <c r="BQ20" s="116">
        <v>260</v>
      </c>
      <c r="BR20" s="116">
        <v>0</v>
      </c>
      <c r="BS20" s="116">
        <v>260</v>
      </c>
      <c r="BT20" s="116">
        <v>220</v>
      </c>
      <c r="BU20" s="116">
        <v>6740</v>
      </c>
      <c r="BV20" s="116">
        <v>277</v>
      </c>
      <c r="BW20" s="116">
        <v>277</v>
      </c>
      <c r="BX20" s="116">
        <v>277</v>
      </c>
      <c r="BY20" s="116">
        <v>138</v>
      </c>
      <c r="BZ20" s="116">
        <v>0</v>
      </c>
      <c r="CA20" s="116">
        <v>277</v>
      </c>
      <c r="CB20" s="116">
        <v>277</v>
      </c>
      <c r="CC20" s="116">
        <v>277</v>
      </c>
      <c r="CD20" s="116">
        <v>277</v>
      </c>
      <c r="CE20" s="116">
        <v>277</v>
      </c>
      <c r="CF20" s="116">
        <v>0</v>
      </c>
      <c r="CG20" s="116">
        <v>0</v>
      </c>
      <c r="CH20" s="116">
        <v>0</v>
      </c>
      <c r="CI20" s="116">
        <v>0</v>
      </c>
      <c r="CJ20" s="116">
        <v>0</v>
      </c>
      <c r="CK20" s="116">
        <v>0</v>
      </c>
      <c r="CL20" s="116">
        <v>0</v>
      </c>
      <c r="CM20" s="116">
        <v>0</v>
      </c>
      <c r="CN20" s="116">
        <v>0</v>
      </c>
      <c r="CO20" s="116">
        <v>277</v>
      </c>
      <c r="CP20" s="116">
        <v>277</v>
      </c>
      <c r="CQ20" s="116">
        <v>277</v>
      </c>
      <c r="CR20" s="116">
        <v>276</v>
      </c>
      <c r="CS20" s="116">
        <v>277</v>
      </c>
      <c r="CT20" s="116">
        <v>276</v>
      </c>
      <c r="CU20" s="116">
        <v>0</v>
      </c>
      <c r="CV20" s="116">
        <v>277</v>
      </c>
      <c r="CW20" s="116">
        <v>276</v>
      </c>
      <c r="CX20" s="116">
        <v>277</v>
      </c>
      <c r="CY20" s="116">
        <v>276</v>
      </c>
      <c r="CZ20" s="116">
        <v>0</v>
      </c>
      <c r="DA20" s="116">
        <v>5120</v>
      </c>
      <c r="DB20" s="116">
        <v>0</v>
      </c>
      <c r="DC20" s="116">
        <v>0</v>
      </c>
      <c r="DD20" s="116">
        <v>0</v>
      </c>
      <c r="DE20" s="116">
        <v>0</v>
      </c>
      <c r="DF20" s="116">
        <v>211</v>
      </c>
      <c r="DG20" s="116">
        <v>211</v>
      </c>
      <c r="DH20" s="116">
        <v>211</v>
      </c>
      <c r="DI20" s="116">
        <v>211</v>
      </c>
      <c r="DJ20" s="116">
        <v>211</v>
      </c>
      <c r="DK20" s="116">
        <v>0</v>
      </c>
      <c r="DL20" s="116">
        <v>211</v>
      </c>
      <c r="DM20" s="116">
        <v>211</v>
      </c>
      <c r="DN20" s="116">
        <v>211</v>
      </c>
      <c r="DO20" s="116">
        <v>211</v>
      </c>
      <c r="DP20" s="116">
        <v>211</v>
      </c>
      <c r="DQ20" s="116">
        <v>0</v>
      </c>
      <c r="DR20" s="116">
        <v>0</v>
      </c>
      <c r="DS20" s="116">
        <v>211</v>
      </c>
      <c r="DT20" s="116">
        <v>211</v>
      </c>
      <c r="DU20" s="116">
        <v>211</v>
      </c>
      <c r="DV20" s="116">
        <v>211</v>
      </c>
      <c r="DW20" s="116">
        <v>211</v>
      </c>
      <c r="DX20" s="116">
        <v>0</v>
      </c>
      <c r="DY20" s="116">
        <v>0</v>
      </c>
      <c r="DZ20" s="116">
        <v>211</v>
      </c>
      <c r="EA20" s="116">
        <v>211</v>
      </c>
      <c r="EB20" s="116">
        <v>211</v>
      </c>
      <c r="EC20" s="116">
        <v>211</v>
      </c>
      <c r="ED20" s="116">
        <v>211</v>
      </c>
      <c r="EE20" s="116">
        <v>0</v>
      </c>
      <c r="EF20" s="116">
        <v>0</v>
      </c>
      <c r="EG20" s="116">
        <v>4220</v>
      </c>
      <c r="EH20" t="s">
        <v>61</v>
      </c>
      <c r="EI20" t="str">
        <f t="shared" si="1"/>
        <v>86790-0K110</v>
      </c>
      <c r="EJ20" s="71" t="s">
        <v>66</v>
      </c>
      <c r="EK20" t="str">
        <f>VLOOKUP(EJ20,'By Plant'!B:D,3,0)</f>
        <v>BP</v>
      </c>
      <c r="EL20" t="str">
        <f t="shared" si="2"/>
        <v>86790-0K110BPKD1</v>
      </c>
      <c r="EM20" t="str">
        <f t="shared" si="3"/>
        <v/>
      </c>
      <c r="FB20" s="15" t="s">
        <v>243</v>
      </c>
      <c r="FC20" s="95">
        <v>2088</v>
      </c>
      <c r="FD20" s="95">
        <v>1980</v>
      </c>
      <c r="FE20" s="95">
        <v>1800</v>
      </c>
      <c r="FF20" s="95">
        <v>1836</v>
      </c>
    </row>
    <row r="21" spans="1:163" x14ac:dyDescent="0.3">
      <c r="A21" t="str">
        <f t="shared" si="0"/>
        <v>86790-0K110BPKTP1</v>
      </c>
      <c r="B21" s="115" t="s">
        <v>23</v>
      </c>
      <c r="C21" s="115" t="s">
        <v>209</v>
      </c>
      <c r="D21" s="115" t="s">
        <v>172</v>
      </c>
      <c r="E21" s="115" t="s">
        <v>331</v>
      </c>
      <c r="F21" s="115"/>
      <c r="G21" s="115" t="s">
        <v>206</v>
      </c>
      <c r="H21" s="115" t="s">
        <v>153</v>
      </c>
      <c r="I21" s="116">
        <v>10</v>
      </c>
      <c r="J21" s="116">
        <v>0</v>
      </c>
      <c r="K21" s="116">
        <v>20</v>
      </c>
      <c r="L21" s="116">
        <v>10</v>
      </c>
      <c r="M21" s="116">
        <v>10</v>
      </c>
      <c r="N21" s="116">
        <v>0</v>
      </c>
      <c r="O21" s="116">
        <v>10</v>
      </c>
      <c r="P21" s="116">
        <v>0</v>
      </c>
      <c r="Q21" s="116">
        <v>0</v>
      </c>
      <c r="R21" s="116">
        <v>10</v>
      </c>
      <c r="S21" s="116">
        <v>10</v>
      </c>
      <c r="T21" s="116">
        <v>10</v>
      </c>
      <c r="U21" s="116">
        <v>10</v>
      </c>
      <c r="V21" s="116">
        <v>10</v>
      </c>
      <c r="W21" s="116">
        <v>10</v>
      </c>
      <c r="X21" s="116">
        <v>0</v>
      </c>
      <c r="Y21" s="116">
        <v>0</v>
      </c>
      <c r="Z21" s="116">
        <v>10</v>
      </c>
      <c r="AA21" s="116">
        <v>10</v>
      </c>
      <c r="AB21" s="116">
        <v>10</v>
      </c>
      <c r="AC21" s="116">
        <v>10</v>
      </c>
      <c r="AD21" s="116">
        <v>0</v>
      </c>
      <c r="AE21" s="116">
        <v>0</v>
      </c>
      <c r="AF21" s="116">
        <v>0</v>
      </c>
      <c r="AG21" s="116">
        <v>0</v>
      </c>
      <c r="AH21" s="116">
        <v>0</v>
      </c>
      <c r="AI21" s="116">
        <v>0</v>
      </c>
      <c r="AJ21" s="116">
        <v>10</v>
      </c>
      <c r="AK21" s="116">
        <v>10</v>
      </c>
      <c r="AL21" s="116">
        <v>0</v>
      </c>
      <c r="AM21" s="116">
        <v>0</v>
      </c>
      <c r="AN21" s="116">
        <v>0</v>
      </c>
      <c r="AO21" s="116">
        <v>170</v>
      </c>
      <c r="AP21" s="116">
        <v>0</v>
      </c>
      <c r="AQ21" s="116">
        <v>0</v>
      </c>
      <c r="AR21" s="116">
        <v>10</v>
      </c>
      <c r="AS21" s="116">
        <v>20</v>
      </c>
      <c r="AT21" s="116">
        <v>10</v>
      </c>
      <c r="AU21" s="116">
        <v>30</v>
      </c>
      <c r="AV21" s="116">
        <v>0</v>
      </c>
      <c r="AW21" s="116">
        <v>0</v>
      </c>
      <c r="AX21" s="116">
        <v>20</v>
      </c>
      <c r="AY21" s="116">
        <v>10</v>
      </c>
      <c r="AZ21" s="116">
        <v>20</v>
      </c>
      <c r="BA21" s="116">
        <v>10</v>
      </c>
      <c r="BB21" s="116">
        <v>20</v>
      </c>
      <c r="BC21" s="116">
        <v>10</v>
      </c>
      <c r="BD21" s="116">
        <v>0</v>
      </c>
      <c r="BE21" s="116">
        <v>30</v>
      </c>
      <c r="BF21" s="116">
        <v>10</v>
      </c>
      <c r="BG21" s="116">
        <v>20</v>
      </c>
      <c r="BH21" s="116">
        <v>10</v>
      </c>
      <c r="BI21" s="116">
        <v>20</v>
      </c>
      <c r="BJ21" s="116">
        <v>0</v>
      </c>
      <c r="BK21" s="116">
        <v>0</v>
      </c>
      <c r="BL21" s="116">
        <v>10</v>
      </c>
      <c r="BM21" s="116">
        <v>20</v>
      </c>
      <c r="BN21" s="116">
        <v>10</v>
      </c>
      <c r="BO21" s="116">
        <v>20</v>
      </c>
      <c r="BP21" s="116">
        <v>20</v>
      </c>
      <c r="BQ21" s="116">
        <v>20</v>
      </c>
      <c r="BR21" s="116">
        <v>0</v>
      </c>
      <c r="BS21" s="116">
        <v>10</v>
      </c>
      <c r="BT21" s="116">
        <v>20</v>
      </c>
      <c r="BU21" s="116">
        <v>380</v>
      </c>
      <c r="BV21" s="116">
        <v>7</v>
      </c>
      <c r="BW21" s="116">
        <v>7</v>
      </c>
      <c r="BX21" s="116">
        <v>7</v>
      </c>
      <c r="BY21" s="116">
        <v>4</v>
      </c>
      <c r="BZ21" s="116">
        <v>0</v>
      </c>
      <c r="CA21" s="116">
        <v>7</v>
      </c>
      <c r="CB21" s="116">
        <v>7</v>
      </c>
      <c r="CC21" s="116">
        <v>7</v>
      </c>
      <c r="CD21" s="116">
        <v>7</v>
      </c>
      <c r="CE21" s="116">
        <v>7</v>
      </c>
      <c r="CF21" s="116">
        <v>0</v>
      </c>
      <c r="CG21" s="116">
        <v>0</v>
      </c>
      <c r="CH21" s="116">
        <v>0</v>
      </c>
      <c r="CI21" s="116">
        <v>0</v>
      </c>
      <c r="CJ21" s="116">
        <v>0</v>
      </c>
      <c r="CK21" s="116">
        <v>0</v>
      </c>
      <c r="CL21" s="116">
        <v>0</v>
      </c>
      <c r="CM21" s="116">
        <v>0</v>
      </c>
      <c r="CN21" s="116">
        <v>0</v>
      </c>
      <c r="CO21" s="116">
        <v>7</v>
      </c>
      <c r="CP21" s="116">
        <v>7</v>
      </c>
      <c r="CQ21" s="116">
        <v>7</v>
      </c>
      <c r="CR21" s="116">
        <v>7</v>
      </c>
      <c r="CS21" s="116">
        <v>7</v>
      </c>
      <c r="CT21" s="116">
        <v>7</v>
      </c>
      <c r="CU21" s="116">
        <v>0</v>
      </c>
      <c r="CV21" s="116">
        <v>7</v>
      </c>
      <c r="CW21" s="116">
        <v>7</v>
      </c>
      <c r="CX21" s="116">
        <v>7</v>
      </c>
      <c r="CY21" s="116">
        <v>7</v>
      </c>
      <c r="CZ21" s="116">
        <v>0</v>
      </c>
      <c r="DA21" s="116">
        <v>130</v>
      </c>
      <c r="DB21" s="116">
        <v>0</v>
      </c>
      <c r="DC21" s="116">
        <v>0</v>
      </c>
      <c r="DD21" s="116">
        <v>0</v>
      </c>
      <c r="DE21" s="116">
        <v>0</v>
      </c>
      <c r="DF21" s="116">
        <v>11</v>
      </c>
      <c r="DG21" s="116">
        <v>10</v>
      </c>
      <c r="DH21" s="116">
        <v>11</v>
      </c>
      <c r="DI21" s="116">
        <v>10</v>
      </c>
      <c r="DJ21" s="116">
        <v>11</v>
      </c>
      <c r="DK21" s="116">
        <v>0</v>
      </c>
      <c r="DL21" s="116">
        <v>10</v>
      </c>
      <c r="DM21" s="116">
        <v>11</v>
      </c>
      <c r="DN21" s="116">
        <v>10</v>
      </c>
      <c r="DO21" s="116">
        <v>11</v>
      </c>
      <c r="DP21" s="116">
        <v>10</v>
      </c>
      <c r="DQ21" s="116">
        <v>0</v>
      </c>
      <c r="DR21" s="116">
        <v>0</v>
      </c>
      <c r="DS21" s="116">
        <v>11</v>
      </c>
      <c r="DT21" s="116">
        <v>10</v>
      </c>
      <c r="DU21" s="116">
        <v>11</v>
      </c>
      <c r="DV21" s="116">
        <v>10</v>
      </c>
      <c r="DW21" s="116">
        <v>11</v>
      </c>
      <c r="DX21" s="116">
        <v>0</v>
      </c>
      <c r="DY21" s="116">
        <v>0</v>
      </c>
      <c r="DZ21" s="116">
        <v>10</v>
      </c>
      <c r="EA21" s="116">
        <v>11</v>
      </c>
      <c r="EB21" s="116">
        <v>10</v>
      </c>
      <c r="EC21" s="116">
        <v>11</v>
      </c>
      <c r="ED21" s="116">
        <v>10</v>
      </c>
      <c r="EE21" s="116">
        <v>0</v>
      </c>
      <c r="EF21" s="116">
        <v>0</v>
      </c>
      <c r="EG21" s="116">
        <v>210</v>
      </c>
      <c r="EH21" t="s">
        <v>61</v>
      </c>
      <c r="EI21" t="str">
        <f t="shared" si="1"/>
        <v>86790-0K110</v>
      </c>
      <c r="EJ21" s="71" t="s">
        <v>66</v>
      </c>
      <c r="EK21" t="str">
        <f>VLOOKUP(EJ21,'By Plant'!B:D,3,0)</f>
        <v>BP</v>
      </c>
      <c r="EL21" t="str">
        <f t="shared" si="2"/>
        <v>86790-0K110BPKBN</v>
      </c>
      <c r="EM21" t="str">
        <f t="shared" si="3"/>
        <v>TP1</v>
      </c>
      <c r="FB21" s="15" t="s">
        <v>246</v>
      </c>
      <c r="FC21" s="95">
        <v>8210</v>
      </c>
      <c r="FD21" s="95">
        <v>5430</v>
      </c>
      <c r="FE21" s="95">
        <v>5520</v>
      </c>
      <c r="FF21" s="95">
        <v>5170</v>
      </c>
    </row>
    <row r="22" spans="1:163" x14ac:dyDescent="0.3">
      <c r="A22" t="str">
        <f t="shared" si="0"/>
        <v>86790-0K141BPKTP1</v>
      </c>
      <c r="B22" s="115" t="s">
        <v>160</v>
      </c>
      <c r="C22" s="115" t="s">
        <v>214</v>
      </c>
      <c r="D22" s="115" t="s">
        <v>172</v>
      </c>
      <c r="E22" s="115" t="s">
        <v>331</v>
      </c>
      <c r="F22" s="115"/>
      <c r="G22" s="115" t="s">
        <v>206</v>
      </c>
      <c r="H22" s="115" t="s">
        <v>153</v>
      </c>
      <c r="I22" s="116">
        <v>8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  <c r="O22" s="116">
        <v>0</v>
      </c>
      <c r="P22" s="116">
        <v>0</v>
      </c>
      <c r="Q22" s="116">
        <v>0</v>
      </c>
      <c r="R22" s="116">
        <v>0</v>
      </c>
      <c r="S22" s="116">
        <v>0</v>
      </c>
      <c r="T22" s="116">
        <v>0</v>
      </c>
      <c r="U22" s="116">
        <v>0</v>
      </c>
      <c r="V22" s="116">
        <v>0</v>
      </c>
      <c r="W22" s="116">
        <v>0</v>
      </c>
      <c r="X22" s="116">
        <v>0</v>
      </c>
      <c r="Y22" s="116">
        <v>0</v>
      </c>
      <c r="Z22" s="116">
        <v>0</v>
      </c>
      <c r="AA22" s="116">
        <v>0</v>
      </c>
      <c r="AB22" s="116">
        <v>0</v>
      </c>
      <c r="AC22" s="116">
        <v>0</v>
      </c>
      <c r="AD22" s="116">
        <v>0</v>
      </c>
      <c r="AE22" s="116">
        <v>0</v>
      </c>
      <c r="AF22" s="116">
        <v>0</v>
      </c>
      <c r="AG22" s="116">
        <v>0</v>
      </c>
      <c r="AH22" s="116">
        <v>0</v>
      </c>
      <c r="AI22" s="116">
        <v>0</v>
      </c>
      <c r="AJ22" s="116">
        <v>0</v>
      </c>
      <c r="AK22" s="116">
        <v>0</v>
      </c>
      <c r="AL22" s="116">
        <v>0</v>
      </c>
      <c r="AM22" s="116">
        <v>0</v>
      </c>
      <c r="AN22" s="116">
        <v>0</v>
      </c>
      <c r="AO22" s="116">
        <v>0</v>
      </c>
      <c r="AP22" s="116">
        <v>0</v>
      </c>
      <c r="AQ22" s="116">
        <v>0</v>
      </c>
      <c r="AR22" s="116">
        <v>0</v>
      </c>
      <c r="AS22" s="116">
        <v>0</v>
      </c>
      <c r="AT22" s="116">
        <v>0</v>
      </c>
      <c r="AU22" s="116">
        <v>0</v>
      </c>
      <c r="AV22" s="116">
        <v>0</v>
      </c>
      <c r="AW22" s="116">
        <v>0</v>
      </c>
      <c r="AX22" s="116">
        <v>0</v>
      </c>
      <c r="AY22" s="116">
        <v>0</v>
      </c>
      <c r="AZ22" s="116">
        <v>0</v>
      </c>
      <c r="BA22" s="116">
        <v>0</v>
      </c>
      <c r="BB22" s="116">
        <v>0</v>
      </c>
      <c r="BC22" s="116">
        <v>0</v>
      </c>
      <c r="BD22" s="116">
        <v>0</v>
      </c>
      <c r="BE22" s="116">
        <v>0</v>
      </c>
      <c r="BF22" s="116">
        <v>0</v>
      </c>
      <c r="BG22" s="116">
        <v>0</v>
      </c>
      <c r="BH22" s="116">
        <v>0</v>
      </c>
      <c r="BI22" s="116">
        <v>0</v>
      </c>
      <c r="BJ22" s="116">
        <v>0</v>
      </c>
      <c r="BK22" s="116">
        <v>0</v>
      </c>
      <c r="BL22" s="116">
        <v>0</v>
      </c>
      <c r="BM22" s="116">
        <v>0</v>
      </c>
      <c r="BN22" s="116">
        <v>0</v>
      </c>
      <c r="BO22" s="116">
        <v>0</v>
      </c>
      <c r="BP22" s="116">
        <v>0</v>
      </c>
      <c r="BQ22" s="116">
        <v>0</v>
      </c>
      <c r="BR22" s="116">
        <v>0</v>
      </c>
      <c r="BS22" s="116">
        <v>0</v>
      </c>
      <c r="BT22" s="116">
        <v>0</v>
      </c>
      <c r="BU22" s="116">
        <v>0</v>
      </c>
      <c r="BV22" s="116">
        <v>0</v>
      </c>
      <c r="BW22" s="116">
        <v>0</v>
      </c>
      <c r="BX22" s="116">
        <v>0</v>
      </c>
      <c r="BY22" s="116">
        <v>0</v>
      </c>
      <c r="BZ22" s="116">
        <v>0</v>
      </c>
      <c r="CA22" s="116">
        <v>0</v>
      </c>
      <c r="CB22" s="116">
        <v>0</v>
      </c>
      <c r="CC22" s="116">
        <v>0</v>
      </c>
      <c r="CD22" s="116">
        <v>0</v>
      </c>
      <c r="CE22" s="116">
        <v>0</v>
      </c>
      <c r="CF22" s="116">
        <v>0</v>
      </c>
      <c r="CG22" s="116">
        <v>0</v>
      </c>
      <c r="CH22" s="116">
        <v>0</v>
      </c>
      <c r="CI22" s="116">
        <v>0</v>
      </c>
      <c r="CJ22" s="116">
        <v>0</v>
      </c>
      <c r="CK22" s="116">
        <v>0</v>
      </c>
      <c r="CL22" s="116">
        <v>0</v>
      </c>
      <c r="CM22" s="116">
        <v>0</v>
      </c>
      <c r="CN22" s="116">
        <v>0</v>
      </c>
      <c r="CO22" s="116">
        <v>0</v>
      </c>
      <c r="CP22" s="116">
        <v>0</v>
      </c>
      <c r="CQ22" s="116">
        <v>0</v>
      </c>
      <c r="CR22" s="116">
        <v>0</v>
      </c>
      <c r="CS22" s="116">
        <v>0</v>
      </c>
      <c r="CT22" s="116">
        <v>0</v>
      </c>
      <c r="CU22" s="116">
        <v>0</v>
      </c>
      <c r="CV22" s="116">
        <v>0</v>
      </c>
      <c r="CW22" s="116">
        <v>0</v>
      </c>
      <c r="CX22" s="116">
        <v>0</v>
      </c>
      <c r="CY22" s="116">
        <v>0</v>
      </c>
      <c r="CZ22" s="116">
        <v>0</v>
      </c>
      <c r="DA22" s="116">
        <v>0</v>
      </c>
      <c r="DB22" s="116">
        <v>0</v>
      </c>
      <c r="DC22" s="116">
        <v>0</v>
      </c>
      <c r="DD22" s="116">
        <v>0</v>
      </c>
      <c r="DE22" s="116">
        <v>0</v>
      </c>
      <c r="DF22" s="116">
        <v>0</v>
      </c>
      <c r="DG22" s="116">
        <v>0</v>
      </c>
      <c r="DH22" s="116">
        <v>0</v>
      </c>
      <c r="DI22" s="116">
        <v>0</v>
      </c>
      <c r="DJ22" s="116">
        <v>0</v>
      </c>
      <c r="DK22" s="116">
        <v>0</v>
      </c>
      <c r="DL22" s="116">
        <v>0</v>
      </c>
      <c r="DM22" s="116">
        <v>0</v>
      </c>
      <c r="DN22" s="116">
        <v>0</v>
      </c>
      <c r="DO22" s="116">
        <v>0</v>
      </c>
      <c r="DP22" s="116">
        <v>0</v>
      </c>
      <c r="DQ22" s="116">
        <v>0</v>
      </c>
      <c r="DR22" s="116">
        <v>0</v>
      </c>
      <c r="DS22" s="116">
        <v>0</v>
      </c>
      <c r="DT22" s="116">
        <v>0</v>
      </c>
      <c r="DU22" s="116">
        <v>0</v>
      </c>
      <c r="DV22" s="116">
        <v>0</v>
      </c>
      <c r="DW22" s="116">
        <v>0</v>
      </c>
      <c r="DX22" s="116">
        <v>0</v>
      </c>
      <c r="DY22" s="116">
        <v>0</v>
      </c>
      <c r="DZ22" s="116">
        <v>0</v>
      </c>
      <c r="EA22" s="116">
        <v>0</v>
      </c>
      <c r="EB22" s="116">
        <v>0</v>
      </c>
      <c r="EC22" s="116">
        <v>0</v>
      </c>
      <c r="ED22" s="116">
        <v>0</v>
      </c>
      <c r="EE22" s="116">
        <v>0</v>
      </c>
      <c r="EF22" s="116">
        <v>0</v>
      </c>
      <c r="EG22" s="116">
        <v>0</v>
      </c>
      <c r="EH22" t="s">
        <v>61</v>
      </c>
      <c r="EI22" t="str">
        <f t="shared" si="1"/>
        <v>86790-0K141</v>
      </c>
      <c r="EJ22" s="71" t="s">
        <v>66</v>
      </c>
      <c r="EK22" t="str">
        <f>VLOOKUP(EJ22,'By Plant'!B:D,3,0)</f>
        <v>BP</v>
      </c>
      <c r="EL22" t="str">
        <f t="shared" si="2"/>
        <v>86790-0K141BPKBN</v>
      </c>
      <c r="EM22" t="str">
        <f t="shared" si="3"/>
        <v>TP1</v>
      </c>
      <c r="FB22" s="15" t="s">
        <v>224</v>
      </c>
      <c r="FC22" s="95">
        <v>12003</v>
      </c>
      <c r="FD22" s="95">
        <v>11815</v>
      </c>
      <c r="FE22" s="95">
        <v>12076</v>
      </c>
      <c r="FF22" s="95">
        <v>10271</v>
      </c>
    </row>
    <row r="23" spans="1:163" x14ac:dyDescent="0.3">
      <c r="A23" t="str">
        <f t="shared" si="0"/>
        <v>86790-0K120BPK</v>
      </c>
      <c r="B23" s="115" t="s">
        <v>211</v>
      </c>
      <c r="C23" s="115" t="s">
        <v>212</v>
      </c>
      <c r="D23" s="115" t="s">
        <v>172</v>
      </c>
      <c r="E23" s="115" t="s">
        <v>331</v>
      </c>
      <c r="F23" s="115"/>
      <c r="G23" s="115" t="s">
        <v>201</v>
      </c>
      <c r="H23" s="115" t="s">
        <v>153</v>
      </c>
      <c r="I23" s="116">
        <v>20</v>
      </c>
      <c r="J23" s="116">
        <v>0</v>
      </c>
      <c r="K23" s="116">
        <v>20</v>
      </c>
      <c r="L23" s="116">
        <v>0</v>
      </c>
      <c r="M23" s="116">
        <v>20</v>
      </c>
      <c r="N23" s="116">
        <v>0</v>
      </c>
      <c r="O23" s="116">
        <v>20</v>
      </c>
      <c r="P23" s="116">
        <v>0</v>
      </c>
      <c r="Q23" s="116">
        <v>0</v>
      </c>
      <c r="R23" s="116">
        <v>0</v>
      </c>
      <c r="S23" s="116">
        <v>20</v>
      </c>
      <c r="T23" s="116">
        <v>0</v>
      </c>
      <c r="U23" s="116">
        <v>20</v>
      </c>
      <c r="V23" s="116">
        <v>0</v>
      </c>
      <c r="W23" s="116">
        <v>20</v>
      </c>
      <c r="X23" s="116">
        <v>0</v>
      </c>
      <c r="Y23" s="116">
        <v>20</v>
      </c>
      <c r="Z23" s="116">
        <v>0</v>
      </c>
      <c r="AA23" s="116">
        <v>20</v>
      </c>
      <c r="AB23" s="116">
        <v>0</v>
      </c>
      <c r="AC23" s="116">
        <v>20</v>
      </c>
      <c r="AD23" s="116">
        <v>0</v>
      </c>
      <c r="AE23" s="116">
        <v>0</v>
      </c>
      <c r="AF23" s="116">
        <v>0</v>
      </c>
      <c r="AG23" s="116">
        <v>20</v>
      </c>
      <c r="AH23" s="116">
        <v>0</v>
      </c>
      <c r="AI23" s="116">
        <v>20</v>
      </c>
      <c r="AJ23" s="116">
        <v>0</v>
      </c>
      <c r="AK23" s="116">
        <v>20</v>
      </c>
      <c r="AL23" s="116">
        <v>0</v>
      </c>
      <c r="AM23" s="116">
        <v>0</v>
      </c>
      <c r="AN23" s="116">
        <v>0</v>
      </c>
      <c r="AO23" s="116">
        <v>240</v>
      </c>
      <c r="AP23" s="116">
        <v>0</v>
      </c>
      <c r="AQ23" s="116">
        <v>0</v>
      </c>
      <c r="AR23" s="116">
        <v>20</v>
      </c>
      <c r="AS23" s="116">
        <v>0</v>
      </c>
      <c r="AT23" s="116">
        <v>20</v>
      </c>
      <c r="AU23" s="116">
        <v>20</v>
      </c>
      <c r="AV23" s="116">
        <v>0</v>
      </c>
      <c r="AW23" s="116">
        <v>0</v>
      </c>
      <c r="AX23" s="116">
        <v>20</v>
      </c>
      <c r="AY23" s="116">
        <v>20</v>
      </c>
      <c r="AZ23" s="116">
        <v>20</v>
      </c>
      <c r="BA23" s="116">
        <v>0</v>
      </c>
      <c r="BB23" s="116">
        <v>20</v>
      </c>
      <c r="BC23" s="116">
        <v>20</v>
      </c>
      <c r="BD23" s="116">
        <v>0</v>
      </c>
      <c r="BE23" s="116">
        <v>20</v>
      </c>
      <c r="BF23" s="116">
        <v>20</v>
      </c>
      <c r="BG23" s="116">
        <v>0</v>
      </c>
      <c r="BH23" s="116">
        <v>20</v>
      </c>
      <c r="BI23" s="116">
        <v>20</v>
      </c>
      <c r="BJ23" s="116">
        <v>0</v>
      </c>
      <c r="BK23" s="116">
        <v>0</v>
      </c>
      <c r="BL23" s="116">
        <v>20</v>
      </c>
      <c r="BM23" s="116">
        <v>0</v>
      </c>
      <c r="BN23" s="116">
        <v>20</v>
      </c>
      <c r="BO23" s="116">
        <v>20</v>
      </c>
      <c r="BP23" s="116">
        <v>20</v>
      </c>
      <c r="BQ23" s="116">
        <v>0</v>
      </c>
      <c r="BR23" s="116">
        <v>0</v>
      </c>
      <c r="BS23" s="116">
        <v>20</v>
      </c>
      <c r="BT23" s="116">
        <v>20</v>
      </c>
      <c r="BU23" s="116">
        <v>360</v>
      </c>
      <c r="BV23" s="116">
        <v>11</v>
      </c>
      <c r="BW23" s="116">
        <v>11</v>
      </c>
      <c r="BX23" s="116">
        <v>11</v>
      </c>
      <c r="BY23" s="116">
        <v>5</v>
      </c>
      <c r="BZ23" s="116">
        <v>0</v>
      </c>
      <c r="CA23" s="116">
        <v>11</v>
      </c>
      <c r="CB23" s="116">
        <v>11</v>
      </c>
      <c r="CC23" s="116">
        <v>11</v>
      </c>
      <c r="CD23" s="116">
        <v>11</v>
      </c>
      <c r="CE23" s="116">
        <v>11</v>
      </c>
      <c r="CF23" s="116">
        <v>0</v>
      </c>
      <c r="CG23" s="116">
        <v>0</v>
      </c>
      <c r="CH23" s="116">
        <v>0</v>
      </c>
      <c r="CI23" s="116">
        <v>0</v>
      </c>
      <c r="CJ23" s="116">
        <v>0</v>
      </c>
      <c r="CK23" s="116">
        <v>0</v>
      </c>
      <c r="CL23" s="116">
        <v>0</v>
      </c>
      <c r="CM23" s="116">
        <v>0</v>
      </c>
      <c r="CN23" s="116">
        <v>0</v>
      </c>
      <c r="CO23" s="116">
        <v>11</v>
      </c>
      <c r="CP23" s="116">
        <v>11</v>
      </c>
      <c r="CQ23" s="116">
        <v>11</v>
      </c>
      <c r="CR23" s="116">
        <v>11</v>
      </c>
      <c r="CS23" s="116">
        <v>11</v>
      </c>
      <c r="CT23" s="116">
        <v>10</v>
      </c>
      <c r="CU23" s="116">
        <v>0</v>
      </c>
      <c r="CV23" s="116">
        <v>11</v>
      </c>
      <c r="CW23" s="116">
        <v>10</v>
      </c>
      <c r="CX23" s="116">
        <v>11</v>
      </c>
      <c r="CY23" s="116">
        <v>10</v>
      </c>
      <c r="CZ23" s="116">
        <v>0</v>
      </c>
      <c r="DA23" s="116">
        <v>200</v>
      </c>
      <c r="DB23" s="116">
        <v>0</v>
      </c>
      <c r="DC23" s="116">
        <v>0</v>
      </c>
      <c r="DD23" s="116">
        <v>0</v>
      </c>
      <c r="DE23" s="116">
        <v>0</v>
      </c>
      <c r="DF23" s="116">
        <v>1</v>
      </c>
      <c r="DG23" s="116">
        <v>1</v>
      </c>
      <c r="DH23" s="116">
        <v>1</v>
      </c>
      <c r="DI23" s="116">
        <v>1</v>
      </c>
      <c r="DJ23" s="116">
        <v>1</v>
      </c>
      <c r="DK23" s="116">
        <v>0</v>
      </c>
      <c r="DL23" s="116">
        <v>1</v>
      </c>
      <c r="DM23" s="116">
        <v>1</v>
      </c>
      <c r="DN23" s="116">
        <v>1</v>
      </c>
      <c r="DO23" s="116">
        <v>1</v>
      </c>
      <c r="DP23" s="116">
        <v>1</v>
      </c>
      <c r="DQ23" s="116">
        <v>0</v>
      </c>
      <c r="DR23" s="116">
        <v>0</v>
      </c>
      <c r="DS23" s="116">
        <v>1</v>
      </c>
      <c r="DT23" s="116">
        <v>1</v>
      </c>
      <c r="DU23" s="116">
        <v>1</v>
      </c>
      <c r="DV23" s="116">
        <v>1</v>
      </c>
      <c r="DW23" s="116">
        <v>1</v>
      </c>
      <c r="DX23" s="116">
        <v>0</v>
      </c>
      <c r="DY23" s="116">
        <v>0</v>
      </c>
      <c r="DZ23" s="116">
        <v>1</v>
      </c>
      <c r="EA23" s="116">
        <v>1</v>
      </c>
      <c r="EB23" s="116">
        <v>1</v>
      </c>
      <c r="EC23" s="116">
        <v>1</v>
      </c>
      <c r="ED23" s="116">
        <v>1</v>
      </c>
      <c r="EE23" s="116">
        <v>0</v>
      </c>
      <c r="EF23" s="116">
        <v>0</v>
      </c>
      <c r="EG23" s="116">
        <v>20</v>
      </c>
      <c r="EH23" t="s">
        <v>61</v>
      </c>
      <c r="EI23" t="str">
        <f t="shared" si="1"/>
        <v>86790-0K120</v>
      </c>
      <c r="EJ23" t="s">
        <v>29</v>
      </c>
      <c r="EK23" t="str">
        <f>VLOOKUP(EJ23,'By Plant'!B:D,3,0)</f>
        <v>BPK</v>
      </c>
      <c r="EL23" t="str">
        <f t="shared" si="2"/>
        <v>86790-0K120BPKD1</v>
      </c>
      <c r="EM23" t="str">
        <f t="shared" si="3"/>
        <v/>
      </c>
      <c r="FB23" s="15" t="s">
        <v>262</v>
      </c>
      <c r="FC23" s="95">
        <v>1335</v>
      </c>
      <c r="FD23" s="95">
        <v>1767</v>
      </c>
      <c r="FE23" s="95">
        <v>1200</v>
      </c>
      <c r="FF23" s="95">
        <v>1425</v>
      </c>
    </row>
    <row r="24" spans="1:163" x14ac:dyDescent="0.3">
      <c r="A24" t="str">
        <f t="shared" si="0"/>
        <v>86790-0K141BPK</v>
      </c>
      <c r="B24" s="115" t="s">
        <v>160</v>
      </c>
      <c r="C24" s="115" t="s">
        <v>214</v>
      </c>
      <c r="D24" s="115" t="s">
        <v>172</v>
      </c>
      <c r="E24" s="115" t="s">
        <v>331</v>
      </c>
      <c r="F24" s="115"/>
      <c r="G24" s="115" t="s">
        <v>201</v>
      </c>
      <c r="H24" s="115" t="s">
        <v>153</v>
      </c>
      <c r="I24" s="116">
        <v>16</v>
      </c>
      <c r="J24" s="116">
        <v>0</v>
      </c>
      <c r="K24" s="116">
        <v>48</v>
      </c>
      <c r="L24" s="116">
        <v>64</v>
      </c>
      <c r="M24" s="116">
        <v>48</v>
      </c>
      <c r="N24" s="116">
        <v>48</v>
      </c>
      <c r="O24" s="116">
        <v>80</v>
      </c>
      <c r="P24" s="116">
        <v>0</v>
      </c>
      <c r="Q24" s="116">
        <v>0</v>
      </c>
      <c r="R24" s="116">
        <v>80</v>
      </c>
      <c r="S24" s="116">
        <v>80</v>
      </c>
      <c r="T24" s="116">
        <v>80</v>
      </c>
      <c r="U24" s="116">
        <v>96</v>
      </c>
      <c r="V24" s="116">
        <v>80</v>
      </c>
      <c r="W24" s="116">
        <v>80</v>
      </c>
      <c r="X24" s="116">
        <v>0</v>
      </c>
      <c r="Y24" s="116">
        <v>80</v>
      </c>
      <c r="Z24" s="116">
        <v>96</v>
      </c>
      <c r="AA24" s="116">
        <v>80</v>
      </c>
      <c r="AB24" s="116">
        <v>80</v>
      </c>
      <c r="AC24" s="116">
        <v>80</v>
      </c>
      <c r="AD24" s="116">
        <v>0</v>
      </c>
      <c r="AE24" s="116">
        <v>0</v>
      </c>
      <c r="AF24" s="116">
        <v>80</v>
      </c>
      <c r="AG24" s="116">
        <v>96</v>
      </c>
      <c r="AH24" s="116">
        <v>80</v>
      </c>
      <c r="AI24" s="116">
        <v>80</v>
      </c>
      <c r="AJ24" s="116">
        <v>80</v>
      </c>
      <c r="AK24" s="116">
        <v>96</v>
      </c>
      <c r="AL24" s="116">
        <v>0</v>
      </c>
      <c r="AM24" s="116">
        <v>0</v>
      </c>
      <c r="AN24" s="116">
        <v>0</v>
      </c>
      <c r="AO24" s="116">
        <v>1712</v>
      </c>
      <c r="AP24" s="116">
        <v>0</v>
      </c>
      <c r="AQ24" s="116">
        <v>0</v>
      </c>
      <c r="AR24" s="116">
        <v>80</v>
      </c>
      <c r="AS24" s="116">
        <v>112</v>
      </c>
      <c r="AT24" s="116">
        <v>96</v>
      </c>
      <c r="AU24" s="116">
        <v>96</v>
      </c>
      <c r="AV24" s="116">
        <v>32</v>
      </c>
      <c r="AW24" s="116">
        <v>0</v>
      </c>
      <c r="AX24" s="116">
        <v>80</v>
      </c>
      <c r="AY24" s="116">
        <v>80</v>
      </c>
      <c r="AZ24" s="116">
        <v>96</v>
      </c>
      <c r="BA24" s="116">
        <v>80</v>
      </c>
      <c r="BB24" s="116">
        <v>96</v>
      </c>
      <c r="BC24" s="116">
        <v>80</v>
      </c>
      <c r="BD24" s="116">
        <v>0</v>
      </c>
      <c r="BE24" s="116">
        <v>96</v>
      </c>
      <c r="BF24" s="116">
        <v>80</v>
      </c>
      <c r="BG24" s="116">
        <v>96</v>
      </c>
      <c r="BH24" s="116">
        <v>80</v>
      </c>
      <c r="BI24" s="116">
        <v>96</v>
      </c>
      <c r="BJ24" s="116">
        <v>0</v>
      </c>
      <c r="BK24" s="116">
        <v>0</v>
      </c>
      <c r="BL24" s="116">
        <v>80</v>
      </c>
      <c r="BM24" s="116">
        <v>96</v>
      </c>
      <c r="BN24" s="116">
        <v>80</v>
      </c>
      <c r="BO24" s="116">
        <v>96</v>
      </c>
      <c r="BP24" s="116">
        <v>80</v>
      </c>
      <c r="BQ24" s="116">
        <v>80</v>
      </c>
      <c r="BR24" s="116">
        <v>0</v>
      </c>
      <c r="BS24" s="116">
        <v>96</v>
      </c>
      <c r="BT24" s="116">
        <v>80</v>
      </c>
      <c r="BU24" s="116">
        <v>2064</v>
      </c>
      <c r="BV24" s="116">
        <v>75</v>
      </c>
      <c r="BW24" s="116">
        <v>75</v>
      </c>
      <c r="BX24" s="116">
        <v>75</v>
      </c>
      <c r="BY24" s="116">
        <v>38</v>
      </c>
      <c r="BZ24" s="116">
        <v>0</v>
      </c>
      <c r="CA24" s="116">
        <v>75</v>
      </c>
      <c r="CB24" s="116">
        <v>75</v>
      </c>
      <c r="CC24" s="116">
        <v>75</v>
      </c>
      <c r="CD24" s="116">
        <v>75</v>
      </c>
      <c r="CE24" s="116">
        <v>75</v>
      </c>
      <c r="CF24" s="116">
        <v>0</v>
      </c>
      <c r="CG24" s="116">
        <v>0</v>
      </c>
      <c r="CH24" s="116">
        <v>0</v>
      </c>
      <c r="CI24" s="116">
        <v>0</v>
      </c>
      <c r="CJ24" s="116">
        <v>0</v>
      </c>
      <c r="CK24" s="116">
        <v>0</v>
      </c>
      <c r="CL24" s="116">
        <v>0</v>
      </c>
      <c r="CM24" s="116">
        <v>0</v>
      </c>
      <c r="CN24" s="116">
        <v>0</v>
      </c>
      <c r="CO24" s="116">
        <v>75</v>
      </c>
      <c r="CP24" s="116">
        <v>75</v>
      </c>
      <c r="CQ24" s="116">
        <v>76</v>
      </c>
      <c r="CR24" s="116">
        <v>75</v>
      </c>
      <c r="CS24" s="116">
        <v>76</v>
      </c>
      <c r="CT24" s="116">
        <v>75</v>
      </c>
      <c r="CU24" s="116">
        <v>0</v>
      </c>
      <c r="CV24" s="116">
        <v>76</v>
      </c>
      <c r="CW24" s="116">
        <v>75</v>
      </c>
      <c r="CX24" s="116">
        <v>76</v>
      </c>
      <c r="CY24" s="116">
        <v>75</v>
      </c>
      <c r="CZ24" s="116">
        <v>0</v>
      </c>
      <c r="DA24" s="116">
        <v>1392</v>
      </c>
      <c r="DB24" s="116">
        <v>0</v>
      </c>
      <c r="DC24" s="116">
        <v>0</v>
      </c>
      <c r="DD24" s="116">
        <v>0</v>
      </c>
      <c r="DE24" s="116">
        <v>0</v>
      </c>
      <c r="DF24" s="116">
        <v>46</v>
      </c>
      <c r="DG24" s="116">
        <v>46</v>
      </c>
      <c r="DH24" s="116">
        <v>46</v>
      </c>
      <c r="DI24" s="116">
        <v>46</v>
      </c>
      <c r="DJ24" s="116">
        <v>46</v>
      </c>
      <c r="DK24" s="116">
        <v>0</v>
      </c>
      <c r="DL24" s="116">
        <v>45</v>
      </c>
      <c r="DM24" s="116">
        <v>46</v>
      </c>
      <c r="DN24" s="116">
        <v>45</v>
      </c>
      <c r="DO24" s="116">
        <v>46</v>
      </c>
      <c r="DP24" s="116">
        <v>45</v>
      </c>
      <c r="DQ24" s="116">
        <v>0</v>
      </c>
      <c r="DR24" s="116">
        <v>0</v>
      </c>
      <c r="DS24" s="116">
        <v>46</v>
      </c>
      <c r="DT24" s="116">
        <v>45</v>
      </c>
      <c r="DU24" s="116">
        <v>46</v>
      </c>
      <c r="DV24" s="116">
        <v>45</v>
      </c>
      <c r="DW24" s="116">
        <v>46</v>
      </c>
      <c r="DX24" s="116">
        <v>0</v>
      </c>
      <c r="DY24" s="116">
        <v>0</v>
      </c>
      <c r="DZ24" s="116">
        <v>45</v>
      </c>
      <c r="EA24" s="116">
        <v>46</v>
      </c>
      <c r="EB24" s="116">
        <v>45</v>
      </c>
      <c r="EC24" s="116">
        <v>46</v>
      </c>
      <c r="ED24" s="116">
        <v>45</v>
      </c>
      <c r="EE24" s="116">
        <v>0</v>
      </c>
      <c r="EF24" s="116">
        <v>0</v>
      </c>
      <c r="EG24" s="116">
        <v>912</v>
      </c>
      <c r="EH24" t="s">
        <v>61</v>
      </c>
      <c r="EI24" t="str">
        <f t="shared" si="1"/>
        <v>86790-0K141</v>
      </c>
      <c r="EJ24" s="71" t="s">
        <v>39</v>
      </c>
      <c r="EK24" t="str">
        <f>VLOOKUP(EJ24,'By Plant'!B:D,3,0)</f>
        <v>BPK</v>
      </c>
      <c r="EL24" t="str">
        <f t="shared" si="2"/>
        <v>86790-0K141BPKD1</v>
      </c>
      <c r="EM24" t="str">
        <f t="shared" si="3"/>
        <v/>
      </c>
      <c r="FB24" s="15" t="s">
        <v>264</v>
      </c>
      <c r="FC24" s="95">
        <v>873</v>
      </c>
      <c r="FD24" s="95">
        <v>1134</v>
      </c>
      <c r="FE24" s="95">
        <v>1356</v>
      </c>
      <c r="FF24" s="95">
        <v>1468</v>
      </c>
    </row>
    <row r="25" spans="1:163" x14ac:dyDescent="0.3">
      <c r="A25" t="str">
        <f t="shared" si="0"/>
        <v>86790-0K171BPKTP1</v>
      </c>
      <c r="B25" s="115" t="s">
        <v>162</v>
      </c>
      <c r="C25" s="115" t="s">
        <v>216</v>
      </c>
      <c r="D25" s="115" t="s">
        <v>172</v>
      </c>
      <c r="E25" s="115" t="s">
        <v>331</v>
      </c>
      <c r="F25" s="115"/>
      <c r="G25" s="115" t="s">
        <v>206</v>
      </c>
      <c r="H25" s="115" t="s">
        <v>153</v>
      </c>
      <c r="I25" s="116">
        <v>8</v>
      </c>
      <c r="J25" s="116">
        <v>0</v>
      </c>
      <c r="K25" s="116">
        <v>10</v>
      </c>
      <c r="L25" s="116">
        <v>20</v>
      </c>
      <c r="M25" s="116">
        <v>10</v>
      </c>
      <c r="N25" s="116">
        <v>10</v>
      </c>
      <c r="O25" s="116">
        <v>20</v>
      </c>
      <c r="P25" s="116">
        <v>0</v>
      </c>
      <c r="Q25" s="116">
        <v>0</v>
      </c>
      <c r="R25" s="116">
        <v>0</v>
      </c>
      <c r="S25" s="116">
        <v>10</v>
      </c>
      <c r="T25" s="116">
        <v>20</v>
      </c>
      <c r="U25" s="116">
        <v>10</v>
      </c>
      <c r="V25" s="116">
        <v>10</v>
      </c>
      <c r="W25" s="116">
        <v>20</v>
      </c>
      <c r="X25" s="116">
        <v>0</v>
      </c>
      <c r="Y25" s="116">
        <v>10</v>
      </c>
      <c r="Z25" s="116">
        <v>10</v>
      </c>
      <c r="AA25" s="116">
        <v>20</v>
      </c>
      <c r="AB25" s="116">
        <v>10</v>
      </c>
      <c r="AC25" s="116">
        <v>10</v>
      </c>
      <c r="AD25" s="116">
        <v>0</v>
      </c>
      <c r="AE25" s="116">
        <v>0</v>
      </c>
      <c r="AF25" s="116">
        <v>20</v>
      </c>
      <c r="AG25" s="116">
        <v>10</v>
      </c>
      <c r="AH25" s="116">
        <v>20</v>
      </c>
      <c r="AI25" s="116">
        <v>20</v>
      </c>
      <c r="AJ25" s="116">
        <v>10</v>
      </c>
      <c r="AK25" s="116">
        <v>10</v>
      </c>
      <c r="AL25" s="116">
        <v>0</v>
      </c>
      <c r="AM25" s="116">
        <v>0</v>
      </c>
      <c r="AN25" s="116">
        <v>0</v>
      </c>
      <c r="AO25" s="116">
        <v>290</v>
      </c>
      <c r="AP25" s="116">
        <v>0</v>
      </c>
      <c r="AQ25" s="116">
        <v>0</v>
      </c>
      <c r="AR25" s="116">
        <v>20</v>
      </c>
      <c r="AS25" s="116">
        <v>10</v>
      </c>
      <c r="AT25" s="116">
        <v>20</v>
      </c>
      <c r="AU25" s="116">
        <v>10</v>
      </c>
      <c r="AV25" s="116">
        <v>20</v>
      </c>
      <c r="AW25" s="116">
        <v>0</v>
      </c>
      <c r="AX25" s="116">
        <v>20</v>
      </c>
      <c r="AY25" s="116">
        <v>0</v>
      </c>
      <c r="AZ25" s="116">
        <v>20</v>
      </c>
      <c r="BA25" s="116">
        <v>20</v>
      </c>
      <c r="BB25" s="116">
        <v>20</v>
      </c>
      <c r="BC25" s="116">
        <v>10</v>
      </c>
      <c r="BD25" s="116">
        <v>0</v>
      </c>
      <c r="BE25" s="116">
        <v>20</v>
      </c>
      <c r="BF25" s="116">
        <v>20</v>
      </c>
      <c r="BG25" s="116">
        <v>10</v>
      </c>
      <c r="BH25" s="116">
        <v>10</v>
      </c>
      <c r="BI25" s="116">
        <v>20</v>
      </c>
      <c r="BJ25" s="116">
        <v>0</v>
      </c>
      <c r="BK25" s="116">
        <v>0</v>
      </c>
      <c r="BL25" s="116">
        <v>20</v>
      </c>
      <c r="BM25" s="116">
        <v>20</v>
      </c>
      <c r="BN25" s="116">
        <v>20</v>
      </c>
      <c r="BO25" s="116">
        <v>20</v>
      </c>
      <c r="BP25" s="116">
        <v>0</v>
      </c>
      <c r="BQ25" s="116">
        <v>30</v>
      </c>
      <c r="BR25" s="116">
        <v>0</v>
      </c>
      <c r="BS25" s="116">
        <v>10</v>
      </c>
      <c r="BT25" s="116">
        <v>20</v>
      </c>
      <c r="BU25" s="116">
        <v>390</v>
      </c>
      <c r="BV25" s="116">
        <v>19</v>
      </c>
      <c r="BW25" s="116">
        <v>19</v>
      </c>
      <c r="BX25" s="116">
        <v>20</v>
      </c>
      <c r="BY25" s="116">
        <v>10</v>
      </c>
      <c r="BZ25" s="116">
        <v>0</v>
      </c>
      <c r="CA25" s="116">
        <v>19</v>
      </c>
      <c r="CB25" s="116">
        <v>20</v>
      </c>
      <c r="CC25" s="116">
        <v>19</v>
      </c>
      <c r="CD25" s="116">
        <v>20</v>
      </c>
      <c r="CE25" s="116">
        <v>19</v>
      </c>
      <c r="CF25" s="116">
        <v>0</v>
      </c>
      <c r="CG25" s="116">
        <v>0</v>
      </c>
      <c r="CH25" s="116">
        <v>0</v>
      </c>
      <c r="CI25" s="116">
        <v>0</v>
      </c>
      <c r="CJ25" s="116">
        <v>0</v>
      </c>
      <c r="CK25" s="116">
        <v>0</v>
      </c>
      <c r="CL25" s="116">
        <v>0</v>
      </c>
      <c r="CM25" s="116">
        <v>0</v>
      </c>
      <c r="CN25" s="116">
        <v>0</v>
      </c>
      <c r="CO25" s="116">
        <v>20</v>
      </c>
      <c r="CP25" s="116">
        <v>19</v>
      </c>
      <c r="CQ25" s="116">
        <v>20</v>
      </c>
      <c r="CR25" s="116">
        <v>19</v>
      </c>
      <c r="CS25" s="116">
        <v>20</v>
      </c>
      <c r="CT25" s="116">
        <v>19</v>
      </c>
      <c r="CU25" s="116">
        <v>0</v>
      </c>
      <c r="CV25" s="116">
        <v>20</v>
      </c>
      <c r="CW25" s="116">
        <v>19</v>
      </c>
      <c r="CX25" s="116">
        <v>20</v>
      </c>
      <c r="CY25" s="116">
        <v>19</v>
      </c>
      <c r="CZ25" s="116">
        <v>0</v>
      </c>
      <c r="DA25" s="116">
        <v>360</v>
      </c>
      <c r="DB25" s="116">
        <v>0</v>
      </c>
      <c r="DC25" s="116">
        <v>0</v>
      </c>
      <c r="DD25" s="116">
        <v>0</v>
      </c>
      <c r="DE25" s="116">
        <v>0</v>
      </c>
      <c r="DF25" s="116">
        <v>12</v>
      </c>
      <c r="DG25" s="116">
        <v>11</v>
      </c>
      <c r="DH25" s="116">
        <v>12</v>
      </c>
      <c r="DI25" s="116">
        <v>11</v>
      </c>
      <c r="DJ25" s="116">
        <v>12</v>
      </c>
      <c r="DK25" s="116">
        <v>0</v>
      </c>
      <c r="DL25" s="116">
        <v>11</v>
      </c>
      <c r="DM25" s="116">
        <v>12</v>
      </c>
      <c r="DN25" s="116">
        <v>11</v>
      </c>
      <c r="DO25" s="116">
        <v>12</v>
      </c>
      <c r="DP25" s="116">
        <v>11</v>
      </c>
      <c r="DQ25" s="116">
        <v>0</v>
      </c>
      <c r="DR25" s="116">
        <v>0</v>
      </c>
      <c r="DS25" s="116">
        <v>12</v>
      </c>
      <c r="DT25" s="116">
        <v>11</v>
      </c>
      <c r="DU25" s="116">
        <v>12</v>
      </c>
      <c r="DV25" s="116">
        <v>11</v>
      </c>
      <c r="DW25" s="116">
        <v>12</v>
      </c>
      <c r="DX25" s="116">
        <v>0</v>
      </c>
      <c r="DY25" s="116">
        <v>0</v>
      </c>
      <c r="DZ25" s="116">
        <v>11</v>
      </c>
      <c r="EA25" s="116">
        <v>12</v>
      </c>
      <c r="EB25" s="116">
        <v>11</v>
      </c>
      <c r="EC25" s="116">
        <v>12</v>
      </c>
      <c r="ED25" s="116">
        <v>11</v>
      </c>
      <c r="EE25" s="116">
        <v>0</v>
      </c>
      <c r="EF25" s="116">
        <v>0</v>
      </c>
      <c r="EG25" s="116">
        <v>230</v>
      </c>
      <c r="EH25" t="s">
        <v>61</v>
      </c>
      <c r="EI25" t="str">
        <f t="shared" si="1"/>
        <v>86790-0K171</v>
      </c>
      <c r="EJ25" s="71" t="s">
        <v>41</v>
      </c>
      <c r="EK25" t="str">
        <f>VLOOKUP(EJ25,'By Plant'!B:D,3,0)</f>
        <v>SR</v>
      </c>
      <c r="EL25" t="str">
        <f t="shared" si="2"/>
        <v>86790-0K171BPKBN</v>
      </c>
      <c r="EM25" t="str">
        <f t="shared" si="3"/>
        <v>TP1</v>
      </c>
      <c r="ER25" t="b">
        <f t="shared" ref="ER25:ER44" si="5">ES25=LEFT(FB4,11)</f>
        <v>0</v>
      </c>
      <c r="ES25" t="s">
        <v>100</v>
      </c>
      <c r="ET25" s="95">
        <v>9673</v>
      </c>
      <c r="EU25" s="95">
        <v>12094</v>
      </c>
      <c r="EV25" s="95">
        <v>8906</v>
      </c>
      <c r="EW25" s="95">
        <v>3950</v>
      </c>
      <c r="EZ25" t="s">
        <v>100</v>
      </c>
      <c r="FA25" t="str">
        <f t="shared" ref="FA25:FA35" si="6">LEFT(ES25,11)</f>
        <v>86790-0K051</v>
      </c>
      <c r="FB25" s="15" t="s">
        <v>346</v>
      </c>
      <c r="FC25" s="95">
        <v>67252</v>
      </c>
      <c r="FD25" s="95">
        <v>79486</v>
      </c>
      <c r="FE25" s="95">
        <v>66744</v>
      </c>
      <c r="FF25" s="95">
        <v>60180</v>
      </c>
      <c r="FG25" s="117">
        <f>SUM(FC25:FF25)</f>
        <v>273662</v>
      </c>
    </row>
    <row r="26" spans="1:163" x14ac:dyDescent="0.3">
      <c r="A26" t="str">
        <f t="shared" si="0"/>
        <v>86790-0K171BPK</v>
      </c>
      <c r="B26" s="115" t="s">
        <v>162</v>
      </c>
      <c r="C26" s="115" t="s">
        <v>216</v>
      </c>
      <c r="D26" s="115" t="s">
        <v>172</v>
      </c>
      <c r="E26" s="115" t="s">
        <v>331</v>
      </c>
      <c r="F26" s="115"/>
      <c r="G26" s="115" t="s">
        <v>201</v>
      </c>
      <c r="H26" s="115" t="s">
        <v>153</v>
      </c>
      <c r="I26" s="116">
        <v>16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  <c r="O26" s="116">
        <v>0</v>
      </c>
      <c r="P26" s="116">
        <v>0</v>
      </c>
      <c r="Q26" s="116">
        <v>0</v>
      </c>
      <c r="R26" s="116">
        <v>0</v>
      </c>
      <c r="S26" s="116">
        <v>0</v>
      </c>
      <c r="T26" s="116">
        <v>0</v>
      </c>
      <c r="U26" s="116">
        <v>0</v>
      </c>
      <c r="V26" s="116">
        <v>0</v>
      </c>
      <c r="W26" s="116">
        <v>0</v>
      </c>
      <c r="X26" s="116">
        <v>0</v>
      </c>
      <c r="Y26" s="116">
        <v>0</v>
      </c>
      <c r="Z26" s="116">
        <v>0</v>
      </c>
      <c r="AA26" s="116">
        <v>0</v>
      </c>
      <c r="AB26" s="116">
        <v>0</v>
      </c>
      <c r="AC26" s="116">
        <v>0</v>
      </c>
      <c r="AD26" s="116">
        <v>0</v>
      </c>
      <c r="AE26" s="116">
        <v>0</v>
      </c>
      <c r="AF26" s="116">
        <v>0</v>
      </c>
      <c r="AG26" s="116">
        <v>0</v>
      </c>
      <c r="AH26" s="116">
        <v>0</v>
      </c>
      <c r="AI26" s="116">
        <v>0</v>
      </c>
      <c r="AJ26" s="116">
        <v>0</v>
      </c>
      <c r="AK26" s="116">
        <v>0</v>
      </c>
      <c r="AL26" s="116">
        <v>0</v>
      </c>
      <c r="AM26" s="116">
        <v>0</v>
      </c>
      <c r="AN26" s="116">
        <v>0</v>
      </c>
      <c r="AO26" s="116">
        <v>0</v>
      </c>
      <c r="AP26" s="116">
        <v>0</v>
      </c>
      <c r="AQ26" s="116">
        <v>0</v>
      </c>
      <c r="AR26" s="116">
        <v>0</v>
      </c>
      <c r="AS26" s="116">
        <v>0</v>
      </c>
      <c r="AT26" s="116">
        <v>0</v>
      </c>
      <c r="AU26" s="116">
        <v>0</v>
      </c>
      <c r="AV26" s="116">
        <v>0</v>
      </c>
      <c r="AW26" s="116">
        <v>0</v>
      </c>
      <c r="AX26" s="116">
        <v>0</v>
      </c>
      <c r="AY26" s="116">
        <v>0</v>
      </c>
      <c r="AZ26" s="116">
        <v>0</v>
      </c>
      <c r="BA26" s="116">
        <v>0</v>
      </c>
      <c r="BB26" s="116">
        <v>0</v>
      </c>
      <c r="BC26" s="116">
        <v>0</v>
      </c>
      <c r="BD26" s="116">
        <v>0</v>
      </c>
      <c r="BE26" s="116">
        <v>0</v>
      </c>
      <c r="BF26" s="116">
        <v>0</v>
      </c>
      <c r="BG26" s="116">
        <v>0</v>
      </c>
      <c r="BH26" s="116">
        <v>0</v>
      </c>
      <c r="BI26" s="116">
        <v>0</v>
      </c>
      <c r="BJ26" s="116">
        <v>0</v>
      </c>
      <c r="BK26" s="116">
        <v>0</v>
      </c>
      <c r="BL26" s="116">
        <v>0</v>
      </c>
      <c r="BM26" s="116">
        <v>0</v>
      </c>
      <c r="BN26" s="116">
        <v>0</v>
      </c>
      <c r="BO26" s="116">
        <v>0</v>
      </c>
      <c r="BP26" s="116">
        <v>0</v>
      </c>
      <c r="BQ26" s="116">
        <v>0</v>
      </c>
      <c r="BR26" s="116">
        <v>0</v>
      </c>
      <c r="BS26" s="116">
        <v>0</v>
      </c>
      <c r="BT26" s="116">
        <v>0</v>
      </c>
      <c r="BU26" s="116">
        <v>0</v>
      </c>
      <c r="BV26" s="116">
        <v>0</v>
      </c>
      <c r="BW26" s="116">
        <v>0</v>
      </c>
      <c r="BX26" s="116">
        <v>0</v>
      </c>
      <c r="BY26" s="116">
        <v>0</v>
      </c>
      <c r="BZ26" s="116">
        <v>0</v>
      </c>
      <c r="CA26" s="116">
        <v>0</v>
      </c>
      <c r="CB26" s="116">
        <v>0</v>
      </c>
      <c r="CC26" s="116">
        <v>0</v>
      </c>
      <c r="CD26" s="116">
        <v>0</v>
      </c>
      <c r="CE26" s="116">
        <v>0</v>
      </c>
      <c r="CF26" s="116">
        <v>0</v>
      </c>
      <c r="CG26" s="116">
        <v>0</v>
      </c>
      <c r="CH26" s="116">
        <v>0</v>
      </c>
      <c r="CI26" s="116">
        <v>0</v>
      </c>
      <c r="CJ26" s="116">
        <v>0</v>
      </c>
      <c r="CK26" s="116">
        <v>0</v>
      </c>
      <c r="CL26" s="116">
        <v>0</v>
      </c>
      <c r="CM26" s="116">
        <v>0</v>
      </c>
      <c r="CN26" s="116">
        <v>0</v>
      </c>
      <c r="CO26" s="116">
        <v>0</v>
      </c>
      <c r="CP26" s="116">
        <v>0</v>
      </c>
      <c r="CQ26" s="116">
        <v>0</v>
      </c>
      <c r="CR26" s="116">
        <v>0</v>
      </c>
      <c r="CS26" s="116">
        <v>0</v>
      </c>
      <c r="CT26" s="116">
        <v>0</v>
      </c>
      <c r="CU26" s="116">
        <v>0</v>
      </c>
      <c r="CV26" s="116">
        <v>0</v>
      </c>
      <c r="CW26" s="116">
        <v>0</v>
      </c>
      <c r="CX26" s="116">
        <v>0</v>
      </c>
      <c r="CY26" s="116">
        <v>0</v>
      </c>
      <c r="CZ26" s="116">
        <v>0</v>
      </c>
      <c r="DA26" s="116">
        <v>0</v>
      </c>
      <c r="DB26" s="116">
        <v>0</v>
      </c>
      <c r="DC26" s="116">
        <v>0</v>
      </c>
      <c r="DD26" s="116">
        <v>0</v>
      </c>
      <c r="DE26" s="116">
        <v>0</v>
      </c>
      <c r="DF26" s="116">
        <v>0</v>
      </c>
      <c r="DG26" s="116">
        <v>0</v>
      </c>
      <c r="DH26" s="116">
        <v>0</v>
      </c>
      <c r="DI26" s="116">
        <v>0</v>
      </c>
      <c r="DJ26" s="116">
        <v>0</v>
      </c>
      <c r="DK26" s="116">
        <v>0</v>
      </c>
      <c r="DL26" s="116">
        <v>0</v>
      </c>
      <c r="DM26" s="116">
        <v>0</v>
      </c>
      <c r="DN26" s="116">
        <v>0</v>
      </c>
      <c r="DO26" s="116">
        <v>0</v>
      </c>
      <c r="DP26" s="116">
        <v>0</v>
      </c>
      <c r="DQ26" s="116">
        <v>0</v>
      </c>
      <c r="DR26" s="116">
        <v>0</v>
      </c>
      <c r="DS26" s="116">
        <v>0</v>
      </c>
      <c r="DT26" s="116">
        <v>0</v>
      </c>
      <c r="DU26" s="116">
        <v>0</v>
      </c>
      <c r="DV26" s="116">
        <v>0</v>
      </c>
      <c r="DW26" s="116">
        <v>0</v>
      </c>
      <c r="DX26" s="116">
        <v>0</v>
      </c>
      <c r="DY26" s="116">
        <v>0</v>
      </c>
      <c r="DZ26" s="116">
        <v>0</v>
      </c>
      <c r="EA26" s="116">
        <v>0</v>
      </c>
      <c r="EB26" s="116">
        <v>0</v>
      </c>
      <c r="EC26" s="116">
        <v>0</v>
      </c>
      <c r="ED26" s="116">
        <v>0</v>
      </c>
      <c r="EE26" s="116">
        <v>0</v>
      </c>
      <c r="EF26" s="116">
        <v>0</v>
      </c>
      <c r="EG26" s="116">
        <v>0</v>
      </c>
      <c r="EH26" t="s">
        <v>61</v>
      </c>
      <c r="EI26" t="str">
        <f t="shared" si="1"/>
        <v>86790-0K171</v>
      </c>
      <c r="EJ26" s="71" t="s">
        <v>41</v>
      </c>
      <c r="EK26" t="str">
        <f>VLOOKUP(EJ26,'By Plant'!B:D,3,0)</f>
        <v>SR</v>
      </c>
      <c r="EL26" t="str">
        <f t="shared" si="2"/>
        <v>86790-0K171BPKD1</v>
      </c>
      <c r="EM26" t="str">
        <f t="shared" si="3"/>
        <v/>
      </c>
      <c r="ER26" t="b">
        <f t="shared" si="5"/>
        <v>0</v>
      </c>
      <c r="ES26" t="s">
        <v>58</v>
      </c>
      <c r="ET26" s="95">
        <v>975</v>
      </c>
      <c r="EU26" s="95">
        <v>1237</v>
      </c>
      <c r="EV26" s="95">
        <v>1084</v>
      </c>
      <c r="EW26" s="95">
        <v>451</v>
      </c>
      <c r="EZ26" t="s">
        <v>58</v>
      </c>
      <c r="FA26" t="str">
        <f t="shared" si="6"/>
        <v>86790-0K080</v>
      </c>
    </row>
    <row r="27" spans="1:163" x14ac:dyDescent="0.3">
      <c r="A27" t="str">
        <f t="shared" si="0"/>
        <v>86790-0K171BPKTP1</v>
      </c>
      <c r="B27" s="170" t="s">
        <v>162</v>
      </c>
      <c r="C27" s="170" t="s">
        <v>427</v>
      </c>
      <c r="D27" s="170" t="s">
        <v>428</v>
      </c>
      <c r="E27" s="170" t="s">
        <v>331</v>
      </c>
      <c r="F27" s="170"/>
      <c r="G27" s="170" t="s">
        <v>206</v>
      </c>
      <c r="H27" s="170" t="s">
        <v>153</v>
      </c>
      <c r="I27" s="171">
        <v>1</v>
      </c>
      <c r="J27" s="171">
        <v>0</v>
      </c>
      <c r="K27" s="171">
        <v>0</v>
      </c>
      <c r="L27" s="171">
        <v>0</v>
      </c>
      <c r="M27" s="171">
        <v>0</v>
      </c>
      <c r="N27" s="171">
        <v>0</v>
      </c>
      <c r="O27" s="171">
        <v>0</v>
      </c>
      <c r="P27" s="171">
        <v>0</v>
      </c>
      <c r="Q27" s="171">
        <v>0</v>
      </c>
      <c r="R27" s="171">
        <v>0</v>
      </c>
      <c r="S27" s="171">
        <v>0</v>
      </c>
      <c r="T27" s="171">
        <v>0</v>
      </c>
      <c r="U27" s="171">
        <v>0</v>
      </c>
      <c r="V27" s="171">
        <v>0</v>
      </c>
      <c r="W27" s="171">
        <v>0</v>
      </c>
      <c r="X27" s="171">
        <v>0</v>
      </c>
      <c r="Y27" s="171">
        <v>0</v>
      </c>
      <c r="Z27" s="171">
        <v>0</v>
      </c>
      <c r="AA27" s="171">
        <v>0</v>
      </c>
      <c r="AB27" s="171">
        <v>0</v>
      </c>
      <c r="AC27" s="171">
        <v>0</v>
      </c>
      <c r="AD27" s="171">
        <v>0</v>
      </c>
      <c r="AE27" s="171">
        <v>0</v>
      </c>
      <c r="AF27" s="171">
        <v>0</v>
      </c>
      <c r="AG27" s="171">
        <v>0</v>
      </c>
      <c r="AH27" s="171">
        <v>0</v>
      </c>
      <c r="AI27" s="171">
        <v>0</v>
      </c>
      <c r="AJ27" s="171">
        <v>0</v>
      </c>
      <c r="AK27" s="171">
        <v>0</v>
      </c>
      <c r="AL27" s="171">
        <v>0</v>
      </c>
      <c r="AM27" s="171">
        <v>0</v>
      </c>
      <c r="AN27" s="171">
        <v>0</v>
      </c>
      <c r="AO27" s="171">
        <v>0</v>
      </c>
      <c r="AP27" s="171">
        <v>0</v>
      </c>
      <c r="AQ27" s="171">
        <v>0</v>
      </c>
      <c r="AR27" s="171">
        <v>0</v>
      </c>
      <c r="AS27" s="171">
        <v>0</v>
      </c>
      <c r="AT27" s="171">
        <v>0</v>
      </c>
      <c r="AU27" s="171">
        <v>0</v>
      </c>
      <c r="AV27" s="171">
        <v>0</v>
      </c>
      <c r="AW27" s="171">
        <v>0</v>
      </c>
      <c r="AX27" s="171">
        <v>0</v>
      </c>
      <c r="AY27" s="171">
        <v>0</v>
      </c>
      <c r="AZ27" s="171">
        <v>0</v>
      </c>
      <c r="BA27" s="171">
        <v>0</v>
      </c>
      <c r="BB27" s="171">
        <v>0</v>
      </c>
      <c r="BC27" s="171">
        <v>0</v>
      </c>
      <c r="BD27" s="171">
        <v>0</v>
      </c>
      <c r="BE27" s="171">
        <v>0</v>
      </c>
      <c r="BF27" s="171">
        <v>0</v>
      </c>
      <c r="BG27" s="171">
        <v>0</v>
      </c>
      <c r="BH27" s="171">
        <v>0</v>
      </c>
      <c r="BI27" s="171">
        <v>0</v>
      </c>
      <c r="BJ27" s="171">
        <v>0</v>
      </c>
      <c r="BK27" s="171">
        <v>0</v>
      </c>
      <c r="BL27" s="171">
        <v>0</v>
      </c>
      <c r="BM27" s="171">
        <v>0</v>
      </c>
      <c r="BN27" s="171">
        <v>0</v>
      </c>
      <c r="BO27" s="171">
        <v>0</v>
      </c>
      <c r="BP27" s="171">
        <v>0</v>
      </c>
      <c r="BQ27" s="171">
        <v>0</v>
      </c>
      <c r="BR27" s="171">
        <v>0</v>
      </c>
      <c r="BS27" s="171">
        <v>0</v>
      </c>
      <c r="BT27" s="171">
        <v>0</v>
      </c>
      <c r="BU27" s="171">
        <v>0</v>
      </c>
      <c r="BV27" s="171">
        <v>0</v>
      </c>
      <c r="BW27" s="171">
        <v>0</v>
      </c>
      <c r="BX27" s="171">
        <v>0</v>
      </c>
      <c r="BY27" s="171">
        <v>0</v>
      </c>
      <c r="BZ27" s="171">
        <v>0</v>
      </c>
      <c r="CA27" s="171">
        <v>0</v>
      </c>
      <c r="CB27" s="171">
        <v>0</v>
      </c>
      <c r="CC27" s="171">
        <v>0</v>
      </c>
      <c r="CD27" s="171">
        <v>0</v>
      </c>
      <c r="CE27" s="171">
        <v>0</v>
      </c>
      <c r="CF27" s="171">
        <v>0</v>
      </c>
      <c r="CG27" s="171">
        <v>0</v>
      </c>
      <c r="CH27" s="171">
        <v>0</v>
      </c>
      <c r="CI27" s="171">
        <v>0</v>
      </c>
      <c r="CJ27" s="171">
        <v>0</v>
      </c>
      <c r="CK27" s="171">
        <v>0</v>
      </c>
      <c r="CL27" s="171">
        <v>0</v>
      </c>
      <c r="CM27" s="171">
        <v>0</v>
      </c>
      <c r="CN27" s="171">
        <v>0</v>
      </c>
      <c r="CO27" s="171">
        <v>0</v>
      </c>
      <c r="CP27" s="171">
        <v>0</v>
      </c>
      <c r="CQ27" s="171">
        <v>0</v>
      </c>
      <c r="CR27" s="171">
        <v>0</v>
      </c>
      <c r="CS27" s="171">
        <v>0</v>
      </c>
      <c r="CT27" s="171">
        <v>0</v>
      </c>
      <c r="CU27" s="171">
        <v>0</v>
      </c>
      <c r="CV27" s="171">
        <v>0</v>
      </c>
      <c r="CW27" s="171">
        <v>0</v>
      </c>
      <c r="CX27" s="171">
        <v>0</v>
      </c>
      <c r="CY27" s="171">
        <v>0</v>
      </c>
      <c r="CZ27" s="171">
        <v>0</v>
      </c>
      <c r="DA27" s="171">
        <v>0</v>
      </c>
      <c r="DB27" s="171">
        <v>0</v>
      </c>
      <c r="DC27" s="171">
        <v>0</v>
      </c>
      <c r="DD27" s="171">
        <v>0</v>
      </c>
      <c r="DE27" s="171">
        <v>0</v>
      </c>
      <c r="DF27" s="171">
        <v>0</v>
      </c>
      <c r="DG27" s="171">
        <v>0</v>
      </c>
      <c r="DH27" s="171">
        <v>0</v>
      </c>
      <c r="DI27" s="171">
        <v>0</v>
      </c>
      <c r="DJ27" s="171">
        <v>0</v>
      </c>
      <c r="DK27" s="171">
        <v>0</v>
      </c>
      <c r="DL27" s="171">
        <v>0</v>
      </c>
      <c r="DM27" s="171">
        <v>0</v>
      </c>
      <c r="DN27" s="171">
        <v>0</v>
      </c>
      <c r="DO27" s="171">
        <v>0</v>
      </c>
      <c r="DP27" s="171">
        <v>0</v>
      </c>
      <c r="DQ27" s="171">
        <v>0</v>
      </c>
      <c r="DR27" s="171">
        <v>0</v>
      </c>
      <c r="DS27" s="171">
        <v>0</v>
      </c>
      <c r="DT27" s="171">
        <v>0</v>
      </c>
      <c r="DU27" s="171">
        <v>0</v>
      </c>
      <c r="DV27" s="171">
        <v>0</v>
      </c>
      <c r="DW27" s="171">
        <v>0</v>
      </c>
      <c r="DX27" s="171">
        <v>0</v>
      </c>
      <c r="DY27" s="171">
        <v>0</v>
      </c>
      <c r="DZ27" s="171">
        <v>0</v>
      </c>
      <c r="EA27" s="171">
        <v>0</v>
      </c>
      <c r="EB27" s="171">
        <v>0</v>
      </c>
      <c r="EC27" s="171">
        <v>0</v>
      </c>
      <c r="ED27" s="171">
        <v>0</v>
      </c>
      <c r="EE27" s="171">
        <v>0</v>
      </c>
      <c r="EF27" s="171">
        <v>0</v>
      </c>
      <c r="EG27" s="171">
        <v>0</v>
      </c>
      <c r="EH27" t="s">
        <v>61</v>
      </c>
      <c r="EI27" t="str">
        <f t="shared" si="1"/>
        <v>86790-0K171</v>
      </c>
      <c r="EJ27" t="s">
        <v>41</v>
      </c>
      <c r="EK27" t="str">
        <f>VLOOKUP(EJ27,'By Plant'!B:D,3,0)</f>
        <v>SR</v>
      </c>
      <c r="EL27" t="str">
        <f t="shared" si="2"/>
        <v>86790-0K171BPKBN</v>
      </c>
      <c r="EM27" t="str">
        <f t="shared" si="3"/>
        <v>TP1</v>
      </c>
      <c r="ER27" t="b">
        <f t="shared" si="5"/>
        <v>0</v>
      </c>
      <c r="ES27" t="s">
        <v>66</v>
      </c>
      <c r="ET27" s="95">
        <v>8051</v>
      </c>
      <c r="EU27" s="95">
        <v>8078</v>
      </c>
      <c r="EV27" s="95">
        <v>5797</v>
      </c>
      <c r="EW27" s="95">
        <v>5615</v>
      </c>
      <c r="EZ27" t="s">
        <v>66</v>
      </c>
      <c r="FA27" t="str">
        <f t="shared" si="6"/>
        <v>86790-0K110</v>
      </c>
    </row>
    <row r="28" spans="1:163" x14ac:dyDescent="0.3">
      <c r="A28" t="str">
        <f t="shared" si="0"/>
        <v>86790-0K181BPK</v>
      </c>
      <c r="B28" s="115" t="s">
        <v>183</v>
      </c>
      <c r="C28" s="115" t="s">
        <v>217</v>
      </c>
      <c r="D28" s="115" t="s">
        <v>172</v>
      </c>
      <c r="E28" s="115" t="s">
        <v>331</v>
      </c>
      <c r="F28" s="115"/>
      <c r="G28" s="115" t="s">
        <v>201</v>
      </c>
      <c r="H28" s="115" t="s">
        <v>153</v>
      </c>
      <c r="I28" s="116">
        <v>16</v>
      </c>
      <c r="J28" s="116">
        <v>0</v>
      </c>
      <c r="K28" s="116">
        <v>48</v>
      </c>
      <c r="L28" s="116">
        <v>32</v>
      </c>
      <c r="M28" s="116">
        <v>16</v>
      </c>
      <c r="N28" s="116">
        <v>32</v>
      </c>
      <c r="O28" s="116">
        <v>48</v>
      </c>
      <c r="P28" s="116">
        <v>0</v>
      </c>
      <c r="Q28" s="116">
        <v>0</v>
      </c>
      <c r="R28" s="116">
        <v>32</v>
      </c>
      <c r="S28" s="116">
        <v>16</v>
      </c>
      <c r="T28" s="116">
        <v>32</v>
      </c>
      <c r="U28" s="116">
        <v>48</v>
      </c>
      <c r="V28" s="116">
        <v>16</v>
      </c>
      <c r="W28" s="116">
        <v>16</v>
      </c>
      <c r="X28" s="116">
        <v>0</v>
      </c>
      <c r="Y28" s="116">
        <v>32</v>
      </c>
      <c r="Z28" s="116">
        <v>0</v>
      </c>
      <c r="AA28" s="116">
        <v>0</v>
      </c>
      <c r="AB28" s="116">
        <v>16</v>
      </c>
      <c r="AC28" s="116">
        <v>32</v>
      </c>
      <c r="AD28" s="116">
        <v>0</v>
      </c>
      <c r="AE28" s="116">
        <v>0</v>
      </c>
      <c r="AF28" s="116">
        <v>16</v>
      </c>
      <c r="AG28" s="116">
        <v>0</v>
      </c>
      <c r="AH28" s="116">
        <v>32</v>
      </c>
      <c r="AI28" s="116">
        <v>32</v>
      </c>
      <c r="AJ28" s="116">
        <v>0</v>
      </c>
      <c r="AK28" s="116">
        <v>16</v>
      </c>
      <c r="AL28" s="116">
        <v>0</v>
      </c>
      <c r="AM28" s="116">
        <v>0</v>
      </c>
      <c r="AN28" s="116">
        <v>0</v>
      </c>
      <c r="AO28" s="116">
        <v>512</v>
      </c>
      <c r="AP28" s="116">
        <v>0</v>
      </c>
      <c r="AQ28" s="116">
        <v>0</v>
      </c>
      <c r="AR28" s="116">
        <v>16</v>
      </c>
      <c r="AS28" s="116">
        <v>32</v>
      </c>
      <c r="AT28" s="116">
        <v>0</v>
      </c>
      <c r="AU28" s="116">
        <v>16</v>
      </c>
      <c r="AV28" s="116">
        <v>16</v>
      </c>
      <c r="AW28" s="116">
        <v>0</v>
      </c>
      <c r="AX28" s="116">
        <v>0</v>
      </c>
      <c r="AY28" s="116">
        <v>32</v>
      </c>
      <c r="AZ28" s="116">
        <v>0</v>
      </c>
      <c r="BA28" s="116">
        <v>32</v>
      </c>
      <c r="BB28" s="116">
        <v>16</v>
      </c>
      <c r="BC28" s="116">
        <v>16</v>
      </c>
      <c r="BD28" s="116">
        <v>0</v>
      </c>
      <c r="BE28" s="116">
        <v>16</v>
      </c>
      <c r="BF28" s="116">
        <v>0</v>
      </c>
      <c r="BG28" s="116">
        <v>32</v>
      </c>
      <c r="BH28" s="116">
        <v>0</v>
      </c>
      <c r="BI28" s="116">
        <v>16</v>
      </c>
      <c r="BJ28" s="116">
        <v>0</v>
      </c>
      <c r="BK28" s="116">
        <v>0</v>
      </c>
      <c r="BL28" s="116">
        <v>16</v>
      </c>
      <c r="BM28" s="116">
        <v>32</v>
      </c>
      <c r="BN28" s="116">
        <v>0</v>
      </c>
      <c r="BO28" s="116">
        <v>32</v>
      </c>
      <c r="BP28" s="116">
        <v>0</v>
      </c>
      <c r="BQ28" s="116">
        <v>32</v>
      </c>
      <c r="BR28" s="116">
        <v>0</v>
      </c>
      <c r="BS28" s="116">
        <v>16</v>
      </c>
      <c r="BT28" s="116">
        <v>16</v>
      </c>
      <c r="BU28" s="116">
        <v>384</v>
      </c>
      <c r="BV28" s="116">
        <v>21</v>
      </c>
      <c r="BW28" s="116">
        <v>21</v>
      </c>
      <c r="BX28" s="116">
        <v>21</v>
      </c>
      <c r="BY28" s="116">
        <v>10</v>
      </c>
      <c r="BZ28" s="116">
        <v>0</v>
      </c>
      <c r="CA28" s="116">
        <v>21</v>
      </c>
      <c r="CB28" s="116">
        <v>21</v>
      </c>
      <c r="CC28" s="116">
        <v>21</v>
      </c>
      <c r="CD28" s="116">
        <v>21</v>
      </c>
      <c r="CE28" s="116">
        <v>21</v>
      </c>
      <c r="CF28" s="116">
        <v>0</v>
      </c>
      <c r="CG28" s="116">
        <v>0</v>
      </c>
      <c r="CH28" s="116">
        <v>0</v>
      </c>
      <c r="CI28" s="116">
        <v>0</v>
      </c>
      <c r="CJ28" s="116">
        <v>0</v>
      </c>
      <c r="CK28" s="116">
        <v>0</v>
      </c>
      <c r="CL28" s="116">
        <v>0</v>
      </c>
      <c r="CM28" s="116">
        <v>0</v>
      </c>
      <c r="CN28" s="116">
        <v>0</v>
      </c>
      <c r="CO28" s="116">
        <v>21</v>
      </c>
      <c r="CP28" s="116">
        <v>21</v>
      </c>
      <c r="CQ28" s="116">
        <v>21</v>
      </c>
      <c r="CR28" s="116">
        <v>20</v>
      </c>
      <c r="CS28" s="116">
        <v>21</v>
      </c>
      <c r="CT28" s="116">
        <v>20</v>
      </c>
      <c r="CU28" s="116">
        <v>0</v>
      </c>
      <c r="CV28" s="116">
        <v>21</v>
      </c>
      <c r="CW28" s="116">
        <v>20</v>
      </c>
      <c r="CX28" s="116">
        <v>21</v>
      </c>
      <c r="CY28" s="116">
        <v>20</v>
      </c>
      <c r="CZ28" s="116">
        <v>0</v>
      </c>
      <c r="DA28" s="116">
        <v>384</v>
      </c>
      <c r="DB28" s="116">
        <v>0</v>
      </c>
      <c r="DC28" s="116">
        <v>0</v>
      </c>
      <c r="DD28" s="116">
        <v>0</v>
      </c>
      <c r="DE28" s="116">
        <v>0</v>
      </c>
      <c r="DF28" s="116">
        <v>18</v>
      </c>
      <c r="DG28" s="116">
        <v>18</v>
      </c>
      <c r="DH28" s="116">
        <v>18</v>
      </c>
      <c r="DI28" s="116">
        <v>18</v>
      </c>
      <c r="DJ28" s="116">
        <v>18</v>
      </c>
      <c r="DK28" s="116">
        <v>0</v>
      </c>
      <c r="DL28" s="116">
        <v>17</v>
      </c>
      <c r="DM28" s="116">
        <v>18</v>
      </c>
      <c r="DN28" s="116">
        <v>17</v>
      </c>
      <c r="DO28" s="116">
        <v>18</v>
      </c>
      <c r="DP28" s="116">
        <v>17</v>
      </c>
      <c r="DQ28" s="116">
        <v>0</v>
      </c>
      <c r="DR28" s="116">
        <v>0</v>
      </c>
      <c r="DS28" s="116">
        <v>18</v>
      </c>
      <c r="DT28" s="116">
        <v>17</v>
      </c>
      <c r="DU28" s="116">
        <v>18</v>
      </c>
      <c r="DV28" s="116">
        <v>17</v>
      </c>
      <c r="DW28" s="116">
        <v>18</v>
      </c>
      <c r="DX28" s="116">
        <v>0</v>
      </c>
      <c r="DY28" s="116">
        <v>0</v>
      </c>
      <c r="DZ28" s="116">
        <v>17</v>
      </c>
      <c r="EA28" s="116">
        <v>18</v>
      </c>
      <c r="EB28" s="116">
        <v>17</v>
      </c>
      <c r="EC28" s="116">
        <v>18</v>
      </c>
      <c r="ED28" s="116">
        <v>17</v>
      </c>
      <c r="EE28" s="116">
        <v>0</v>
      </c>
      <c r="EF28" s="116">
        <v>0</v>
      </c>
      <c r="EG28" s="116">
        <v>352</v>
      </c>
      <c r="EH28" t="s">
        <v>61</v>
      </c>
      <c r="EI28" t="str">
        <f t="shared" si="1"/>
        <v>86790-0K181</v>
      </c>
      <c r="EJ28" t="s">
        <v>42</v>
      </c>
      <c r="EK28" t="str">
        <f>VLOOKUP(EJ28,'By Plant'!B:D,3,0)</f>
        <v>BP</v>
      </c>
      <c r="EL28" t="str">
        <f t="shared" si="2"/>
        <v>86790-0K181BPKD1</v>
      </c>
      <c r="EM28" t="str">
        <f t="shared" si="3"/>
        <v/>
      </c>
      <c r="ER28" t="b">
        <f t="shared" si="5"/>
        <v>0</v>
      </c>
      <c r="ES28" t="s">
        <v>29</v>
      </c>
      <c r="ET28" s="95">
        <v>240</v>
      </c>
      <c r="EU28" s="95">
        <v>360</v>
      </c>
      <c r="EV28" s="95">
        <v>200</v>
      </c>
      <c r="EW28" s="95">
        <v>20</v>
      </c>
      <c r="EZ28" t="s">
        <v>29</v>
      </c>
      <c r="FA28" t="str">
        <f t="shared" si="6"/>
        <v>86790-0K120</v>
      </c>
    </row>
    <row r="29" spans="1:163" x14ac:dyDescent="0.3">
      <c r="A29" t="str">
        <f t="shared" si="0"/>
        <v>86790-0K190BPK</v>
      </c>
      <c r="B29" s="115" t="s">
        <v>185</v>
      </c>
      <c r="C29" s="115" t="s">
        <v>218</v>
      </c>
      <c r="D29" s="115" t="s">
        <v>172</v>
      </c>
      <c r="E29" s="115" t="s">
        <v>331</v>
      </c>
      <c r="F29" s="115"/>
      <c r="G29" s="115" t="s">
        <v>201</v>
      </c>
      <c r="H29" s="115" t="s">
        <v>153</v>
      </c>
      <c r="I29" s="116">
        <v>42</v>
      </c>
      <c r="J29" s="116">
        <v>0</v>
      </c>
      <c r="K29" s="116">
        <v>168</v>
      </c>
      <c r="L29" s="116">
        <v>168</v>
      </c>
      <c r="M29" s="116">
        <v>168</v>
      </c>
      <c r="N29" s="116">
        <v>168</v>
      </c>
      <c r="O29" s="116">
        <v>168</v>
      </c>
      <c r="P29" s="116">
        <v>0</v>
      </c>
      <c r="Q29" s="116">
        <v>0</v>
      </c>
      <c r="R29" s="116">
        <v>168</v>
      </c>
      <c r="S29" s="116">
        <v>168</v>
      </c>
      <c r="T29" s="116">
        <v>210</v>
      </c>
      <c r="U29" s="116">
        <v>210</v>
      </c>
      <c r="V29" s="116">
        <v>168</v>
      </c>
      <c r="W29" s="116">
        <v>126</v>
      </c>
      <c r="X29" s="116">
        <v>0</v>
      </c>
      <c r="Y29" s="116">
        <v>168</v>
      </c>
      <c r="Z29" s="116">
        <v>210</v>
      </c>
      <c r="AA29" s="116">
        <v>168</v>
      </c>
      <c r="AB29" s="116">
        <v>252</v>
      </c>
      <c r="AC29" s="116">
        <v>210</v>
      </c>
      <c r="AD29" s="116">
        <v>0</v>
      </c>
      <c r="AE29" s="116">
        <v>0</v>
      </c>
      <c r="AF29" s="116">
        <v>168</v>
      </c>
      <c r="AG29" s="116">
        <v>168</v>
      </c>
      <c r="AH29" s="116">
        <v>210</v>
      </c>
      <c r="AI29" s="116">
        <v>210</v>
      </c>
      <c r="AJ29" s="116">
        <v>168</v>
      </c>
      <c r="AK29" s="116">
        <v>210</v>
      </c>
      <c r="AL29" s="116">
        <v>0</v>
      </c>
      <c r="AM29" s="116">
        <v>0</v>
      </c>
      <c r="AN29" s="116">
        <v>0</v>
      </c>
      <c r="AO29" s="116">
        <v>4032</v>
      </c>
      <c r="AP29" s="116">
        <v>0</v>
      </c>
      <c r="AQ29" s="116">
        <v>0</v>
      </c>
      <c r="AR29" s="116">
        <v>168</v>
      </c>
      <c r="AS29" s="116">
        <v>168</v>
      </c>
      <c r="AT29" s="116">
        <v>210</v>
      </c>
      <c r="AU29" s="116">
        <v>210</v>
      </c>
      <c r="AV29" s="116">
        <v>84</v>
      </c>
      <c r="AW29" s="116">
        <v>0</v>
      </c>
      <c r="AX29" s="116">
        <v>168</v>
      </c>
      <c r="AY29" s="116">
        <v>168</v>
      </c>
      <c r="AZ29" s="116">
        <v>210</v>
      </c>
      <c r="BA29" s="116">
        <v>168</v>
      </c>
      <c r="BB29" s="116">
        <v>168</v>
      </c>
      <c r="BC29" s="116">
        <v>252</v>
      </c>
      <c r="BD29" s="116">
        <v>0</v>
      </c>
      <c r="BE29" s="116">
        <v>210</v>
      </c>
      <c r="BF29" s="116">
        <v>126</v>
      </c>
      <c r="BG29" s="116">
        <v>210</v>
      </c>
      <c r="BH29" s="116">
        <v>168</v>
      </c>
      <c r="BI29" s="116">
        <v>210</v>
      </c>
      <c r="BJ29" s="116">
        <v>0</v>
      </c>
      <c r="BK29" s="116">
        <v>0</v>
      </c>
      <c r="BL29" s="116">
        <v>168</v>
      </c>
      <c r="BM29" s="116">
        <v>168</v>
      </c>
      <c r="BN29" s="116">
        <v>252</v>
      </c>
      <c r="BO29" s="116">
        <v>168</v>
      </c>
      <c r="BP29" s="116">
        <v>168</v>
      </c>
      <c r="BQ29" s="116">
        <v>168</v>
      </c>
      <c r="BR29" s="116">
        <v>0</v>
      </c>
      <c r="BS29" s="116">
        <v>168</v>
      </c>
      <c r="BT29" s="116">
        <v>126</v>
      </c>
      <c r="BU29" s="116">
        <v>4284</v>
      </c>
      <c r="BV29" s="116">
        <v>166</v>
      </c>
      <c r="BW29" s="116">
        <v>166</v>
      </c>
      <c r="BX29" s="116">
        <v>166</v>
      </c>
      <c r="BY29" s="116">
        <v>83</v>
      </c>
      <c r="BZ29" s="116">
        <v>0</v>
      </c>
      <c r="CA29" s="116">
        <v>166</v>
      </c>
      <c r="CB29" s="116">
        <v>166</v>
      </c>
      <c r="CC29" s="116">
        <v>166</v>
      </c>
      <c r="CD29" s="116">
        <v>166</v>
      </c>
      <c r="CE29" s="116">
        <v>166</v>
      </c>
      <c r="CF29" s="116">
        <v>0</v>
      </c>
      <c r="CG29" s="116">
        <v>0</v>
      </c>
      <c r="CH29" s="116">
        <v>0</v>
      </c>
      <c r="CI29" s="116">
        <v>0</v>
      </c>
      <c r="CJ29" s="116">
        <v>0</v>
      </c>
      <c r="CK29" s="116">
        <v>0</v>
      </c>
      <c r="CL29" s="116">
        <v>0</v>
      </c>
      <c r="CM29" s="116">
        <v>0</v>
      </c>
      <c r="CN29" s="116">
        <v>0</v>
      </c>
      <c r="CO29" s="116">
        <v>166</v>
      </c>
      <c r="CP29" s="116">
        <v>165</v>
      </c>
      <c r="CQ29" s="116">
        <v>166</v>
      </c>
      <c r="CR29" s="116">
        <v>165</v>
      </c>
      <c r="CS29" s="116">
        <v>166</v>
      </c>
      <c r="CT29" s="116">
        <v>165</v>
      </c>
      <c r="CU29" s="116">
        <v>0</v>
      </c>
      <c r="CV29" s="116">
        <v>166</v>
      </c>
      <c r="CW29" s="116">
        <v>165</v>
      </c>
      <c r="CX29" s="116">
        <v>166</v>
      </c>
      <c r="CY29" s="116">
        <v>165</v>
      </c>
      <c r="CZ29" s="116">
        <v>0</v>
      </c>
      <c r="DA29" s="116">
        <v>3066</v>
      </c>
      <c r="DB29" s="116">
        <v>0</v>
      </c>
      <c r="DC29" s="116">
        <v>0</v>
      </c>
      <c r="DD29" s="116">
        <v>0</v>
      </c>
      <c r="DE29" s="116">
        <v>0</v>
      </c>
      <c r="DF29" s="116">
        <v>122</v>
      </c>
      <c r="DG29" s="116">
        <v>122</v>
      </c>
      <c r="DH29" s="116">
        <v>122</v>
      </c>
      <c r="DI29" s="116">
        <v>122</v>
      </c>
      <c r="DJ29" s="116">
        <v>122</v>
      </c>
      <c r="DK29" s="116">
        <v>0</v>
      </c>
      <c r="DL29" s="116">
        <v>122</v>
      </c>
      <c r="DM29" s="116">
        <v>122</v>
      </c>
      <c r="DN29" s="116">
        <v>122</v>
      </c>
      <c r="DO29" s="116">
        <v>122</v>
      </c>
      <c r="DP29" s="116">
        <v>122</v>
      </c>
      <c r="DQ29" s="116">
        <v>0</v>
      </c>
      <c r="DR29" s="116">
        <v>0</v>
      </c>
      <c r="DS29" s="116">
        <v>122</v>
      </c>
      <c r="DT29" s="116">
        <v>122</v>
      </c>
      <c r="DU29" s="116">
        <v>122</v>
      </c>
      <c r="DV29" s="116">
        <v>121</v>
      </c>
      <c r="DW29" s="116">
        <v>122</v>
      </c>
      <c r="DX29" s="116">
        <v>0</v>
      </c>
      <c r="DY29" s="116">
        <v>0</v>
      </c>
      <c r="DZ29" s="116">
        <v>121</v>
      </c>
      <c r="EA29" s="116">
        <v>122</v>
      </c>
      <c r="EB29" s="116">
        <v>121</v>
      </c>
      <c r="EC29" s="116">
        <v>122</v>
      </c>
      <c r="ED29" s="116">
        <v>121</v>
      </c>
      <c r="EE29" s="116">
        <v>0</v>
      </c>
      <c r="EF29" s="116">
        <v>0</v>
      </c>
      <c r="EG29" s="116">
        <v>2436</v>
      </c>
      <c r="EH29" t="s">
        <v>61</v>
      </c>
      <c r="EI29" t="str">
        <f t="shared" si="1"/>
        <v>86790-0K190</v>
      </c>
      <c r="EJ29" t="s">
        <v>113</v>
      </c>
      <c r="EK29" t="str">
        <f>VLOOKUP(EJ29,'By Plant'!B:D,3,0)</f>
        <v>BP</v>
      </c>
      <c r="EL29" t="str">
        <f t="shared" si="2"/>
        <v>86790-0K190BPKD1</v>
      </c>
      <c r="EM29" t="str">
        <f t="shared" si="3"/>
        <v/>
      </c>
      <c r="ER29" t="b">
        <f t="shared" si="5"/>
        <v>0</v>
      </c>
      <c r="ES29" t="s">
        <v>39</v>
      </c>
      <c r="ET29" s="95">
        <v>1946</v>
      </c>
      <c r="EU29" s="95">
        <v>2404</v>
      </c>
      <c r="EV29" s="95">
        <v>1451</v>
      </c>
      <c r="EW29" s="95">
        <v>912</v>
      </c>
      <c r="EZ29" t="s">
        <v>39</v>
      </c>
      <c r="FA29" t="str">
        <f t="shared" si="6"/>
        <v>86790-0K141</v>
      </c>
    </row>
    <row r="30" spans="1:163" x14ac:dyDescent="0.3">
      <c r="A30" t="str">
        <f t="shared" si="0"/>
        <v>86790-0K190BPKTP1</v>
      </c>
      <c r="B30" s="115" t="s">
        <v>185</v>
      </c>
      <c r="C30" s="115" t="s">
        <v>218</v>
      </c>
      <c r="D30" s="115" t="s">
        <v>172</v>
      </c>
      <c r="E30" s="115" t="s">
        <v>331</v>
      </c>
      <c r="F30" s="115"/>
      <c r="G30" s="115" t="s">
        <v>206</v>
      </c>
      <c r="H30" s="115" t="s">
        <v>153</v>
      </c>
      <c r="I30" s="116">
        <v>6</v>
      </c>
      <c r="J30" s="116">
        <v>0</v>
      </c>
      <c r="K30" s="116">
        <v>10</v>
      </c>
      <c r="L30" s="116">
        <v>0</v>
      </c>
      <c r="M30" s="116">
        <v>0</v>
      </c>
      <c r="N30" s="116">
        <v>0</v>
      </c>
      <c r="O30" s="116">
        <v>0</v>
      </c>
      <c r="P30" s="116">
        <v>0</v>
      </c>
      <c r="Q30" s="116">
        <v>0</v>
      </c>
      <c r="R30" s="116">
        <v>10</v>
      </c>
      <c r="S30" s="116">
        <v>0</v>
      </c>
      <c r="T30" s="116">
        <v>0</v>
      </c>
      <c r="U30" s="116">
        <v>10</v>
      </c>
      <c r="V30" s="116">
        <v>10</v>
      </c>
      <c r="W30" s="116">
        <v>10</v>
      </c>
      <c r="X30" s="116">
        <v>0</v>
      </c>
      <c r="Y30" s="116">
        <v>0</v>
      </c>
      <c r="Z30" s="116">
        <v>10</v>
      </c>
      <c r="AA30" s="116">
        <v>10</v>
      </c>
      <c r="AB30" s="116">
        <v>10</v>
      </c>
      <c r="AC30" s="116">
        <v>10</v>
      </c>
      <c r="AD30" s="116">
        <v>0</v>
      </c>
      <c r="AE30" s="116">
        <v>0</v>
      </c>
      <c r="AF30" s="116">
        <v>0</v>
      </c>
      <c r="AG30" s="116">
        <v>0</v>
      </c>
      <c r="AH30" s="116">
        <v>0</v>
      </c>
      <c r="AI30" s="116">
        <v>0</v>
      </c>
      <c r="AJ30" s="116">
        <v>10</v>
      </c>
      <c r="AK30" s="116">
        <v>10</v>
      </c>
      <c r="AL30" s="116">
        <v>0</v>
      </c>
      <c r="AM30" s="116">
        <v>0</v>
      </c>
      <c r="AN30" s="116">
        <v>0</v>
      </c>
      <c r="AO30" s="116">
        <v>110</v>
      </c>
      <c r="AP30" s="116">
        <v>0</v>
      </c>
      <c r="AQ30" s="116">
        <v>0</v>
      </c>
      <c r="AR30" s="116">
        <v>10</v>
      </c>
      <c r="AS30" s="116">
        <v>10</v>
      </c>
      <c r="AT30" s="116">
        <v>10</v>
      </c>
      <c r="AU30" s="116">
        <v>20</v>
      </c>
      <c r="AV30" s="116">
        <v>0</v>
      </c>
      <c r="AW30" s="116">
        <v>0</v>
      </c>
      <c r="AX30" s="116">
        <v>10</v>
      </c>
      <c r="AY30" s="116">
        <v>10</v>
      </c>
      <c r="AZ30" s="116">
        <v>10</v>
      </c>
      <c r="BA30" s="116">
        <v>10</v>
      </c>
      <c r="BB30" s="116">
        <v>10</v>
      </c>
      <c r="BC30" s="116">
        <v>10</v>
      </c>
      <c r="BD30" s="116">
        <v>0</v>
      </c>
      <c r="BE30" s="116">
        <v>20</v>
      </c>
      <c r="BF30" s="116">
        <v>10</v>
      </c>
      <c r="BG30" s="116">
        <v>10</v>
      </c>
      <c r="BH30" s="116">
        <v>10</v>
      </c>
      <c r="BI30" s="116">
        <v>10</v>
      </c>
      <c r="BJ30" s="116">
        <v>0</v>
      </c>
      <c r="BK30" s="116">
        <v>0</v>
      </c>
      <c r="BL30" s="116">
        <v>10</v>
      </c>
      <c r="BM30" s="116">
        <v>10</v>
      </c>
      <c r="BN30" s="116">
        <v>10</v>
      </c>
      <c r="BO30" s="116">
        <v>10</v>
      </c>
      <c r="BP30" s="116">
        <v>20</v>
      </c>
      <c r="BQ30" s="116">
        <v>10</v>
      </c>
      <c r="BR30" s="116">
        <v>0</v>
      </c>
      <c r="BS30" s="116">
        <v>10</v>
      </c>
      <c r="BT30" s="116">
        <v>10</v>
      </c>
      <c r="BU30" s="116">
        <v>260</v>
      </c>
      <c r="BV30" s="116">
        <v>4</v>
      </c>
      <c r="BW30" s="116">
        <v>4</v>
      </c>
      <c r="BX30" s="116">
        <v>4</v>
      </c>
      <c r="BY30" s="116">
        <v>2</v>
      </c>
      <c r="BZ30" s="116">
        <v>0</v>
      </c>
      <c r="CA30" s="116">
        <v>4</v>
      </c>
      <c r="CB30" s="116">
        <v>4</v>
      </c>
      <c r="CC30" s="116">
        <v>4</v>
      </c>
      <c r="CD30" s="116">
        <v>4</v>
      </c>
      <c r="CE30" s="116">
        <v>4</v>
      </c>
      <c r="CF30" s="116">
        <v>0</v>
      </c>
      <c r="CG30" s="116">
        <v>0</v>
      </c>
      <c r="CH30" s="116">
        <v>0</v>
      </c>
      <c r="CI30" s="116">
        <v>0</v>
      </c>
      <c r="CJ30" s="116">
        <v>0</v>
      </c>
      <c r="CK30" s="116">
        <v>0</v>
      </c>
      <c r="CL30" s="116">
        <v>0</v>
      </c>
      <c r="CM30" s="116">
        <v>0</v>
      </c>
      <c r="CN30" s="116">
        <v>0</v>
      </c>
      <c r="CO30" s="116">
        <v>4</v>
      </c>
      <c r="CP30" s="116">
        <v>4</v>
      </c>
      <c r="CQ30" s="116">
        <v>4</v>
      </c>
      <c r="CR30" s="116">
        <v>3</v>
      </c>
      <c r="CS30" s="116">
        <v>4</v>
      </c>
      <c r="CT30" s="116">
        <v>3</v>
      </c>
      <c r="CU30" s="116">
        <v>0</v>
      </c>
      <c r="CV30" s="116">
        <v>4</v>
      </c>
      <c r="CW30" s="116">
        <v>3</v>
      </c>
      <c r="CX30" s="116">
        <v>4</v>
      </c>
      <c r="CY30" s="116">
        <v>3</v>
      </c>
      <c r="CZ30" s="116">
        <v>0</v>
      </c>
      <c r="DA30" s="116">
        <v>70</v>
      </c>
      <c r="DB30" s="116">
        <v>0</v>
      </c>
      <c r="DC30" s="116">
        <v>0</v>
      </c>
      <c r="DD30" s="116">
        <v>0</v>
      </c>
      <c r="DE30" s="116">
        <v>0</v>
      </c>
      <c r="DF30" s="116">
        <v>6</v>
      </c>
      <c r="DG30" s="116">
        <v>6</v>
      </c>
      <c r="DH30" s="116">
        <v>6</v>
      </c>
      <c r="DI30" s="116">
        <v>6</v>
      </c>
      <c r="DJ30" s="116">
        <v>6</v>
      </c>
      <c r="DK30" s="116">
        <v>0</v>
      </c>
      <c r="DL30" s="116">
        <v>6</v>
      </c>
      <c r="DM30" s="116">
        <v>6</v>
      </c>
      <c r="DN30" s="116">
        <v>6</v>
      </c>
      <c r="DO30" s="116">
        <v>6</v>
      </c>
      <c r="DP30" s="116">
        <v>6</v>
      </c>
      <c r="DQ30" s="116">
        <v>0</v>
      </c>
      <c r="DR30" s="116">
        <v>0</v>
      </c>
      <c r="DS30" s="116">
        <v>6</v>
      </c>
      <c r="DT30" s="116">
        <v>6</v>
      </c>
      <c r="DU30" s="116">
        <v>6</v>
      </c>
      <c r="DV30" s="116">
        <v>6</v>
      </c>
      <c r="DW30" s="116">
        <v>6</v>
      </c>
      <c r="DX30" s="116">
        <v>0</v>
      </c>
      <c r="DY30" s="116">
        <v>0</v>
      </c>
      <c r="DZ30" s="116">
        <v>6</v>
      </c>
      <c r="EA30" s="116">
        <v>6</v>
      </c>
      <c r="EB30" s="116">
        <v>6</v>
      </c>
      <c r="EC30" s="116">
        <v>6</v>
      </c>
      <c r="ED30" s="116">
        <v>6</v>
      </c>
      <c r="EE30" s="116">
        <v>0</v>
      </c>
      <c r="EF30" s="116">
        <v>0</v>
      </c>
      <c r="EG30" s="116">
        <v>120</v>
      </c>
      <c r="EH30" t="s">
        <v>61</v>
      </c>
      <c r="EI30" t="str">
        <f t="shared" si="1"/>
        <v>86790-0K190</v>
      </c>
      <c r="EJ30" t="s">
        <v>113</v>
      </c>
      <c r="EK30" t="str">
        <f>VLOOKUP(EJ30,'By Plant'!B:D,3,0)</f>
        <v>BP</v>
      </c>
      <c r="EL30" t="str">
        <f t="shared" si="2"/>
        <v>86790-0K190BPKBN</v>
      </c>
      <c r="EM30" t="str">
        <f t="shared" si="3"/>
        <v>TP1</v>
      </c>
      <c r="ER30" t="b">
        <f t="shared" si="5"/>
        <v>0</v>
      </c>
      <c r="ES30" t="s">
        <v>41</v>
      </c>
      <c r="ET30" s="95">
        <v>1026</v>
      </c>
      <c r="EU30" s="95">
        <v>1077</v>
      </c>
      <c r="EV30" s="95">
        <v>1019</v>
      </c>
      <c r="EW30" s="95">
        <v>230</v>
      </c>
      <c r="EZ30" t="s">
        <v>41</v>
      </c>
      <c r="FA30" t="str">
        <f t="shared" si="6"/>
        <v>86790-0K171</v>
      </c>
    </row>
    <row r="31" spans="1:163" x14ac:dyDescent="0.3">
      <c r="A31" t="str">
        <f t="shared" si="0"/>
        <v>86790-0K200BPK</v>
      </c>
      <c r="B31" s="115" t="s">
        <v>220</v>
      </c>
      <c r="C31" s="115" t="s">
        <v>221</v>
      </c>
      <c r="D31" s="115" t="s">
        <v>172</v>
      </c>
      <c r="E31" s="115" t="s">
        <v>331</v>
      </c>
      <c r="F31" s="115"/>
      <c r="G31" s="115" t="s">
        <v>201</v>
      </c>
      <c r="H31" s="115" t="s">
        <v>153</v>
      </c>
      <c r="I31" s="116">
        <v>20</v>
      </c>
      <c r="J31" s="116">
        <v>0</v>
      </c>
      <c r="K31" s="116">
        <v>120</v>
      </c>
      <c r="L31" s="116">
        <v>160</v>
      </c>
      <c r="M31" s="116">
        <v>120</v>
      </c>
      <c r="N31" s="116">
        <v>140</v>
      </c>
      <c r="O31" s="116">
        <v>140</v>
      </c>
      <c r="P31" s="116">
        <v>0</v>
      </c>
      <c r="Q31" s="116">
        <v>0</v>
      </c>
      <c r="R31" s="116">
        <v>140</v>
      </c>
      <c r="S31" s="116">
        <v>140</v>
      </c>
      <c r="T31" s="116">
        <v>140</v>
      </c>
      <c r="U31" s="116">
        <v>120</v>
      </c>
      <c r="V31" s="116">
        <v>160</v>
      </c>
      <c r="W31" s="116">
        <v>120</v>
      </c>
      <c r="X31" s="116">
        <v>0</v>
      </c>
      <c r="Y31" s="116">
        <v>140</v>
      </c>
      <c r="Z31" s="116">
        <v>140</v>
      </c>
      <c r="AA31" s="116">
        <v>140</v>
      </c>
      <c r="AB31" s="116">
        <v>140</v>
      </c>
      <c r="AC31" s="116">
        <v>140</v>
      </c>
      <c r="AD31" s="116">
        <v>0</v>
      </c>
      <c r="AE31" s="116">
        <v>0</v>
      </c>
      <c r="AF31" s="116">
        <v>140</v>
      </c>
      <c r="AG31" s="116">
        <v>140</v>
      </c>
      <c r="AH31" s="116">
        <v>140</v>
      </c>
      <c r="AI31" s="116">
        <v>120</v>
      </c>
      <c r="AJ31" s="116">
        <v>140</v>
      </c>
      <c r="AK31" s="116">
        <v>140</v>
      </c>
      <c r="AL31" s="116">
        <v>0</v>
      </c>
      <c r="AM31" s="116">
        <v>0</v>
      </c>
      <c r="AN31" s="116">
        <v>0</v>
      </c>
      <c r="AO31" s="116">
        <v>3020</v>
      </c>
      <c r="AP31" s="116">
        <v>0</v>
      </c>
      <c r="AQ31" s="116">
        <v>0</v>
      </c>
      <c r="AR31" s="116">
        <v>100</v>
      </c>
      <c r="AS31" s="116">
        <v>140</v>
      </c>
      <c r="AT31" s="116">
        <v>100</v>
      </c>
      <c r="AU31" s="116">
        <v>120</v>
      </c>
      <c r="AV31" s="116">
        <v>60</v>
      </c>
      <c r="AW31" s="116">
        <v>0</v>
      </c>
      <c r="AX31" s="116">
        <v>120</v>
      </c>
      <c r="AY31" s="116">
        <v>120</v>
      </c>
      <c r="AZ31" s="116">
        <v>120</v>
      </c>
      <c r="BA31" s="116">
        <v>120</v>
      </c>
      <c r="BB31" s="116">
        <v>120</v>
      </c>
      <c r="BC31" s="116">
        <v>120</v>
      </c>
      <c r="BD31" s="116">
        <v>0</v>
      </c>
      <c r="BE31" s="116">
        <v>120</v>
      </c>
      <c r="BF31" s="116">
        <v>120</v>
      </c>
      <c r="BG31" s="116">
        <v>140</v>
      </c>
      <c r="BH31" s="116">
        <v>120</v>
      </c>
      <c r="BI31" s="116">
        <v>100</v>
      </c>
      <c r="BJ31" s="116">
        <v>0</v>
      </c>
      <c r="BK31" s="116">
        <v>0</v>
      </c>
      <c r="BL31" s="116">
        <v>120</v>
      </c>
      <c r="BM31" s="116">
        <v>140</v>
      </c>
      <c r="BN31" s="116">
        <v>120</v>
      </c>
      <c r="BO31" s="116">
        <v>120</v>
      </c>
      <c r="BP31" s="116">
        <v>120</v>
      </c>
      <c r="BQ31" s="116">
        <v>120</v>
      </c>
      <c r="BR31" s="116">
        <v>0</v>
      </c>
      <c r="BS31" s="116">
        <v>120</v>
      </c>
      <c r="BT31" s="116">
        <v>120</v>
      </c>
      <c r="BU31" s="116">
        <v>2820</v>
      </c>
      <c r="BV31" s="116">
        <v>156</v>
      </c>
      <c r="BW31" s="116">
        <v>156</v>
      </c>
      <c r="BX31" s="116">
        <v>156</v>
      </c>
      <c r="BY31" s="116">
        <v>78</v>
      </c>
      <c r="BZ31" s="116">
        <v>0</v>
      </c>
      <c r="CA31" s="116">
        <v>156</v>
      </c>
      <c r="CB31" s="116">
        <v>156</v>
      </c>
      <c r="CC31" s="116">
        <v>156</v>
      </c>
      <c r="CD31" s="116">
        <v>156</v>
      </c>
      <c r="CE31" s="116">
        <v>155</v>
      </c>
      <c r="CF31" s="116">
        <v>0</v>
      </c>
      <c r="CG31" s="116">
        <v>0</v>
      </c>
      <c r="CH31" s="116">
        <v>0</v>
      </c>
      <c r="CI31" s="116">
        <v>0</v>
      </c>
      <c r="CJ31" s="116">
        <v>0</v>
      </c>
      <c r="CK31" s="116">
        <v>0</v>
      </c>
      <c r="CL31" s="116">
        <v>0</v>
      </c>
      <c r="CM31" s="116">
        <v>0</v>
      </c>
      <c r="CN31" s="116">
        <v>0</v>
      </c>
      <c r="CO31" s="116">
        <v>156</v>
      </c>
      <c r="CP31" s="116">
        <v>155</v>
      </c>
      <c r="CQ31" s="116">
        <v>156</v>
      </c>
      <c r="CR31" s="116">
        <v>155</v>
      </c>
      <c r="CS31" s="116">
        <v>156</v>
      </c>
      <c r="CT31" s="116">
        <v>155</v>
      </c>
      <c r="CU31" s="116">
        <v>0</v>
      </c>
      <c r="CV31" s="116">
        <v>156</v>
      </c>
      <c r="CW31" s="116">
        <v>155</v>
      </c>
      <c r="CX31" s="116">
        <v>156</v>
      </c>
      <c r="CY31" s="116">
        <v>155</v>
      </c>
      <c r="CZ31" s="116">
        <v>0</v>
      </c>
      <c r="DA31" s="116">
        <v>2880</v>
      </c>
      <c r="DB31" s="116">
        <v>0</v>
      </c>
      <c r="DC31" s="116">
        <v>0</v>
      </c>
      <c r="DD31" s="116">
        <v>0</v>
      </c>
      <c r="DE31" s="116">
        <v>0</v>
      </c>
      <c r="DF31" s="116">
        <v>131</v>
      </c>
      <c r="DG31" s="116">
        <v>131</v>
      </c>
      <c r="DH31" s="116">
        <v>131</v>
      </c>
      <c r="DI31" s="116">
        <v>131</v>
      </c>
      <c r="DJ31" s="116">
        <v>131</v>
      </c>
      <c r="DK31" s="116">
        <v>0</v>
      </c>
      <c r="DL31" s="116">
        <v>131</v>
      </c>
      <c r="DM31" s="116">
        <v>131</v>
      </c>
      <c r="DN31" s="116">
        <v>131</v>
      </c>
      <c r="DO31" s="116">
        <v>131</v>
      </c>
      <c r="DP31" s="116">
        <v>131</v>
      </c>
      <c r="DQ31" s="116">
        <v>0</v>
      </c>
      <c r="DR31" s="116">
        <v>0</v>
      </c>
      <c r="DS31" s="116">
        <v>131</v>
      </c>
      <c r="DT31" s="116">
        <v>131</v>
      </c>
      <c r="DU31" s="116">
        <v>131</v>
      </c>
      <c r="DV31" s="116">
        <v>131</v>
      </c>
      <c r="DW31" s="116">
        <v>131</v>
      </c>
      <c r="DX31" s="116">
        <v>0</v>
      </c>
      <c r="DY31" s="116">
        <v>0</v>
      </c>
      <c r="DZ31" s="116">
        <v>131</v>
      </c>
      <c r="EA31" s="116">
        <v>131</v>
      </c>
      <c r="EB31" s="116">
        <v>131</v>
      </c>
      <c r="EC31" s="116">
        <v>131</v>
      </c>
      <c r="ED31" s="116">
        <v>131</v>
      </c>
      <c r="EE31" s="116">
        <v>0</v>
      </c>
      <c r="EF31" s="116">
        <v>0</v>
      </c>
      <c r="EG31" s="116">
        <v>2620</v>
      </c>
      <c r="EH31" t="s">
        <v>61</v>
      </c>
      <c r="EI31" t="str">
        <f t="shared" si="1"/>
        <v>86790-0K200</v>
      </c>
      <c r="EJ31" t="s">
        <v>31</v>
      </c>
      <c r="EK31" t="str">
        <f>VLOOKUP(EJ31,'By Plant'!B:D,3,0)</f>
        <v>BPK</v>
      </c>
      <c r="EL31" t="str">
        <f t="shared" si="2"/>
        <v>86790-0K200BPKD1</v>
      </c>
      <c r="EM31" t="str">
        <f t="shared" si="3"/>
        <v/>
      </c>
      <c r="ER31" t="b">
        <f t="shared" si="5"/>
        <v>0</v>
      </c>
      <c r="ES31" t="s">
        <v>42</v>
      </c>
      <c r="ET31" s="95">
        <v>582</v>
      </c>
      <c r="EU31" s="95">
        <v>388</v>
      </c>
      <c r="EV31" s="95">
        <v>386</v>
      </c>
      <c r="EW31" s="95">
        <v>367</v>
      </c>
      <c r="EZ31" t="s">
        <v>42</v>
      </c>
      <c r="FA31" t="str">
        <f t="shared" si="6"/>
        <v>86790-0K181</v>
      </c>
    </row>
    <row r="32" spans="1:163" x14ac:dyDescent="0.3">
      <c r="A32" t="str">
        <f t="shared" si="0"/>
        <v>86790-0K230BPK</v>
      </c>
      <c r="B32" s="115" t="s">
        <v>187</v>
      </c>
      <c r="C32" s="115" t="s">
        <v>222</v>
      </c>
      <c r="D32" s="115" t="s">
        <v>172</v>
      </c>
      <c r="E32" s="115" t="s">
        <v>331</v>
      </c>
      <c r="F32" s="115"/>
      <c r="G32" s="115" t="s">
        <v>201</v>
      </c>
      <c r="H32" s="115" t="s">
        <v>153</v>
      </c>
      <c r="I32" s="116">
        <v>16</v>
      </c>
      <c r="J32" s="116">
        <v>0</v>
      </c>
      <c r="K32" s="116">
        <v>48</v>
      </c>
      <c r="L32" s="116">
        <v>16</v>
      </c>
      <c r="M32" s="116">
        <v>16</v>
      </c>
      <c r="N32" s="116">
        <v>16</v>
      </c>
      <c r="O32" s="116">
        <v>16</v>
      </c>
      <c r="P32" s="116">
        <v>0</v>
      </c>
      <c r="Q32" s="116">
        <v>0</v>
      </c>
      <c r="R32" s="116">
        <v>32</v>
      </c>
      <c r="S32" s="116">
        <v>16</v>
      </c>
      <c r="T32" s="116">
        <v>16</v>
      </c>
      <c r="U32" s="116">
        <v>16</v>
      </c>
      <c r="V32" s="116">
        <v>32</v>
      </c>
      <c r="W32" s="116">
        <v>16</v>
      </c>
      <c r="X32" s="116">
        <v>0</v>
      </c>
      <c r="Y32" s="116">
        <v>16</v>
      </c>
      <c r="Z32" s="116">
        <v>32</v>
      </c>
      <c r="AA32" s="116">
        <v>16</v>
      </c>
      <c r="AB32" s="116">
        <v>16</v>
      </c>
      <c r="AC32" s="116">
        <v>16</v>
      </c>
      <c r="AD32" s="116">
        <v>0</v>
      </c>
      <c r="AE32" s="116">
        <v>0</v>
      </c>
      <c r="AF32" s="116">
        <v>32</v>
      </c>
      <c r="AG32" s="116">
        <v>16</v>
      </c>
      <c r="AH32" s="116">
        <v>16</v>
      </c>
      <c r="AI32" s="116">
        <v>32</v>
      </c>
      <c r="AJ32" s="116">
        <v>16</v>
      </c>
      <c r="AK32" s="116">
        <v>16</v>
      </c>
      <c r="AL32" s="116">
        <v>0</v>
      </c>
      <c r="AM32" s="116">
        <v>0</v>
      </c>
      <c r="AN32" s="116">
        <v>0</v>
      </c>
      <c r="AO32" s="116">
        <v>464</v>
      </c>
      <c r="AP32" s="116">
        <v>0</v>
      </c>
      <c r="AQ32" s="116">
        <v>0</v>
      </c>
      <c r="AR32" s="116">
        <v>16</v>
      </c>
      <c r="AS32" s="116">
        <v>32</v>
      </c>
      <c r="AT32" s="116">
        <v>32</v>
      </c>
      <c r="AU32" s="116">
        <v>16</v>
      </c>
      <c r="AV32" s="116">
        <v>16</v>
      </c>
      <c r="AW32" s="116">
        <v>0</v>
      </c>
      <c r="AX32" s="116">
        <v>16</v>
      </c>
      <c r="AY32" s="116">
        <v>32</v>
      </c>
      <c r="AZ32" s="116">
        <v>16</v>
      </c>
      <c r="BA32" s="116">
        <v>32</v>
      </c>
      <c r="BB32" s="116">
        <v>32</v>
      </c>
      <c r="BC32" s="116">
        <v>16</v>
      </c>
      <c r="BD32" s="116">
        <v>0</v>
      </c>
      <c r="BE32" s="116">
        <v>32</v>
      </c>
      <c r="BF32" s="116">
        <v>16</v>
      </c>
      <c r="BG32" s="116">
        <v>32</v>
      </c>
      <c r="BH32" s="116">
        <v>16</v>
      </c>
      <c r="BI32" s="116">
        <v>32</v>
      </c>
      <c r="BJ32" s="116">
        <v>0</v>
      </c>
      <c r="BK32" s="116">
        <v>0</v>
      </c>
      <c r="BL32" s="116">
        <v>16</v>
      </c>
      <c r="BM32" s="116">
        <v>32</v>
      </c>
      <c r="BN32" s="116">
        <v>32</v>
      </c>
      <c r="BO32" s="116">
        <v>16</v>
      </c>
      <c r="BP32" s="116">
        <v>32</v>
      </c>
      <c r="BQ32" s="116">
        <v>16</v>
      </c>
      <c r="BR32" s="116">
        <v>0</v>
      </c>
      <c r="BS32" s="116">
        <v>32</v>
      </c>
      <c r="BT32" s="116">
        <v>16</v>
      </c>
      <c r="BU32" s="116">
        <v>576</v>
      </c>
      <c r="BV32" s="116">
        <v>22</v>
      </c>
      <c r="BW32" s="116">
        <v>23</v>
      </c>
      <c r="BX32" s="116">
        <v>22</v>
      </c>
      <c r="BY32" s="116">
        <v>11</v>
      </c>
      <c r="BZ32" s="116">
        <v>0</v>
      </c>
      <c r="CA32" s="116">
        <v>23</v>
      </c>
      <c r="CB32" s="116">
        <v>23</v>
      </c>
      <c r="CC32" s="116">
        <v>22</v>
      </c>
      <c r="CD32" s="116">
        <v>23</v>
      </c>
      <c r="CE32" s="116">
        <v>22</v>
      </c>
      <c r="CF32" s="116">
        <v>0</v>
      </c>
      <c r="CG32" s="116">
        <v>0</v>
      </c>
      <c r="CH32" s="116">
        <v>0</v>
      </c>
      <c r="CI32" s="116">
        <v>0</v>
      </c>
      <c r="CJ32" s="116">
        <v>0</v>
      </c>
      <c r="CK32" s="116">
        <v>0</v>
      </c>
      <c r="CL32" s="116">
        <v>0</v>
      </c>
      <c r="CM32" s="116">
        <v>0</v>
      </c>
      <c r="CN32" s="116">
        <v>0</v>
      </c>
      <c r="CO32" s="116">
        <v>23</v>
      </c>
      <c r="CP32" s="116">
        <v>22</v>
      </c>
      <c r="CQ32" s="116">
        <v>23</v>
      </c>
      <c r="CR32" s="116">
        <v>22</v>
      </c>
      <c r="CS32" s="116">
        <v>23</v>
      </c>
      <c r="CT32" s="116">
        <v>22</v>
      </c>
      <c r="CU32" s="116">
        <v>0</v>
      </c>
      <c r="CV32" s="116">
        <v>23</v>
      </c>
      <c r="CW32" s="116">
        <v>22</v>
      </c>
      <c r="CX32" s="116">
        <v>23</v>
      </c>
      <c r="CY32" s="116">
        <v>22</v>
      </c>
      <c r="CZ32" s="116">
        <v>0</v>
      </c>
      <c r="DA32" s="116">
        <v>416</v>
      </c>
      <c r="DB32" s="116">
        <v>0</v>
      </c>
      <c r="DC32" s="116">
        <v>0</v>
      </c>
      <c r="DD32" s="116">
        <v>0</v>
      </c>
      <c r="DE32" s="116">
        <v>0</v>
      </c>
      <c r="DF32" s="116">
        <v>14</v>
      </c>
      <c r="DG32" s="116">
        <v>14</v>
      </c>
      <c r="DH32" s="116">
        <v>14</v>
      </c>
      <c r="DI32" s="116">
        <v>14</v>
      </c>
      <c r="DJ32" s="116">
        <v>15</v>
      </c>
      <c r="DK32" s="116">
        <v>0</v>
      </c>
      <c r="DL32" s="116">
        <v>14</v>
      </c>
      <c r="DM32" s="116">
        <v>15</v>
      </c>
      <c r="DN32" s="116">
        <v>14</v>
      </c>
      <c r="DO32" s="116">
        <v>15</v>
      </c>
      <c r="DP32" s="116">
        <v>14</v>
      </c>
      <c r="DQ32" s="116">
        <v>0</v>
      </c>
      <c r="DR32" s="116">
        <v>0</v>
      </c>
      <c r="DS32" s="116">
        <v>15</v>
      </c>
      <c r="DT32" s="116">
        <v>14</v>
      </c>
      <c r="DU32" s="116">
        <v>15</v>
      </c>
      <c r="DV32" s="116">
        <v>14</v>
      </c>
      <c r="DW32" s="116">
        <v>15</v>
      </c>
      <c r="DX32" s="116">
        <v>0</v>
      </c>
      <c r="DY32" s="116">
        <v>0</v>
      </c>
      <c r="DZ32" s="116">
        <v>14</v>
      </c>
      <c r="EA32" s="116">
        <v>15</v>
      </c>
      <c r="EB32" s="116">
        <v>14</v>
      </c>
      <c r="EC32" s="116">
        <v>15</v>
      </c>
      <c r="ED32" s="116">
        <v>14</v>
      </c>
      <c r="EE32" s="116">
        <v>0</v>
      </c>
      <c r="EF32" s="116">
        <v>0</v>
      </c>
      <c r="EG32" s="116">
        <v>288</v>
      </c>
      <c r="EH32" t="s">
        <v>61</v>
      </c>
      <c r="EI32" t="str">
        <f t="shared" si="1"/>
        <v>86790-0K230</v>
      </c>
      <c r="EJ32" t="s">
        <v>72</v>
      </c>
      <c r="EK32" t="str">
        <f>VLOOKUP(EJ32,'By Plant'!B:D,3,0)</f>
        <v>BP</v>
      </c>
      <c r="EL32" t="str">
        <f t="shared" si="2"/>
        <v>86790-0K230BPKD1</v>
      </c>
      <c r="EM32" t="str">
        <f t="shared" si="3"/>
        <v/>
      </c>
      <c r="ER32" t="b">
        <f t="shared" si="5"/>
        <v>0</v>
      </c>
      <c r="ES32" t="s">
        <v>113</v>
      </c>
      <c r="ET32" s="95">
        <v>4745</v>
      </c>
      <c r="EU32" s="95">
        <v>5243</v>
      </c>
      <c r="EV32" s="95">
        <v>3468</v>
      </c>
      <c r="EW32" s="95">
        <v>3284</v>
      </c>
      <c r="EZ32" t="s">
        <v>113</v>
      </c>
      <c r="FA32" t="str">
        <f t="shared" si="6"/>
        <v>86790-0K190</v>
      </c>
    </row>
    <row r="33" spans="1:157" x14ac:dyDescent="0.3">
      <c r="A33" t="str">
        <f t="shared" si="0"/>
        <v>86790-BZ310BPK</v>
      </c>
      <c r="B33" s="228" t="s">
        <v>224</v>
      </c>
      <c r="C33" s="115" t="s">
        <v>225</v>
      </c>
      <c r="D33" s="115" t="s">
        <v>172</v>
      </c>
      <c r="E33" s="115" t="s">
        <v>331</v>
      </c>
      <c r="F33" s="115"/>
      <c r="G33" s="115" t="s">
        <v>201</v>
      </c>
      <c r="H33" s="115" t="s">
        <v>227</v>
      </c>
      <c r="I33" s="116">
        <v>15</v>
      </c>
      <c r="J33" s="116">
        <v>0</v>
      </c>
      <c r="K33" s="116">
        <v>285</v>
      </c>
      <c r="L33" s="116">
        <v>285</v>
      </c>
      <c r="M33" s="116">
        <v>285</v>
      </c>
      <c r="N33" s="116">
        <v>285</v>
      </c>
      <c r="O33" s="116">
        <v>285</v>
      </c>
      <c r="P33" s="116">
        <v>0</v>
      </c>
      <c r="Q33" s="116">
        <v>0</v>
      </c>
      <c r="R33" s="116">
        <v>285</v>
      </c>
      <c r="S33" s="116">
        <v>285</v>
      </c>
      <c r="T33" s="116">
        <v>285</v>
      </c>
      <c r="U33" s="116">
        <v>285</v>
      </c>
      <c r="V33" s="116">
        <v>285</v>
      </c>
      <c r="W33" s="116">
        <v>300</v>
      </c>
      <c r="X33" s="116">
        <v>0</v>
      </c>
      <c r="Y33" s="116">
        <v>285</v>
      </c>
      <c r="Z33" s="116">
        <v>270</v>
      </c>
      <c r="AA33" s="116">
        <v>270</v>
      </c>
      <c r="AB33" s="116">
        <v>255</v>
      </c>
      <c r="AC33" s="116">
        <v>255</v>
      </c>
      <c r="AD33" s="116">
        <v>0</v>
      </c>
      <c r="AE33" s="116">
        <v>0</v>
      </c>
      <c r="AF33" s="116">
        <v>255</v>
      </c>
      <c r="AG33" s="116">
        <v>255</v>
      </c>
      <c r="AH33" s="116">
        <v>255</v>
      </c>
      <c r="AI33" s="116">
        <v>255</v>
      </c>
      <c r="AJ33" s="116">
        <v>270</v>
      </c>
      <c r="AK33" s="116">
        <v>255</v>
      </c>
      <c r="AL33" s="116">
        <v>0</v>
      </c>
      <c r="AM33" s="116">
        <v>0</v>
      </c>
      <c r="AN33" s="116">
        <v>0</v>
      </c>
      <c r="AO33" s="116">
        <v>6030</v>
      </c>
      <c r="AP33" s="116">
        <v>0</v>
      </c>
      <c r="AQ33" s="116">
        <v>0</v>
      </c>
      <c r="AR33" s="116">
        <v>210</v>
      </c>
      <c r="AS33" s="116">
        <v>240</v>
      </c>
      <c r="AT33" s="116">
        <v>255</v>
      </c>
      <c r="AU33" s="116">
        <v>240</v>
      </c>
      <c r="AV33" s="116">
        <v>105</v>
      </c>
      <c r="AW33" s="116">
        <v>0</v>
      </c>
      <c r="AX33" s="116">
        <v>240</v>
      </c>
      <c r="AY33" s="116">
        <v>240</v>
      </c>
      <c r="AZ33" s="116">
        <v>255</v>
      </c>
      <c r="BA33" s="116">
        <v>240</v>
      </c>
      <c r="BB33" s="116">
        <v>240</v>
      </c>
      <c r="BC33" s="116">
        <v>255</v>
      </c>
      <c r="BD33" s="116">
        <v>0</v>
      </c>
      <c r="BE33" s="116">
        <v>240</v>
      </c>
      <c r="BF33" s="116">
        <v>255</v>
      </c>
      <c r="BG33" s="116">
        <v>225</v>
      </c>
      <c r="BH33" s="116">
        <v>240</v>
      </c>
      <c r="BI33" s="116">
        <v>225</v>
      </c>
      <c r="BJ33" s="116">
        <v>0</v>
      </c>
      <c r="BK33" s="116">
        <v>0</v>
      </c>
      <c r="BL33" s="116">
        <v>240</v>
      </c>
      <c r="BM33" s="116">
        <v>225</v>
      </c>
      <c r="BN33" s="116">
        <v>240</v>
      </c>
      <c r="BO33" s="116">
        <v>225</v>
      </c>
      <c r="BP33" s="116">
        <v>240</v>
      </c>
      <c r="BQ33" s="116">
        <v>225</v>
      </c>
      <c r="BR33" s="116">
        <v>0</v>
      </c>
      <c r="BS33" s="116">
        <v>240</v>
      </c>
      <c r="BT33" s="116">
        <v>225</v>
      </c>
      <c r="BU33" s="116">
        <v>5565</v>
      </c>
      <c r="BV33" s="116">
        <v>303</v>
      </c>
      <c r="BW33" s="116">
        <v>303</v>
      </c>
      <c r="BX33" s="116">
        <v>303</v>
      </c>
      <c r="BY33" s="116">
        <v>152</v>
      </c>
      <c r="BZ33" s="116">
        <v>0</v>
      </c>
      <c r="CA33" s="116">
        <v>303</v>
      </c>
      <c r="CB33" s="116">
        <v>303</v>
      </c>
      <c r="CC33" s="116">
        <v>303</v>
      </c>
      <c r="CD33" s="116">
        <v>303</v>
      </c>
      <c r="CE33" s="116">
        <v>303</v>
      </c>
      <c r="CF33" s="116">
        <v>0</v>
      </c>
      <c r="CG33" s="116">
        <v>0</v>
      </c>
      <c r="CH33" s="116">
        <v>0</v>
      </c>
      <c r="CI33" s="116">
        <v>0</v>
      </c>
      <c r="CJ33" s="116">
        <v>0</v>
      </c>
      <c r="CK33" s="116">
        <v>0</v>
      </c>
      <c r="CL33" s="116">
        <v>0</v>
      </c>
      <c r="CM33" s="116">
        <v>0</v>
      </c>
      <c r="CN33" s="116">
        <v>0</v>
      </c>
      <c r="CO33" s="116">
        <v>303</v>
      </c>
      <c r="CP33" s="116">
        <v>303</v>
      </c>
      <c r="CQ33" s="116">
        <v>304</v>
      </c>
      <c r="CR33" s="116">
        <v>303</v>
      </c>
      <c r="CS33" s="116">
        <v>304</v>
      </c>
      <c r="CT33" s="116">
        <v>303</v>
      </c>
      <c r="CU33" s="116">
        <v>0</v>
      </c>
      <c r="CV33" s="116">
        <v>304</v>
      </c>
      <c r="CW33" s="116">
        <v>303</v>
      </c>
      <c r="CX33" s="116">
        <v>304</v>
      </c>
      <c r="CY33" s="116">
        <v>303</v>
      </c>
      <c r="CZ33" s="116">
        <v>0</v>
      </c>
      <c r="DA33" s="116">
        <v>5610</v>
      </c>
      <c r="DB33" s="116">
        <v>0</v>
      </c>
      <c r="DC33" s="116">
        <v>0</v>
      </c>
      <c r="DD33" s="116">
        <v>0</v>
      </c>
      <c r="DE33" s="116">
        <v>0</v>
      </c>
      <c r="DF33" s="116">
        <v>246</v>
      </c>
      <c r="DG33" s="116">
        <v>246</v>
      </c>
      <c r="DH33" s="116">
        <v>246</v>
      </c>
      <c r="DI33" s="116">
        <v>246</v>
      </c>
      <c r="DJ33" s="116">
        <v>246</v>
      </c>
      <c r="DK33" s="116">
        <v>0</v>
      </c>
      <c r="DL33" s="116">
        <v>246</v>
      </c>
      <c r="DM33" s="116">
        <v>246</v>
      </c>
      <c r="DN33" s="116">
        <v>246</v>
      </c>
      <c r="DO33" s="116">
        <v>246</v>
      </c>
      <c r="DP33" s="116">
        <v>246</v>
      </c>
      <c r="DQ33" s="116">
        <v>0</v>
      </c>
      <c r="DR33" s="116">
        <v>0</v>
      </c>
      <c r="DS33" s="116">
        <v>246</v>
      </c>
      <c r="DT33" s="116">
        <v>246</v>
      </c>
      <c r="DU33" s="116">
        <v>246</v>
      </c>
      <c r="DV33" s="116">
        <v>246</v>
      </c>
      <c r="DW33" s="116">
        <v>246</v>
      </c>
      <c r="DX33" s="116">
        <v>0</v>
      </c>
      <c r="DY33" s="116">
        <v>0</v>
      </c>
      <c r="DZ33" s="116">
        <v>246</v>
      </c>
      <c r="EA33" s="116">
        <v>246</v>
      </c>
      <c r="EB33" s="116">
        <v>246</v>
      </c>
      <c r="EC33" s="116">
        <v>246</v>
      </c>
      <c r="ED33" s="116">
        <v>246</v>
      </c>
      <c r="EE33" s="116">
        <v>0</v>
      </c>
      <c r="EF33" s="116">
        <v>0</v>
      </c>
      <c r="EG33" s="116">
        <v>4920</v>
      </c>
      <c r="EH33" s="206" t="s">
        <v>61</v>
      </c>
      <c r="EI33" t="str">
        <f t="shared" si="1"/>
        <v>86790-BZ310</v>
      </c>
      <c r="EJ33" t="s">
        <v>97</v>
      </c>
      <c r="EK33" t="str">
        <f>VLOOKUP(EJ33,'By Plant'!B:D,3,0)</f>
        <v>GW</v>
      </c>
      <c r="EL33" t="str">
        <f t="shared" si="2"/>
        <v>86790-BZ310BPKD1</v>
      </c>
      <c r="EM33" t="str">
        <f t="shared" si="3"/>
        <v/>
      </c>
      <c r="ER33" t="b">
        <f t="shared" si="5"/>
        <v>0</v>
      </c>
      <c r="ES33" t="s">
        <v>31</v>
      </c>
      <c r="ET33" s="95">
        <v>3020</v>
      </c>
      <c r="EU33" s="95">
        <v>2820</v>
      </c>
      <c r="EV33" s="95">
        <v>2880</v>
      </c>
      <c r="EW33" s="95">
        <v>2620</v>
      </c>
      <c r="EZ33" t="s">
        <v>31</v>
      </c>
      <c r="FA33" t="str">
        <f t="shared" si="6"/>
        <v>86790-0K200</v>
      </c>
    </row>
    <row r="34" spans="1:157" x14ac:dyDescent="0.3">
      <c r="A34" t="str">
        <f t="shared" si="0"/>
        <v>86790-0K310BPK</v>
      </c>
      <c r="B34" s="241" t="s">
        <v>166</v>
      </c>
      <c r="C34" s="115" t="s">
        <v>344</v>
      </c>
      <c r="D34" s="115" t="s">
        <v>172</v>
      </c>
      <c r="E34" s="115" t="s">
        <v>331</v>
      </c>
      <c r="F34" s="115"/>
      <c r="G34" s="115" t="s">
        <v>201</v>
      </c>
      <c r="H34" s="115" t="s">
        <v>191</v>
      </c>
      <c r="I34" s="116">
        <v>60</v>
      </c>
      <c r="J34" s="116">
        <v>0</v>
      </c>
      <c r="K34" s="116">
        <v>0</v>
      </c>
      <c r="L34" s="116">
        <v>0</v>
      </c>
      <c r="M34" s="116">
        <v>0</v>
      </c>
      <c r="N34" s="116">
        <v>0</v>
      </c>
      <c r="O34" s="116">
        <v>0</v>
      </c>
      <c r="P34" s="116">
        <v>0</v>
      </c>
      <c r="Q34" s="116">
        <v>0</v>
      </c>
      <c r="R34" s="116">
        <v>0</v>
      </c>
      <c r="S34" s="116">
        <v>0</v>
      </c>
      <c r="T34" s="116">
        <v>0</v>
      </c>
      <c r="U34" s="116">
        <v>0</v>
      </c>
      <c r="V34" s="116">
        <v>0</v>
      </c>
      <c r="W34" s="116">
        <v>0</v>
      </c>
      <c r="X34" s="116">
        <v>0</v>
      </c>
      <c r="Y34" s="116">
        <v>0</v>
      </c>
      <c r="Z34" s="116">
        <v>0</v>
      </c>
      <c r="AA34" s="116">
        <v>0</v>
      </c>
      <c r="AB34" s="116">
        <v>0</v>
      </c>
      <c r="AC34" s="116">
        <v>0</v>
      </c>
      <c r="AD34" s="116">
        <v>0</v>
      </c>
      <c r="AE34" s="116">
        <v>0</v>
      </c>
      <c r="AF34" s="116">
        <v>0</v>
      </c>
      <c r="AG34" s="116">
        <v>0</v>
      </c>
      <c r="AH34" s="116">
        <v>0</v>
      </c>
      <c r="AI34" s="116">
        <v>0</v>
      </c>
      <c r="AJ34" s="116">
        <v>0</v>
      </c>
      <c r="AK34" s="116">
        <v>0</v>
      </c>
      <c r="AL34" s="116">
        <v>0</v>
      </c>
      <c r="AM34" s="116">
        <v>0</v>
      </c>
      <c r="AN34" s="116">
        <v>0</v>
      </c>
      <c r="AO34" s="116">
        <v>0</v>
      </c>
      <c r="AP34" s="116">
        <v>0</v>
      </c>
      <c r="AQ34" s="116">
        <v>0</v>
      </c>
      <c r="AR34" s="116">
        <v>60</v>
      </c>
      <c r="AS34" s="116">
        <v>60</v>
      </c>
      <c r="AT34" s="116">
        <v>120</v>
      </c>
      <c r="AU34" s="116">
        <v>120</v>
      </c>
      <c r="AV34" s="116">
        <v>0</v>
      </c>
      <c r="AW34" s="116">
        <v>0</v>
      </c>
      <c r="AX34" s="116">
        <v>120</v>
      </c>
      <c r="AY34" s="116">
        <v>60</v>
      </c>
      <c r="AZ34" s="116">
        <v>120</v>
      </c>
      <c r="BA34" s="116">
        <v>60</v>
      </c>
      <c r="BB34" s="116">
        <v>120</v>
      </c>
      <c r="BC34" s="116">
        <v>120</v>
      </c>
      <c r="BD34" s="116">
        <v>0</v>
      </c>
      <c r="BE34" s="116">
        <v>60</v>
      </c>
      <c r="BF34" s="116">
        <v>120</v>
      </c>
      <c r="BG34" s="116">
        <v>120</v>
      </c>
      <c r="BH34" s="116">
        <v>60</v>
      </c>
      <c r="BI34" s="116">
        <v>120</v>
      </c>
      <c r="BJ34" s="116">
        <v>0</v>
      </c>
      <c r="BK34" s="116">
        <v>0</v>
      </c>
      <c r="BL34" s="116">
        <v>120</v>
      </c>
      <c r="BM34" s="116">
        <v>120</v>
      </c>
      <c r="BN34" s="116">
        <v>120</v>
      </c>
      <c r="BO34" s="116">
        <v>60</v>
      </c>
      <c r="BP34" s="116">
        <v>120</v>
      </c>
      <c r="BQ34" s="116">
        <v>120</v>
      </c>
      <c r="BR34" s="116">
        <v>0</v>
      </c>
      <c r="BS34" s="116">
        <v>120</v>
      </c>
      <c r="BT34" s="116">
        <v>120</v>
      </c>
      <c r="BU34" s="116">
        <v>2340</v>
      </c>
      <c r="BV34" s="116">
        <v>149</v>
      </c>
      <c r="BW34" s="116">
        <v>149</v>
      </c>
      <c r="BX34" s="116">
        <v>149</v>
      </c>
      <c r="BY34" s="116">
        <v>75</v>
      </c>
      <c r="BZ34" s="116">
        <v>0</v>
      </c>
      <c r="CA34" s="116">
        <v>149</v>
      </c>
      <c r="CB34" s="116">
        <v>149</v>
      </c>
      <c r="CC34" s="116">
        <v>149</v>
      </c>
      <c r="CD34" s="116">
        <v>149</v>
      </c>
      <c r="CE34" s="116">
        <v>149</v>
      </c>
      <c r="CF34" s="116">
        <v>0</v>
      </c>
      <c r="CG34" s="116">
        <v>0</v>
      </c>
      <c r="CH34" s="116">
        <v>0</v>
      </c>
      <c r="CI34" s="116">
        <v>0</v>
      </c>
      <c r="CJ34" s="116">
        <v>0</v>
      </c>
      <c r="CK34" s="116">
        <v>0</v>
      </c>
      <c r="CL34" s="116">
        <v>0</v>
      </c>
      <c r="CM34" s="116">
        <v>0</v>
      </c>
      <c r="CN34" s="116">
        <v>0</v>
      </c>
      <c r="CO34" s="116">
        <v>149</v>
      </c>
      <c r="CP34" s="116">
        <v>149</v>
      </c>
      <c r="CQ34" s="116">
        <v>149</v>
      </c>
      <c r="CR34" s="116">
        <v>149</v>
      </c>
      <c r="CS34" s="116">
        <v>150</v>
      </c>
      <c r="CT34" s="116">
        <v>149</v>
      </c>
      <c r="CU34" s="116">
        <v>0</v>
      </c>
      <c r="CV34" s="116">
        <v>150</v>
      </c>
      <c r="CW34" s="116">
        <v>149</v>
      </c>
      <c r="CX34" s="116">
        <v>150</v>
      </c>
      <c r="CY34" s="116">
        <v>149</v>
      </c>
      <c r="CZ34" s="116">
        <v>0</v>
      </c>
      <c r="DA34" s="116">
        <v>2760</v>
      </c>
      <c r="DB34" s="116">
        <v>0</v>
      </c>
      <c r="DC34" s="116">
        <v>0</v>
      </c>
      <c r="DD34" s="116">
        <v>0</v>
      </c>
      <c r="DE34" s="116">
        <v>0</v>
      </c>
      <c r="DF34" s="116">
        <v>120</v>
      </c>
      <c r="DG34" s="116">
        <v>120</v>
      </c>
      <c r="DH34" s="116">
        <v>120</v>
      </c>
      <c r="DI34" s="116">
        <v>120</v>
      </c>
      <c r="DJ34" s="116">
        <v>120</v>
      </c>
      <c r="DK34" s="116">
        <v>0</v>
      </c>
      <c r="DL34" s="116">
        <v>120</v>
      </c>
      <c r="DM34" s="116">
        <v>120</v>
      </c>
      <c r="DN34" s="116">
        <v>120</v>
      </c>
      <c r="DO34" s="116">
        <v>120</v>
      </c>
      <c r="DP34" s="116">
        <v>120</v>
      </c>
      <c r="DQ34" s="116">
        <v>0</v>
      </c>
      <c r="DR34" s="116">
        <v>0</v>
      </c>
      <c r="DS34" s="116">
        <v>120</v>
      </c>
      <c r="DT34" s="116">
        <v>120</v>
      </c>
      <c r="DU34" s="116">
        <v>120</v>
      </c>
      <c r="DV34" s="116">
        <v>120</v>
      </c>
      <c r="DW34" s="116">
        <v>120</v>
      </c>
      <c r="DX34" s="116">
        <v>0</v>
      </c>
      <c r="DY34" s="116">
        <v>0</v>
      </c>
      <c r="DZ34" s="116">
        <v>120</v>
      </c>
      <c r="EA34" s="116">
        <v>120</v>
      </c>
      <c r="EB34" s="116">
        <v>120</v>
      </c>
      <c r="EC34" s="116">
        <v>120</v>
      </c>
      <c r="ED34" s="116">
        <v>120</v>
      </c>
      <c r="EE34" s="116">
        <v>0</v>
      </c>
      <c r="EF34" s="116">
        <v>0</v>
      </c>
      <c r="EG34" s="116">
        <v>2400</v>
      </c>
      <c r="EH34" s="143" t="s">
        <v>61</v>
      </c>
      <c r="EI34" t="str">
        <f t="shared" si="1"/>
        <v>86790-0K310</v>
      </c>
      <c r="EJ34" t="s">
        <v>117</v>
      </c>
      <c r="EL34" t="str">
        <f t="shared" si="2"/>
        <v>86790-0K310BPKD1</v>
      </c>
      <c r="EM34" t="str">
        <f t="shared" ref="EM34:EM54" si="7">IFERROR(VLOOKUP(EL36,$EQ$5:$ER$12,2,0),"")</f>
        <v/>
      </c>
      <c r="ER34" t="b">
        <f t="shared" si="5"/>
        <v>0</v>
      </c>
      <c r="ES34" t="s">
        <v>32</v>
      </c>
      <c r="ET34" s="95">
        <v>1160</v>
      </c>
      <c r="EU34" s="95">
        <v>2100</v>
      </c>
      <c r="EV34" s="95">
        <v>2040</v>
      </c>
      <c r="EW34" s="95">
        <v>1040</v>
      </c>
      <c r="EZ34" t="s">
        <v>32</v>
      </c>
      <c r="FA34" t="str">
        <f t="shared" si="6"/>
        <v>86790-0K220</v>
      </c>
    </row>
    <row r="35" spans="1:157" x14ac:dyDescent="0.3">
      <c r="A35" t="str">
        <f t="shared" si="0"/>
        <v>86790-0K400BPK</v>
      </c>
      <c r="B35" s="241" t="s">
        <v>168</v>
      </c>
      <c r="C35" s="115" t="s">
        <v>345</v>
      </c>
      <c r="D35" s="115" t="s">
        <v>172</v>
      </c>
      <c r="E35" s="115" t="s">
        <v>331</v>
      </c>
      <c r="F35" s="115"/>
      <c r="G35" s="115" t="s">
        <v>201</v>
      </c>
      <c r="H35" s="115" t="s">
        <v>191</v>
      </c>
      <c r="I35" s="116">
        <v>84</v>
      </c>
      <c r="J35" s="116">
        <v>0</v>
      </c>
      <c r="K35" s="116">
        <v>0</v>
      </c>
      <c r="L35" s="116">
        <v>0</v>
      </c>
      <c r="M35" s="116">
        <v>0</v>
      </c>
      <c r="N35" s="116">
        <v>0</v>
      </c>
      <c r="O35" s="116">
        <v>0</v>
      </c>
      <c r="P35" s="116">
        <v>0</v>
      </c>
      <c r="Q35" s="116">
        <v>0</v>
      </c>
      <c r="R35" s="116">
        <v>0</v>
      </c>
      <c r="S35" s="116">
        <v>0</v>
      </c>
      <c r="T35" s="116">
        <v>0</v>
      </c>
      <c r="U35" s="116">
        <v>0</v>
      </c>
      <c r="V35" s="116">
        <v>0</v>
      </c>
      <c r="W35" s="116">
        <v>0</v>
      </c>
      <c r="X35" s="116">
        <v>0</v>
      </c>
      <c r="Y35" s="116">
        <v>0</v>
      </c>
      <c r="Z35" s="116">
        <v>0</v>
      </c>
      <c r="AA35" s="116">
        <v>0</v>
      </c>
      <c r="AB35" s="116">
        <v>0</v>
      </c>
      <c r="AC35" s="116">
        <v>0</v>
      </c>
      <c r="AD35" s="116">
        <v>0</v>
      </c>
      <c r="AE35" s="116">
        <v>0</v>
      </c>
      <c r="AF35" s="116">
        <v>0</v>
      </c>
      <c r="AG35" s="116">
        <v>0</v>
      </c>
      <c r="AH35" s="116">
        <v>0</v>
      </c>
      <c r="AI35" s="116">
        <v>0</v>
      </c>
      <c r="AJ35" s="116">
        <v>0</v>
      </c>
      <c r="AK35" s="116">
        <v>0</v>
      </c>
      <c r="AL35" s="116">
        <v>0</v>
      </c>
      <c r="AM35" s="116">
        <v>0</v>
      </c>
      <c r="AN35" s="116">
        <v>0</v>
      </c>
      <c r="AO35" s="116">
        <v>0</v>
      </c>
      <c r="AP35" s="116">
        <v>0</v>
      </c>
      <c r="AQ35" s="116">
        <v>0</v>
      </c>
      <c r="AR35" s="116">
        <v>84</v>
      </c>
      <c r="AS35" s="116">
        <v>84</v>
      </c>
      <c r="AT35" s="116">
        <v>84</v>
      </c>
      <c r="AU35" s="116">
        <v>84</v>
      </c>
      <c r="AV35" s="116">
        <v>84</v>
      </c>
      <c r="AW35" s="116">
        <v>0</v>
      </c>
      <c r="AX35" s="116">
        <v>84</v>
      </c>
      <c r="AY35" s="116">
        <v>84</v>
      </c>
      <c r="AZ35" s="116">
        <v>84</v>
      </c>
      <c r="BA35" s="116">
        <v>84</v>
      </c>
      <c r="BB35" s="116">
        <v>84</v>
      </c>
      <c r="BC35" s="116">
        <v>84</v>
      </c>
      <c r="BD35" s="116">
        <v>0</v>
      </c>
      <c r="BE35" s="116">
        <v>168</v>
      </c>
      <c r="BF35" s="116">
        <v>84</v>
      </c>
      <c r="BG35" s="116">
        <v>84</v>
      </c>
      <c r="BH35" s="116">
        <v>84</v>
      </c>
      <c r="BI35" s="116">
        <v>84</v>
      </c>
      <c r="BJ35" s="116">
        <v>0</v>
      </c>
      <c r="BK35" s="116">
        <v>0</v>
      </c>
      <c r="BL35" s="116">
        <v>168</v>
      </c>
      <c r="BM35" s="116">
        <v>84</v>
      </c>
      <c r="BN35" s="116">
        <v>84</v>
      </c>
      <c r="BO35" s="116">
        <v>168</v>
      </c>
      <c r="BP35" s="116">
        <v>84</v>
      </c>
      <c r="BQ35" s="116">
        <v>84</v>
      </c>
      <c r="BR35" s="116">
        <v>0</v>
      </c>
      <c r="BS35" s="116">
        <v>168</v>
      </c>
      <c r="BT35" s="116">
        <v>84</v>
      </c>
      <c r="BU35" s="116">
        <v>2352</v>
      </c>
      <c r="BV35" s="116">
        <v>150</v>
      </c>
      <c r="BW35" s="116">
        <v>150</v>
      </c>
      <c r="BX35" s="116">
        <v>150</v>
      </c>
      <c r="BY35" s="116">
        <v>75</v>
      </c>
      <c r="BZ35" s="116">
        <v>0</v>
      </c>
      <c r="CA35" s="116">
        <v>150</v>
      </c>
      <c r="CB35" s="116">
        <v>150</v>
      </c>
      <c r="CC35" s="116">
        <v>150</v>
      </c>
      <c r="CD35" s="116">
        <v>150</v>
      </c>
      <c r="CE35" s="116">
        <v>150</v>
      </c>
      <c r="CF35" s="116">
        <v>0</v>
      </c>
      <c r="CG35" s="116">
        <v>0</v>
      </c>
      <c r="CH35" s="116">
        <v>0</v>
      </c>
      <c r="CI35" s="116">
        <v>0</v>
      </c>
      <c r="CJ35" s="116">
        <v>0</v>
      </c>
      <c r="CK35" s="116">
        <v>0</v>
      </c>
      <c r="CL35" s="116">
        <v>0</v>
      </c>
      <c r="CM35" s="116">
        <v>0</v>
      </c>
      <c r="CN35" s="116">
        <v>0</v>
      </c>
      <c r="CO35" s="116">
        <v>150</v>
      </c>
      <c r="CP35" s="116">
        <v>150</v>
      </c>
      <c r="CQ35" s="116">
        <v>150</v>
      </c>
      <c r="CR35" s="116">
        <v>150</v>
      </c>
      <c r="CS35" s="116">
        <v>150</v>
      </c>
      <c r="CT35" s="116">
        <v>149</v>
      </c>
      <c r="CU35" s="116">
        <v>0</v>
      </c>
      <c r="CV35" s="116">
        <v>150</v>
      </c>
      <c r="CW35" s="116">
        <v>149</v>
      </c>
      <c r="CX35" s="116">
        <v>150</v>
      </c>
      <c r="CY35" s="116">
        <v>149</v>
      </c>
      <c r="CZ35" s="116">
        <v>0</v>
      </c>
      <c r="DA35" s="116">
        <v>2772</v>
      </c>
      <c r="DB35" s="116">
        <v>0</v>
      </c>
      <c r="DC35" s="116">
        <v>0</v>
      </c>
      <c r="DD35" s="116">
        <v>0</v>
      </c>
      <c r="DE35" s="116">
        <v>0</v>
      </c>
      <c r="DF35" s="116">
        <v>122</v>
      </c>
      <c r="DG35" s="116">
        <v>122</v>
      </c>
      <c r="DH35" s="116">
        <v>122</v>
      </c>
      <c r="DI35" s="116">
        <v>122</v>
      </c>
      <c r="DJ35" s="116">
        <v>122</v>
      </c>
      <c r="DK35" s="116">
        <v>0</v>
      </c>
      <c r="DL35" s="116">
        <v>122</v>
      </c>
      <c r="DM35" s="116">
        <v>122</v>
      </c>
      <c r="DN35" s="116">
        <v>122</v>
      </c>
      <c r="DO35" s="116">
        <v>122</v>
      </c>
      <c r="DP35" s="116">
        <v>122</v>
      </c>
      <c r="DQ35" s="116">
        <v>0</v>
      </c>
      <c r="DR35" s="116">
        <v>0</v>
      </c>
      <c r="DS35" s="116">
        <v>122</v>
      </c>
      <c r="DT35" s="116">
        <v>122</v>
      </c>
      <c r="DU35" s="116">
        <v>122</v>
      </c>
      <c r="DV35" s="116">
        <v>121</v>
      </c>
      <c r="DW35" s="116">
        <v>122</v>
      </c>
      <c r="DX35" s="116">
        <v>0</v>
      </c>
      <c r="DY35" s="116">
        <v>0</v>
      </c>
      <c r="DZ35" s="116">
        <v>121</v>
      </c>
      <c r="EA35" s="116">
        <v>122</v>
      </c>
      <c r="EB35" s="116">
        <v>121</v>
      </c>
      <c r="EC35" s="116">
        <v>122</v>
      </c>
      <c r="ED35" s="116">
        <v>121</v>
      </c>
      <c r="EE35" s="116">
        <v>0</v>
      </c>
      <c r="EF35" s="116">
        <v>0</v>
      </c>
      <c r="EG35" s="116">
        <v>2436</v>
      </c>
      <c r="EH35" s="143" t="s">
        <v>61</v>
      </c>
      <c r="EI35" t="str">
        <f t="shared" ref="EI35:EI56" si="8">LEFT(B35,11)</f>
        <v>86790-0K400</v>
      </c>
      <c r="EJ35" t="s">
        <v>118</v>
      </c>
      <c r="EL35" t="str">
        <f t="shared" ref="EL35:EL56" si="9">LEFT(B35,11)&amp;EH35&amp;G35</f>
        <v>86790-0K400BPKD1</v>
      </c>
      <c r="EM35" t="str">
        <f t="shared" si="7"/>
        <v/>
      </c>
      <c r="ER35" t="b">
        <f t="shared" si="5"/>
        <v>0</v>
      </c>
      <c r="ES35" t="s">
        <v>72</v>
      </c>
      <c r="ET35" s="95">
        <v>1082</v>
      </c>
      <c r="EU35" s="95">
        <v>1309</v>
      </c>
      <c r="EV35" s="95">
        <v>822</v>
      </c>
      <c r="EW35" s="95">
        <v>288</v>
      </c>
      <c r="EZ35" t="s">
        <v>72</v>
      </c>
      <c r="FA35" t="str">
        <f t="shared" si="6"/>
        <v>86790-0K230</v>
      </c>
    </row>
    <row r="36" spans="1:157" x14ac:dyDescent="0.3">
      <c r="A36" t="str">
        <f t="shared" ref="A36:A56" si="10">EI36&amp;EH36&amp;EM34</f>
        <v>86790-BZ271GW</v>
      </c>
      <c r="B36" s="233" t="s">
        <v>243</v>
      </c>
      <c r="C36" s="115" t="s">
        <v>244</v>
      </c>
      <c r="D36" s="115" t="s">
        <v>172</v>
      </c>
      <c r="E36" s="115" t="s">
        <v>331</v>
      </c>
      <c r="F36" s="115"/>
      <c r="G36" s="115" t="s">
        <v>233</v>
      </c>
      <c r="H36" s="115" t="s">
        <v>234</v>
      </c>
      <c r="I36" s="171">
        <v>36</v>
      </c>
      <c r="J36" s="171">
        <v>0</v>
      </c>
      <c r="K36" s="171">
        <v>108</v>
      </c>
      <c r="L36" s="171">
        <v>108</v>
      </c>
      <c r="M36" s="171">
        <v>72</v>
      </c>
      <c r="N36" s="171">
        <v>108</v>
      </c>
      <c r="O36" s="171">
        <v>108</v>
      </c>
      <c r="P36" s="171">
        <v>0</v>
      </c>
      <c r="Q36" s="171">
        <v>0</v>
      </c>
      <c r="R36" s="171">
        <v>108</v>
      </c>
      <c r="S36" s="171">
        <v>108</v>
      </c>
      <c r="T36" s="171">
        <v>72</v>
      </c>
      <c r="U36" s="171">
        <v>72</v>
      </c>
      <c r="V36" s="171">
        <v>108</v>
      </c>
      <c r="W36" s="171">
        <v>108</v>
      </c>
      <c r="X36" s="171">
        <v>0</v>
      </c>
      <c r="Y36" s="171">
        <v>72</v>
      </c>
      <c r="Z36" s="171">
        <v>108</v>
      </c>
      <c r="AA36" s="171">
        <v>108</v>
      </c>
      <c r="AB36" s="171">
        <v>72</v>
      </c>
      <c r="AC36" s="171">
        <v>108</v>
      </c>
      <c r="AD36" s="171">
        <v>0</v>
      </c>
      <c r="AE36" s="171">
        <v>0</v>
      </c>
      <c r="AF36" s="171">
        <v>108</v>
      </c>
      <c r="AG36" s="171">
        <v>72</v>
      </c>
      <c r="AH36" s="171">
        <v>108</v>
      </c>
      <c r="AI36" s="171">
        <v>72</v>
      </c>
      <c r="AJ36" s="171">
        <v>108</v>
      </c>
      <c r="AK36" s="171">
        <v>72</v>
      </c>
      <c r="AL36" s="171">
        <v>0</v>
      </c>
      <c r="AM36" s="171">
        <v>0</v>
      </c>
      <c r="AN36" s="171">
        <v>0</v>
      </c>
      <c r="AO36" s="171">
        <v>2088</v>
      </c>
      <c r="AP36" s="171">
        <v>0</v>
      </c>
      <c r="AQ36" s="171">
        <v>0</v>
      </c>
      <c r="AR36" s="171">
        <v>108</v>
      </c>
      <c r="AS36" s="171">
        <v>72</v>
      </c>
      <c r="AT36" s="171">
        <v>72</v>
      </c>
      <c r="AU36" s="171">
        <v>108</v>
      </c>
      <c r="AV36" s="171">
        <v>36</v>
      </c>
      <c r="AW36" s="171">
        <v>0</v>
      </c>
      <c r="AX36" s="171">
        <v>108</v>
      </c>
      <c r="AY36" s="171">
        <v>72</v>
      </c>
      <c r="AZ36" s="171">
        <v>72</v>
      </c>
      <c r="BA36" s="171">
        <v>108</v>
      </c>
      <c r="BB36" s="171">
        <v>72</v>
      </c>
      <c r="BC36" s="171">
        <v>72</v>
      </c>
      <c r="BD36" s="171">
        <v>0</v>
      </c>
      <c r="BE36" s="171">
        <v>108</v>
      </c>
      <c r="BF36" s="171">
        <v>72</v>
      </c>
      <c r="BG36" s="171">
        <v>72</v>
      </c>
      <c r="BH36" s="171">
        <v>108</v>
      </c>
      <c r="BI36" s="171">
        <v>72</v>
      </c>
      <c r="BJ36" s="171">
        <v>0</v>
      </c>
      <c r="BK36" s="171">
        <v>0</v>
      </c>
      <c r="BL36" s="171">
        <v>108</v>
      </c>
      <c r="BM36" s="171">
        <v>72</v>
      </c>
      <c r="BN36" s="171">
        <v>72</v>
      </c>
      <c r="BO36" s="171">
        <v>108</v>
      </c>
      <c r="BP36" s="171">
        <v>72</v>
      </c>
      <c r="BQ36" s="171">
        <v>72</v>
      </c>
      <c r="BR36" s="171">
        <v>0</v>
      </c>
      <c r="BS36" s="171">
        <v>108</v>
      </c>
      <c r="BT36" s="171">
        <v>36</v>
      </c>
      <c r="BU36" s="171">
        <v>1980</v>
      </c>
      <c r="BV36" s="171">
        <v>97</v>
      </c>
      <c r="BW36" s="171">
        <v>97</v>
      </c>
      <c r="BX36" s="171">
        <v>97</v>
      </c>
      <c r="BY36" s="171">
        <v>49</v>
      </c>
      <c r="BZ36" s="171">
        <v>0</v>
      </c>
      <c r="CA36" s="171">
        <v>97</v>
      </c>
      <c r="CB36" s="171">
        <v>97</v>
      </c>
      <c r="CC36" s="171">
        <v>97</v>
      </c>
      <c r="CD36" s="171">
        <v>97</v>
      </c>
      <c r="CE36" s="171">
        <v>97</v>
      </c>
      <c r="CF36" s="171">
        <v>0</v>
      </c>
      <c r="CG36" s="171">
        <v>0</v>
      </c>
      <c r="CH36" s="171">
        <v>0</v>
      </c>
      <c r="CI36" s="171">
        <v>0</v>
      </c>
      <c r="CJ36" s="171">
        <v>0</v>
      </c>
      <c r="CK36" s="171">
        <v>0</v>
      </c>
      <c r="CL36" s="171">
        <v>0</v>
      </c>
      <c r="CM36" s="171">
        <v>0</v>
      </c>
      <c r="CN36" s="171">
        <v>0</v>
      </c>
      <c r="CO36" s="171">
        <v>98</v>
      </c>
      <c r="CP36" s="171">
        <v>97</v>
      </c>
      <c r="CQ36" s="171">
        <v>98</v>
      </c>
      <c r="CR36" s="171">
        <v>97</v>
      </c>
      <c r="CS36" s="171">
        <v>98</v>
      </c>
      <c r="CT36" s="171">
        <v>97</v>
      </c>
      <c r="CU36" s="171">
        <v>0</v>
      </c>
      <c r="CV36" s="171">
        <v>98</v>
      </c>
      <c r="CW36" s="171">
        <v>97</v>
      </c>
      <c r="CX36" s="171">
        <v>98</v>
      </c>
      <c r="CY36" s="171">
        <v>97</v>
      </c>
      <c r="CZ36" s="171">
        <v>0</v>
      </c>
      <c r="DA36" s="171">
        <v>1800</v>
      </c>
      <c r="DB36" s="171">
        <v>0</v>
      </c>
      <c r="DC36" s="171">
        <v>0</v>
      </c>
      <c r="DD36" s="171">
        <v>0</v>
      </c>
      <c r="DE36" s="171">
        <v>0</v>
      </c>
      <c r="DF36" s="171">
        <v>92</v>
      </c>
      <c r="DG36" s="171">
        <v>92</v>
      </c>
      <c r="DH36" s="171">
        <v>92</v>
      </c>
      <c r="DI36" s="171">
        <v>92</v>
      </c>
      <c r="DJ36" s="171">
        <v>92</v>
      </c>
      <c r="DK36" s="171">
        <v>0</v>
      </c>
      <c r="DL36" s="171">
        <v>92</v>
      </c>
      <c r="DM36" s="171">
        <v>92</v>
      </c>
      <c r="DN36" s="171">
        <v>92</v>
      </c>
      <c r="DO36" s="171">
        <v>92</v>
      </c>
      <c r="DP36" s="171">
        <v>92</v>
      </c>
      <c r="DQ36" s="171">
        <v>0</v>
      </c>
      <c r="DR36" s="171">
        <v>0</v>
      </c>
      <c r="DS36" s="171">
        <v>92</v>
      </c>
      <c r="DT36" s="171">
        <v>92</v>
      </c>
      <c r="DU36" s="171">
        <v>92</v>
      </c>
      <c r="DV36" s="171">
        <v>91</v>
      </c>
      <c r="DW36" s="171">
        <v>92</v>
      </c>
      <c r="DX36" s="171">
        <v>0</v>
      </c>
      <c r="DY36" s="171">
        <v>0</v>
      </c>
      <c r="DZ36" s="171">
        <v>91</v>
      </c>
      <c r="EA36" s="171">
        <v>92</v>
      </c>
      <c r="EB36" s="171">
        <v>91</v>
      </c>
      <c r="EC36" s="171">
        <v>92</v>
      </c>
      <c r="ED36" s="171">
        <v>91</v>
      </c>
      <c r="EE36" s="171">
        <v>0</v>
      </c>
      <c r="EF36" s="171">
        <v>0</v>
      </c>
      <c r="EG36" s="171">
        <v>1836</v>
      </c>
      <c r="EH36" t="s">
        <v>88</v>
      </c>
      <c r="EI36" t="str">
        <f t="shared" si="8"/>
        <v>86790-BZ271</v>
      </c>
      <c r="EJ36" t="s">
        <v>110</v>
      </c>
      <c r="EK36" t="str">
        <f>VLOOKUP(EJ36,'By Plant'!B:D,3,0)</f>
        <v>GW</v>
      </c>
      <c r="EL36" t="str">
        <f t="shared" si="9"/>
        <v>86790-BZ271GWZ1</v>
      </c>
      <c r="EM36" t="str">
        <f t="shared" si="7"/>
        <v/>
      </c>
      <c r="ER36" t="b">
        <f t="shared" si="5"/>
        <v>0</v>
      </c>
      <c r="ES36" s="15" t="s">
        <v>117</v>
      </c>
      <c r="ET36" s="95">
        <v>1910</v>
      </c>
      <c r="EU36" s="95">
        <v>5903</v>
      </c>
      <c r="EV36" s="95">
        <v>5385</v>
      </c>
      <c r="EW36" s="95">
        <v>5966</v>
      </c>
      <c r="EZ36" s="15" t="s">
        <v>117</v>
      </c>
      <c r="FA36" s="15" t="s">
        <v>117</v>
      </c>
    </row>
    <row r="37" spans="1:157" x14ac:dyDescent="0.3">
      <c r="A37" t="str">
        <f t="shared" si="10"/>
        <v>86790-BZ280GW</v>
      </c>
      <c r="B37" s="233" t="s">
        <v>246</v>
      </c>
      <c r="C37" s="115" t="s">
        <v>247</v>
      </c>
      <c r="D37" s="115" t="s">
        <v>172</v>
      </c>
      <c r="E37" s="115" t="s">
        <v>331</v>
      </c>
      <c r="F37" s="115"/>
      <c r="G37" s="115" t="s">
        <v>233</v>
      </c>
      <c r="H37" s="115" t="s">
        <v>234</v>
      </c>
      <c r="I37" s="116">
        <v>10</v>
      </c>
      <c r="J37" s="116">
        <v>0</v>
      </c>
      <c r="K37" s="116">
        <v>410</v>
      </c>
      <c r="L37" s="116">
        <v>430</v>
      </c>
      <c r="M37" s="116">
        <v>390</v>
      </c>
      <c r="N37" s="116">
        <v>400</v>
      </c>
      <c r="O37" s="116">
        <v>390</v>
      </c>
      <c r="P37" s="116">
        <v>0</v>
      </c>
      <c r="Q37" s="116">
        <v>0</v>
      </c>
      <c r="R37" s="116">
        <v>420</v>
      </c>
      <c r="S37" s="116">
        <v>390</v>
      </c>
      <c r="T37" s="116">
        <v>410</v>
      </c>
      <c r="U37" s="116">
        <v>410</v>
      </c>
      <c r="V37" s="116">
        <v>350</v>
      </c>
      <c r="W37" s="116">
        <v>420</v>
      </c>
      <c r="X37" s="116">
        <v>0</v>
      </c>
      <c r="Y37" s="116">
        <v>320</v>
      </c>
      <c r="Z37" s="116">
        <v>360</v>
      </c>
      <c r="AA37" s="116">
        <v>380</v>
      </c>
      <c r="AB37" s="116">
        <v>340</v>
      </c>
      <c r="AC37" s="116">
        <v>350</v>
      </c>
      <c r="AD37" s="116">
        <v>0</v>
      </c>
      <c r="AE37" s="116">
        <v>0</v>
      </c>
      <c r="AF37" s="116">
        <v>330</v>
      </c>
      <c r="AG37" s="116">
        <v>350</v>
      </c>
      <c r="AH37" s="116">
        <v>350</v>
      </c>
      <c r="AI37" s="116">
        <v>340</v>
      </c>
      <c r="AJ37" s="116">
        <v>340</v>
      </c>
      <c r="AK37" s="116">
        <v>330</v>
      </c>
      <c r="AL37" s="116">
        <v>0</v>
      </c>
      <c r="AM37" s="116">
        <v>0</v>
      </c>
      <c r="AN37" s="116">
        <v>0</v>
      </c>
      <c r="AO37" s="116">
        <v>8210</v>
      </c>
      <c r="AP37" s="116">
        <v>0</v>
      </c>
      <c r="AQ37" s="116">
        <v>0</v>
      </c>
      <c r="AR37" s="116">
        <v>210</v>
      </c>
      <c r="AS37" s="116">
        <v>230</v>
      </c>
      <c r="AT37" s="116">
        <v>240</v>
      </c>
      <c r="AU37" s="116">
        <v>240</v>
      </c>
      <c r="AV37" s="116">
        <v>120</v>
      </c>
      <c r="AW37" s="116">
        <v>0</v>
      </c>
      <c r="AX37" s="116">
        <v>230</v>
      </c>
      <c r="AY37" s="116">
        <v>240</v>
      </c>
      <c r="AZ37" s="116">
        <v>210</v>
      </c>
      <c r="BA37" s="116">
        <v>240</v>
      </c>
      <c r="BB37" s="116">
        <v>250</v>
      </c>
      <c r="BC37" s="116">
        <v>230</v>
      </c>
      <c r="BD37" s="116">
        <v>0</v>
      </c>
      <c r="BE37" s="116">
        <v>230</v>
      </c>
      <c r="BF37" s="116">
        <v>240</v>
      </c>
      <c r="BG37" s="116">
        <v>230</v>
      </c>
      <c r="BH37" s="116">
        <v>240</v>
      </c>
      <c r="BI37" s="116">
        <v>230</v>
      </c>
      <c r="BJ37" s="116">
        <v>0</v>
      </c>
      <c r="BK37" s="116">
        <v>0</v>
      </c>
      <c r="BL37" s="116">
        <v>230</v>
      </c>
      <c r="BM37" s="116">
        <v>210</v>
      </c>
      <c r="BN37" s="116">
        <v>220</v>
      </c>
      <c r="BO37" s="116">
        <v>250</v>
      </c>
      <c r="BP37" s="116">
        <v>230</v>
      </c>
      <c r="BQ37" s="116">
        <v>240</v>
      </c>
      <c r="BR37" s="116">
        <v>0</v>
      </c>
      <c r="BS37" s="116">
        <v>240</v>
      </c>
      <c r="BT37" s="116">
        <v>200</v>
      </c>
      <c r="BU37" s="116">
        <v>5430</v>
      </c>
      <c r="BV37" s="116">
        <v>298</v>
      </c>
      <c r="BW37" s="116">
        <v>298</v>
      </c>
      <c r="BX37" s="116">
        <v>298</v>
      </c>
      <c r="BY37" s="116">
        <v>149</v>
      </c>
      <c r="BZ37" s="116">
        <v>0</v>
      </c>
      <c r="CA37" s="116">
        <v>298</v>
      </c>
      <c r="CB37" s="116">
        <v>299</v>
      </c>
      <c r="CC37" s="116">
        <v>298</v>
      </c>
      <c r="CD37" s="116">
        <v>299</v>
      </c>
      <c r="CE37" s="116">
        <v>298</v>
      </c>
      <c r="CF37" s="116">
        <v>0</v>
      </c>
      <c r="CG37" s="116">
        <v>0</v>
      </c>
      <c r="CH37" s="116">
        <v>0</v>
      </c>
      <c r="CI37" s="116">
        <v>0</v>
      </c>
      <c r="CJ37" s="116">
        <v>0</v>
      </c>
      <c r="CK37" s="116">
        <v>0</v>
      </c>
      <c r="CL37" s="116">
        <v>0</v>
      </c>
      <c r="CM37" s="116">
        <v>0</v>
      </c>
      <c r="CN37" s="116">
        <v>0</v>
      </c>
      <c r="CO37" s="116">
        <v>299</v>
      </c>
      <c r="CP37" s="116">
        <v>298</v>
      </c>
      <c r="CQ37" s="116">
        <v>299</v>
      </c>
      <c r="CR37" s="116">
        <v>298</v>
      </c>
      <c r="CS37" s="116">
        <v>299</v>
      </c>
      <c r="CT37" s="116">
        <v>298</v>
      </c>
      <c r="CU37" s="116">
        <v>0</v>
      </c>
      <c r="CV37" s="116">
        <v>299</v>
      </c>
      <c r="CW37" s="116">
        <v>298</v>
      </c>
      <c r="CX37" s="116">
        <v>299</v>
      </c>
      <c r="CY37" s="116">
        <v>298</v>
      </c>
      <c r="CZ37" s="116">
        <v>0</v>
      </c>
      <c r="DA37" s="116">
        <v>5520</v>
      </c>
      <c r="DB37" s="116">
        <v>0</v>
      </c>
      <c r="DC37" s="116">
        <v>0</v>
      </c>
      <c r="DD37" s="116">
        <v>0</v>
      </c>
      <c r="DE37" s="116">
        <v>0</v>
      </c>
      <c r="DF37" s="116">
        <v>259</v>
      </c>
      <c r="DG37" s="116">
        <v>258</v>
      </c>
      <c r="DH37" s="116">
        <v>259</v>
      </c>
      <c r="DI37" s="116">
        <v>258</v>
      </c>
      <c r="DJ37" s="116">
        <v>259</v>
      </c>
      <c r="DK37" s="116">
        <v>0</v>
      </c>
      <c r="DL37" s="116">
        <v>258</v>
      </c>
      <c r="DM37" s="116">
        <v>259</v>
      </c>
      <c r="DN37" s="116">
        <v>258</v>
      </c>
      <c r="DO37" s="116">
        <v>259</v>
      </c>
      <c r="DP37" s="116">
        <v>258</v>
      </c>
      <c r="DQ37" s="116">
        <v>0</v>
      </c>
      <c r="DR37" s="116">
        <v>0</v>
      </c>
      <c r="DS37" s="116">
        <v>259</v>
      </c>
      <c r="DT37" s="116">
        <v>258</v>
      </c>
      <c r="DU37" s="116">
        <v>259</v>
      </c>
      <c r="DV37" s="116">
        <v>258</v>
      </c>
      <c r="DW37" s="116">
        <v>259</v>
      </c>
      <c r="DX37" s="116">
        <v>0</v>
      </c>
      <c r="DY37" s="116">
        <v>0</v>
      </c>
      <c r="DZ37" s="116">
        <v>258</v>
      </c>
      <c r="EA37" s="116">
        <v>259</v>
      </c>
      <c r="EB37" s="116">
        <v>258</v>
      </c>
      <c r="EC37" s="116">
        <v>259</v>
      </c>
      <c r="ED37" s="116">
        <v>258</v>
      </c>
      <c r="EE37" s="116">
        <v>0</v>
      </c>
      <c r="EF37" s="116">
        <v>0</v>
      </c>
      <c r="EG37" s="116">
        <v>5170</v>
      </c>
      <c r="EH37" t="s">
        <v>88</v>
      </c>
      <c r="EI37" t="str">
        <f t="shared" si="8"/>
        <v>86790-BZ280</v>
      </c>
      <c r="EJ37" t="s">
        <v>91</v>
      </c>
      <c r="EK37" t="str">
        <f>VLOOKUP(EJ37,'By Plant'!B:D,3,0)</f>
        <v>GW</v>
      </c>
      <c r="EL37" t="str">
        <f t="shared" si="9"/>
        <v>86790-BZ280GWZ1</v>
      </c>
      <c r="EM37" t="str">
        <f t="shared" si="7"/>
        <v/>
      </c>
      <c r="ER37" t="b">
        <f t="shared" si="5"/>
        <v>0</v>
      </c>
      <c r="ES37" s="15" t="s">
        <v>118</v>
      </c>
      <c r="ET37" s="95">
        <v>1910</v>
      </c>
      <c r="EU37" s="95">
        <v>5915</v>
      </c>
      <c r="EV37" s="95">
        <v>5397</v>
      </c>
      <c r="EW37" s="95">
        <v>6002</v>
      </c>
      <c r="EZ37" s="15" t="s">
        <v>118</v>
      </c>
      <c r="FA37" s="15" t="s">
        <v>118</v>
      </c>
    </row>
    <row r="38" spans="1:157" x14ac:dyDescent="0.3">
      <c r="A38" t="str">
        <f t="shared" si="10"/>
        <v>86790-BZ210GW</v>
      </c>
      <c r="B38" s="233" t="s">
        <v>250</v>
      </c>
      <c r="C38" s="115" t="s">
        <v>251</v>
      </c>
      <c r="D38" s="115" t="s">
        <v>172</v>
      </c>
      <c r="E38" s="115" t="s">
        <v>331</v>
      </c>
      <c r="F38" s="115"/>
      <c r="G38" s="115" t="s">
        <v>238</v>
      </c>
      <c r="H38" s="115" t="s">
        <v>252</v>
      </c>
      <c r="I38" s="116">
        <v>21</v>
      </c>
      <c r="J38" s="116">
        <v>0</v>
      </c>
      <c r="K38" s="116">
        <v>254</v>
      </c>
      <c r="L38" s="116">
        <v>254</v>
      </c>
      <c r="M38" s="116">
        <v>254</v>
      </c>
      <c r="N38" s="116">
        <v>270</v>
      </c>
      <c r="O38" s="116">
        <v>255</v>
      </c>
      <c r="P38" s="116">
        <v>0</v>
      </c>
      <c r="Q38" s="116">
        <v>0</v>
      </c>
      <c r="R38" s="116">
        <v>258</v>
      </c>
      <c r="S38" s="116">
        <v>251</v>
      </c>
      <c r="T38" s="116">
        <v>256</v>
      </c>
      <c r="U38" s="116">
        <v>252</v>
      </c>
      <c r="V38" s="116">
        <v>278</v>
      </c>
      <c r="W38" s="116">
        <v>259</v>
      </c>
      <c r="X38" s="116">
        <v>0</v>
      </c>
      <c r="Y38" s="116">
        <v>251</v>
      </c>
      <c r="Z38" s="116">
        <v>255</v>
      </c>
      <c r="AA38" s="116">
        <v>255</v>
      </c>
      <c r="AB38" s="116">
        <v>253</v>
      </c>
      <c r="AC38" s="116">
        <v>253</v>
      </c>
      <c r="AD38" s="116">
        <v>0</v>
      </c>
      <c r="AE38" s="116">
        <v>0</v>
      </c>
      <c r="AF38" s="116">
        <v>274</v>
      </c>
      <c r="AG38" s="116">
        <v>253</v>
      </c>
      <c r="AH38" s="116">
        <v>256</v>
      </c>
      <c r="AI38" s="116">
        <v>253</v>
      </c>
      <c r="AJ38" s="116">
        <v>254</v>
      </c>
      <c r="AK38" s="116">
        <v>253</v>
      </c>
      <c r="AL38" s="116">
        <v>0</v>
      </c>
      <c r="AM38" s="116">
        <v>0</v>
      </c>
      <c r="AN38" s="116">
        <v>0</v>
      </c>
      <c r="AO38" s="116">
        <v>5651</v>
      </c>
      <c r="AP38" s="116">
        <v>0</v>
      </c>
      <c r="AQ38" s="116">
        <v>0</v>
      </c>
      <c r="AR38" s="116">
        <v>0</v>
      </c>
      <c r="AS38" s="116">
        <v>321</v>
      </c>
      <c r="AT38" s="116">
        <v>325</v>
      </c>
      <c r="AU38" s="116">
        <v>322</v>
      </c>
      <c r="AV38" s="116">
        <v>0</v>
      </c>
      <c r="AW38" s="116">
        <v>0</v>
      </c>
      <c r="AX38" s="116">
        <v>324</v>
      </c>
      <c r="AY38" s="116">
        <v>341</v>
      </c>
      <c r="AZ38" s="116">
        <v>325</v>
      </c>
      <c r="BA38" s="116">
        <v>342</v>
      </c>
      <c r="BB38" s="116">
        <v>322</v>
      </c>
      <c r="BC38" s="116">
        <v>288</v>
      </c>
      <c r="BD38" s="116">
        <v>0</v>
      </c>
      <c r="BE38" s="116">
        <v>324</v>
      </c>
      <c r="BF38" s="116">
        <v>344</v>
      </c>
      <c r="BG38" s="116">
        <v>324</v>
      </c>
      <c r="BH38" s="116">
        <v>322</v>
      </c>
      <c r="BI38" s="116">
        <v>323</v>
      </c>
      <c r="BJ38" s="116">
        <v>0</v>
      </c>
      <c r="BK38" s="116">
        <v>0</v>
      </c>
      <c r="BL38" s="116">
        <v>324</v>
      </c>
      <c r="BM38" s="116">
        <v>343</v>
      </c>
      <c r="BN38" s="116">
        <v>286</v>
      </c>
      <c r="BO38" s="116">
        <v>323</v>
      </c>
      <c r="BP38" s="116">
        <v>325</v>
      </c>
      <c r="BQ38" s="116">
        <v>286</v>
      </c>
      <c r="BR38" s="116">
        <v>0</v>
      </c>
      <c r="BS38" s="116">
        <v>327</v>
      </c>
      <c r="BT38" s="116">
        <v>283</v>
      </c>
      <c r="BU38" s="116">
        <v>7044</v>
      </c>
      <c r="BV38" s="116">
        <v>290</v>
      </c>
      <c r="BW38" s="116">
        <v>290</v>
      </c>
      <c r="BX38" s="116">
        <v>290</v>
      </c>
      <c r="BY38" s="116">
        <v>0</v>
      </c>
      <c r="BZ38" s="116">
        <v>0</v>
      </c>
      <c r="CA38" s="116">
        <v>290</v>
      </c>
      <c r="CB38" s="116">
        <v>290</v>
      </c>
      <c r="CC38" s="116">
        <v>290</v>
      </c>
      <c r="CD38" s="116">
        <v>290</v>
      </c>
      <c r="CE38" s="116">
        <v>290</v>
      </c>
      <c r="CF38" s="116">
        <v>0</v>
      </c>
      <c r="CG38" s="116">
        <v>0</v>
      </c>
      <c r="CH38" s="116">
        <v>0</v>
      </c>
      <c r="CI38" s="116">
        <v>0</v>
      </c>
      <c r="CJ38" s="116">
        <v>0</v>
      </c>
      <c r="CK38" s="116">
        <v>0</v>
      </c>
      <c r="CL38" s="116">
        <v>0</v>
      </c>
      <c r="CM38" s="116">
        <v>0</v>
      </c>
      <c r="CN38" s="116">
        <v>0</v>
      </c>
      <c r="CO38" s="116">
        <v>290</v>
      </c>
      <c r="CP38" s="116">
        <v>290</v>
      </c>
      <c r="CQ38" s="116">
        <v>291</v>
      </c>
      <c r="CR38" s="116">
        <v>290</v>
      </c>
      <c r="CS38" s="116">
        <v>291</v>
      </c>
      <c r="CT38" s="116">
        <v>290</v>
      </c>
      <c r="CU38" s="116">
        <v>0</v>
      </c>
      <c r="CV38" s="116">
        <v>291</v>
      </c>
      <c r="CW38" s="116">
        <v>290</v>
      </c>
      <c r="CX38" s="116">
        <v>291</v>
      </c>
      <c r="CY38" s="116">
        <v>290</v>
      </c>
      <c r="CZ38" s="116">
        <v>0</v>
      </c>
      <c r="DA38" s="116">
        <v>5224</v>
      </c>
      <c r="DB38" s="116">
        <v>0</v>
      </c>
      <c r="DC38" s="116">
        <v>0</v>
      </c>
      <c r="DD38" s="116">
        <v>0</v>
      </c>
      <c r="DE38" s="116">
        <v>0</v>
      </c>
      <c r="DF38" s="116">
        <v>396</v>
      </c>
      <c r="DG38" s="116">
        <v>396</v>
      </c>
      <c r="DH38" s="116">
        <v>396</v>
      </c>
      <c r="DI38" s="116">
        <v>396</v>
      </c>
      <c r="DJ38" s="116">
        <v>396</v>
      </c>
      <c r="DK38" s="116">
        <v>0</v>
      </c>
      <c r="DL38" s="116">
        <v>395</v>
      </c>
      <c r="DM38" s="116">
        <v>396</v>
      </c>
      <c r="DN38" s="116">
        <v>395</v>
      </c>
      <c r="DO38" s="116">
        <v>396</v>
      </c>
      <c r="DP38" s="116">
        <v>395</v>
      </c>
      <c r="DQ38" s="116">
        <v>0</v>
      </c>
      <c r="DR38" s="116">
        <v>0</v>
      </c>
      <c r="DS38" s="116">
        <v>396</v>
      </c>
      <c r="DT38" s="116">
        <v>395</v>
      </c>
      <c r="DU38" s="116">
        <v>396</v>
      </c>
      <c r="DV38" s="116">
        <v>395</v>
      </c>
      <c r="DW38" s="116">
        <v>396</v>
      </c>
      <c r="DX38" s="116">
        <v>0</v>
      </c>
      <c r="DY38" s="116">
        <v>0</v>
      </c>
      <c r="DZ38" s="116">
        <v>395</v>
      </c>
      <c r="EA38" s="116">
        <v>396</v>
      </c>
      <c r="EB38" s="116">
        <v>395</v>
      </c>
      <c r="EC38" s="116">
        <v>396</v>
      </c>
      <c r="ED38" s="116">
        <v>395</v>
      </c>
      <c r="EE38" s="116">
        <v>0</v>
      </c>
      <c r="EF38" s="116">
        <v>0</v>
      </c>
      <c r="EG38" s="116">
        <v>7912</v>
      </c>
      <c r="EH38" t="s">
        <v>88</v>
      </c>
      <c r="EI38" t="str">
        <f t="shared" si="8"/>
        <v>86790-BZ210</v>
      </c>
      <c r="EJ38" t="s">
        <v>93</v>
      </c>
      <c r="EK38" t="str">
        <f>VLOOKUP(EJ38,'By Plant'!B:D,3,0)</f>
        <v>GW</v>
      </c>
      <c r="EL38" t="str">
        <f t="shared" si="9"/>
        <v>86790-BZ210GWG2</v>
      </c>
      <c r="EM38" t="str">
        <f t="shared" si="7"/>
        <v>SN1</v>
      </c>
      <c r="ER38" t="b">
        <f t="shared" si="5"/>
        <v>0</v>
      </c>
      <c r="ES38" t="s">
        <v>93</v>
      </c>
      <c r="ET38" s="95">
        <v>5651</v>
      </c>
      <c r="EU38" s="95">
        <v>7044</v>
      </c>
      <c r="EV38" s="95">
        <v>5224</v>
      </c>
      <c r="EW38" s="95">
        <v>7912</v>
      </c>
      <c r="EZ38" t="s">
        <v>93</v>
      </c>
      <c r="FA38" t="str">
        <f t="shared" ref="FA38:FA45" si="11">LEFT(ES38,11)</f>
        <v>86790-BZ210</v>
      </c>
    </row>
    <row r="39" spans="1:157" x14ac:dyDescent="0.3">
      <c r="A39" t="str">
        <f t="shared" si="10"/>
        <v>86790-BZ220GW</v>
      </c>
      <c r="B39" s="233" t="s">
        <v>255</v>
      </c>
      <c r="C39" s="115" t="s">
        <v>256</v>
      </c>
      <c r="D39" s="115" t="s">
        <v>172</v>
      </c>
      <c r="E39" s="115" t="s">
        <v>331</v>
      </c>
      <c r="F39" s="115" t="s">
        <v>348</v>
      </c>
      <c r="G39" s="115" t="s">
        <v>238</v>
      </c>
      <c r="H39" s="115" t="s">
        <v>252</v>
      </c>
      <c r="I39" s="116">
        <v>8</v>
      </c>
      <c r="J39" s="116">
        <v>0</v>
      </c>
      <c r="K39" s="116">
        <v>34</v>
      </c>
      <c r="L39" s="116">
        <v>36</v>
      </c>
      <c r="M39" s="116">
        <v>35</v>
      </c>
      <c r="N39" s="116">
        <v>36</v>
      </c>
      <c r="O39" s="116">
        <v>36</v>
      </c>
      <c r="P39" s="116">
        <v>0</v>
      </c>
      <c r="Q39" s="116">
        <v>0</v>
      </c>
      <c r="R39" s="116">
        <v>33</v>
      </c>
      <c r="S39" s="116">
        <v>35</v>
      </c>
      <c r="T39" s="116">
        <v>36</v>
      </c>
      <c r="U39" s="116">
        <v>34</v>
      </c>
      <c r="V39" s="116">
        <v>38</v>
      </c>
      <c r="W39" s="116">
        <v>35</v>
      </c>
      <c r="X39" s="116">
        <v>0</v>
      </c>
      <c r="Y39" s="116">
        <v>35</v>
      </c>
      <c r="Z39" s="116">
        <v>34</v>
      </c>
      <c r="AA39" s="116">
        <v>35</v>
      </c>
      <c r="AB39" s="116">
        <v>35</v>
      </c>
      <c r="AC39" s="116">
        <v>35</v>
      </c>
      <c r="AD39" s="116">
        <v>0</v>
      </c>
      <c r="AE39" s="116">
        <v>0</v>
      </c>
      <c r="AF39" s="116">
        <v>36</v>
      </c>
      <c r="AG39" s="116">
        <v>35</v>
      </c>
      <c r="AH39" s="116">
        <v>34</v>
      </c>
      <c r="AI39" s="116">
        <v>35</v>
      </c>
      <c r="AJ39" s="116">
        <v>35</v>
      </c>
      <c r="AK39" s="116">
        <v>35</v>
      </c>
      <c r="AL39" s="116">
        <v>0</v>
      </c>
      <c r="AM39" s="116">
        <v>0</v>
      </c>
      <c r="AN39" s="116">
        <v>0</v>
      </c>
      <c r="AO39" s="116">
        <v>772</v>
      </c>
      <c r="AP39" s="116">
        <v>0</v>
      </c>
      <c r="AQ39" s="116">
        <v>0</v>
      </c>
      <c r="AR39" s="116">
        <v>0</v>
      </c>
      <c r="AS39" s="116">
        <v>64</v>
      </c>
      <c r="AT39" s="116">
        <v>63</v>
      </c>
      <c r="AU39" s="116">
        <v>64</v>
      </c>
      <c r="AV39" s="116">
        <v>0</v>
      </c>
      <c r="AW39" s="116">
        <v>0</v>
      </c>
      <c r="AX39" s="116">
        <v>64</v>
      </c>
      <c r="AY39" s="116">
        <v>67</v>
      </c>
      <c r="AZ39" s="116">
        <v>64</v>
      </c>
      <c r="BA39" s="116">
        <v>67</v>
      </c>
      <c r="BB39" s="116">
        <v>64</v>
      </c>
      <c r="BC39" s="116">
        <v>57</v>
      </c>
      <c r="BD39" s="116">
        <v>0</v>
      </c>
      <c r="BE39" s="116">
        <v>64</v>
      </c>
      <c r="BF39" s="116">
        <v>67</v>
      </c>
      <c r="BG39" s="116">
        <v>64</v>
      </c>
      <c r="BH39" s="116">
        <v>64</v>
      </c>
      <c r="BI39" s="116">
        <v>64</v>
      </c>
      <c r="BJ39" s="116">
        <v>0</v>
      </c>
      <c r="BK39" s="116">
        <v>0</v>
      </c>
      <c r="BL39" s="116">
        <v>63</v>
      </c>
      <c r="BM39" s="116">
        <v>68</v>
      </c>
      <c r="BN39" s="116">
        <v>55</v>
      </c>
      <c r="BO39" s="116">
        <v>65</v>
      </c>
      <c r="BP39" s="116">
        <v>63</v>
      </c>
      <c r="BQ39" s="116">
        <v>57</v>
      </c>
      <c r="BR39" s="116">
        <v>0</v>
      </c>
      <c r="BS39" s="116">
        <v>64</v>
      </c>
      <c r="BT39" s="116">
        <v>56</v>
      </c>
      <c r="BU39" s="116">
        <v>1388</v>
      </c>
      <c r="BV39" s="116">
        <v>41</v>
      </c>
      <c r="BW39" s="116">
        <v>41</v>
      </c>
      <c r="BX39" s="116">
        <v>41</v>
      </c>
      <c r="BY39" s="116">
        <v>0</v>
      </c>
      <c r="BZ39" s="116">
        <v>0</v>
      </c>
      <c r="CA39" s="116">
        <v>41</v>
      </c>
      <c r="CB39" s="116">
        <v>41</v>
      </c>
      <c r="CC39" s="116">
        <v>41</v>
      </c>
      <c r="CD39" s="116">
        <v>41</v>
      </c>
      <c r="CE39" s="116">
        <v>41</v>
      </c>
      <c r="CF39" s="116">
        <v>0</v>
      </c>
      <c r="CG39" s="116">
        <v>0</v>
      </c>
      <c r="CH39" s="116">
        <v>0</v>
      </c>
      <c r="CI39" s="116">
        <v>0</v>
      </c>
      <c r="CJ39" s="116">
        <v>0</v>
      </c>
      <c r="CK39" s="116">
        <v>0</v>
      </c>
      <c r="CL39" s="116">
        <v>0</v>
      </c>
      <c r="CM39" s="116">
        <v>0</v>
      </c>
      <c r="CN39" s="116">
        <v>0</v>
      </c>
      <c r="CO39" s="116">
        <v>41</v>
      </c>
      <c r="CP39" s="116">
        <v>40</v>
      </c>
      <c r="CQ39" s="116">
        <v>41</v>
      </c>
      <c r="CR39" s="116">
        <v>40</v>
      </c>
      <c r="CS39" s="116">
        <v>41</v>
      </c>
      <c r="CT39" s="116">
        <v>40</v>
      </c>
      <c r="CU39" s="116">
        <v>0</v>
      </c>
      <c r="CV39" s="116">
        <v>41</v>
      </c>
      <c r="CW39" s="116">
        <v>40</v>
      </c>
      <c r="CX39" s="116">
        <v>41</v>
      </c>
      <c r="CY39" s="116">
        <v>40</v>
      </c>
      <c r="CZ39" s="116">
        <v>0</v>
      </c>
      <c r="DA39" s="116">
        <v>733</v>
      </c>
      <c r="DB39" s="116">
        <v>0</v>
      </c>
      <c r="DC39" s="116">
        <v>0</v>
      </c>
      <c r="DD39" s="116">
        <v>0</v>
      </c>
      <c r="DE39" s="116">
        <v>0</v>
      </c>
      <c r="DF39" s="116">
        <v>68</v>
      </c>
      <c r="DG39" s="116">
        <v>68</v>
      </c>
      <c r="DH39" s="116">
        <v>68</v>
      </c>
      <c r="DI39" s="116">
        <v>68</v>
      </c>
      <c r="DJ39" s="116">
        <v>68</v>
      </c>
      <c r="DK39" s="116">
        <v>0</v>
      </c>
      <c r="DL39" s="116">
        <v>68</v>
      </c>
      <c r="DM39" s="116">
        <v>68</v>
      </c>
      <c r="DN39" s="116">
        <v>67</v>
      </c>
      <c r="DO39" s="116">
        <v>68</v>
      </c>
      <c r="DP39" s="116">
        <v>67</v>
      </c>
      <c r="DQ39" s="116">
        <v>0</v>
      </c>
      <c r="DR39" s="116">
        <v>0</v>
      </c>
      <c r="DS39" s="116">
        <v>68</v>
      </c>
      <c r="DT39" s="116">
        <v>67</v>
      </c>
      <c r="DU39" s="116">
        <v>68</v>
      </c>
      <c r="DV39" s="116">
        <v>67</v>
      </c>
      <c r="DW39" s="116">
        <v>68</v>
      </c>
      <c r="DX39" s="116">
        <v>0</v>
      </c>
      <c r="DY39" s="116">
        <v>0</v>
      </c>
      <c r="DZ39" s="116">
        <v>67</v>
      </c>
      <c r="EA39" s="116">
        <v>68</v>
      </c>
      <c r="EB39" s="116">
        <v>67</v>
      </c>
      <c r="EC39" s="116">
        <v>68</v>
      </c>
      <c r="ED39" s="116">
        <v>67</v>
      </c>
      <c r="EE39" s="116">
        <v>0</v>
      </c>
      <c r="EF39" s="116">
        <v>0</v>
      </c>
      <c r="EG39" s="116">
        <v>1353</v>
      </c>
      <c r="EH39" t="s">
        <v>88</v>
      </c>
      <c r="EI39" t="str">
        <f t="shared" si="8"/>
        <v>86790-BZ220</v>
      </c>
      <c r="EJ39" t="s">
        <v>95</v>
      </c>
      <c r="EK39" t="str">
        <f>VLOOKUP(EJ39,'By Plant'!B:D,3,0)</f>
        <v>GW</v>
      </c>
      <c r="EL39" t="str">
        <f t="shared" si="9"/>
        <v>86790-BZ220GWG2</v>
      </c>
      <c r="EM39" t="str">
        <f t="shared" si="7"/>
        <v/>
      </c>
      <c r="ER39" t="b">
        <f t="shared" si="5"/>
        <v>0</v>
      </c>
      <c r="ES39" t="s">
        <v>95</v>
      </c>
      <c r="ET39" s="95">
        <v>772</v>
      </c>
      <c r="EU39" s="95">
        <v>1388</v>
      </c>
      <c r="EV39" s="95">
        <v>733</v>
      </c>
      <c r="EW39" s="95">
        <v>1353</v>
      </c>
      <c r="EZ39" t="s">
        <v>95</v>
      </c>
      <c r="FA39" t="str">
        <f t="shared" si="11"/>
        <v>86790-BZ220</v>
      </c>
    </row>
    <row r="40" spans="1:157" x14ac:dyDescent="0.3">
      <c r="A40" t="str">
        <f t="shared" si="10"/>
        <v>86790-BZ310GWSN1</v>
      </c>
      <c r="B40" s="233" t="s">
        <v>224</v>
      </c>
      <c r="C40" s="115" t="s">
        <v>258</v>
      </c>
      <c r="D40" s="115" t="s">
        <v>172</v>
      </c>
      <c r="E40" s="240" t="s">
        <v>331</v>
      </c>
      <c r="F40" s="240"/>
      <c r="G40" s="240" t="s">
        <v>233</v>
      </c>
      <c r="H40" s="240" t="s">
        <v>239</v>
      </c>
      <c r="I40" s="116">
        <v>15</v>
      </c>
      <c r="J40" s="116">
        <v>0</v>
      </c>
      <c r="K40" s="116">
        <v>90</v>
      </c>
      <c r="L40" s="116">
        <v>105</v>
      </c>
      <c r="M40" s="116">
        <v>120</v>
      </c>
      <c r="N40" s="116">
        <v>90</v>
      </c>
      <c r="O40" s="116">
        <v>135</v>
      </c>
      <c r="P40" s="116">
        <v>0</v>
      </c>
      <c r="Q40" s="116">
        <v>0</v>
      </c>
      <c r="R40" s="116">
        <v>120</v>
      </c>
      <c r="S40" s="116">
        <v>90</v>
      </c>
      <c r="T40" s="116">
        <v>135</v>
      </c>
      <c r="U40" s="116">
        <v>90</v>
      </c>
      <c r="V40" s="116">
        <v>120</v>
      </c>
      <c r="W40" s="116">
        <v>195</v>
      </c>
      <c r="X40" s="116">
        <v>0</v>
      </c>
      <c r="Y40" s="116">
        <v>135</v>
      </c>
      <c r="Z40" s="116">
        <v>150</v>
      </c>
      <c r="AA40" s="116">
        <v>120</v>
      </c>
      <c r="AB40" s="116">
        <v>135</v>
      </c>
      <c r="AC40" s="116">
        <v>105</v>
      </c>
      <c r="AD40" s="116">
        <v>0</v>
      </c>
      <c r="AE40" s="116">
        <v>0</v>
      </c>
      <c r="AF40" s="116">
        <v>135</v>
      </c>
      <c r="AG40" s="116">
        <v>180</v>
      </c>
      <c r="AH40" s="116">
        <v>45</v>
      </c>
      <c r="AI40" s="116">
        <v>135</v>
      </c>
      <c r="AJ40" s="116">
        <v>120</v>
      </c>
      <c r="AK40" s="116">
        <v>120</v>
      </c>
      <c r="AL40" s="116">
        <v>0</v>
      </c>
      <c r="AM40" s="116">
        <v>0</v>
      </c>
      <c r="AN40" s="116">
        <v>0</v>
      </c>
      <c r="AO40" s="116">
        <v>2670</v>
      </c>
      <c r="AP40" s="116">
        <v>0</v>
      </c>
      <c r="AQ40" s="116">
        <v>0</v>
      </c>
      <c r="AR40" s="116">
        <v>120</v>
      </c>
      <c r="AS40" s="116">
        <v>105</v>
      </c>
      <c r="AT40" s="116">
        <v>150</v>
      </c>
      <c r="AU40" s="116">
        <v>60</v>
      </c>
      <c r="AV40" s="116">
        <v>45</v>
      </c>
      <c r="AW40" s="116">
        <v>0</v>
      </c>
      <c r="AX40" s="116">
        <v>135</v>
      </c>
      <c r="AY40" s="116">
        <v>120</v>
      </c>
      <c r="AZ40" s="116">
        <v>90</v>
      </c>
      <c r="BA40" s="116">
        <v>105</v>
      </c>
      <c r="BB40" s="116">
        <v>120</v>
      </c>
      <c r="BC40" s="116">
        <v>165</v>
      </c>
      <c r="BD40" s="116">
        <v>0</v>
      </c>
      <c r="BE40" s="116">
        <v>60</v>
      </c>
      <c r="BF40" s="116">
        <v>120</v>
      </c>
      <c r="BG40" s="116">
        <v>105</v>
      </c>
      <c r="BH40" s="116">
        <v>120</v>
      </c>
      <c r="BI40" s="116">
        <v>120</v>
      </c>
      <c r="BJ40" s="116">
        <v>0</v>
      </c>
      <c r="BK40" s="116">
        <v>0</v>
      </c>
      <c r="BL40" s="116">
        <v>165</v>
      </c>
      <c r="BM40" s="116">
        <v>120</v>
      </c>
      <c r="BN40" s="116">
        <v>120</v>
      </c>
      <c r="BO40" s="116">
        <v>90</v>
      </c>
      <c r="BP40" s="116">
        <v>105</v>
      </c>
      <c r="BQ40" s="116">
        <v>120</v>
      </c>
      <c r="BR40" s="116">
        <v>0</v>
      </c>
      <c r="BS40" s="116">
        <v>150</v>
      </c>
      <c r="BT40" s="116">
        <v>135</v>
      </c>
      <c r="BU40" s="116">
        <v>2745</v>
      </c>
      <c r="BV40" s="116">
        <v>208</v>
      </c>
      <c r="BW40" s="116">
        <v>208</v>
      </c>
      <c r="BX40" s="116">
        <v>208</v>
      </c>
      <c r="BY40" s="116">
        <v>104</v>
      </c>
      <c r="BZ40" s="116">
        <v>0</v>
      </c>
      <c r="CA40" s="116">
        <v>207</v>
      </c>
      <c r="CB40" s="116">
        <v>208</v>
      </c>
      <c r="CC40" s="116">
        <v>207</v>
      </c>
      <c r="CD40" s="116">
        <v>208</v>
      </c>
      <c r="CE40" s="116">
        <v>207</v>
      </c>
      <c r="CF40" s="116">
        <v>0</v>
      </c>
      <c r="CG40" s="116">
        <v>0</v>
      </c>
      <c r="CH40" s="116">
        <v>0</v>
      </c>
      <c r="CI40" s="116">
        <v>0</v>
      </c>
      <c r="CJ40" s="116">
        <v>0</v>
      </c>
      <c r="CK40" s="116">
        <v>0</v>
      </c>
      <c r="CL40" s="116">
        <v>0</v>
      </c>
      <c r="CM40" s="116">
        <v>0</v>
      </c>
      <c r="CN40" s="116">
        <v>0</v>
      </c>
      <c r="CO40" s="116">
        <v>208</v>
      </c>
      <c r="CP40" s="116">
        <v>207</v>
      </c>
      <c r="CQ40" s="116">
        <v>208</v>
      </c>
      <c r="CR40" s="116">
        <v>207</v>
      </c>
      <c r="CS40" s="116">
        <v>208</v>
      </c>
      <c r="CT40" s="116">
        <v>207</v>
      </c>
      <c r="CU40" s="116">
        <v>0</v>
      </c>
      <c r="CV40" s="116">
        <v>208</v>
      </c>
      <c r="CW40" s="116">
        <v>207</v>
      </c>
      <c r="CX40" s="116">
        <v>208</v>
      </c>
      <c r="CY40" s="116">
        <v>207</v>
      </c>
      <c r="CZ40" s="116">
        <v>0</v>
      </c>
      <c r="DA40" s="116">
        <v>3840</v>
      </c>
      <c r="DB40" s="116">
        <v>0</v>
      </c>
      <c r="DC40" s="116">
        <v>0</v>
      </c>
      <c r="DD40" s="116">
        <v>0</v>
      </c>
      <c r="DE40" s="116">
        <v>0</v>
      </c>
      <c r="DF40" s="116">
        <v>126</v>
      </c>
      <c r="DG40" s="116">
        <v>126</v>
      </c>
      <c r="DH40" s="116">
        <v>126</v>
      </c>
      <c r="DI40" s="116">
        <v>126</v>
      </c>
      <c r="DJ40" s="116">
        <v>126</v>
      </c>
      <c r="DK40" s="116">
        <v>0</v>
      </c>
      <c r="DL40" s="116">
        <v>126</v>
      </c>
      <c r="DM40" s="116">
        <v>126</v>
      </c>
      <c r="DN40" s="116">
        <v>126</v>
      </c>
      <c r="DO40" s="116">
        <v>126</v>
      </c>
      <c r="DP40" s="116">
        <v>126</v>
      </c>
      <c r="DQ40" s="116">
        <v>0</v>
      </c>
      <c r="DR40" s="116">
        <v>0</v>
      </c>
      <c r="DS40" s="116">
        <v>126</v>
      </c>
      <c r="DT40" s="116">
        <v>126</v>
      </c>
      <c r="DU40" s="116">
        <v>126</v>
      </c>
      <c r="DV40" s="116">
        <v>126</v>
      </c>
      <c r="DW40" s="116">
        <v>126</v>
      </c>
      <c r="DX40" s="116">
        <v>0</v>
      </c>
      <c r="DY40" s="116">
        <v>0</v>
      </c>
      <c r="DZ40" s="116">
        <v>126</v>
      </c>
      <c r="EA40" s="116">
        <v>126</v>
      </c>
      <c r="EB40" s="116">
        <v>126</v>
      </c>
      <c r="EC40" s="116">
        <v>126</v>
      </c>
      <c r="ED40" s="116">
        <v>126</v>
      </c>
      <c r="EE40" s="116">
        <v>0</v>
      </c>
      <c r="EF40" s="116">
        <v>0</v>
      </c>
      <c r="EG40" s="116">
        <v>2520</v>
      </c>
      <c r="EH40" t="s">
        <v>88</v>
      </c>
      <c r="EI40" t="str">
        <f t="shared" si="8"/>
        <v>86790-BZ310</v>
      </c>
      <c r="EJ40" t="s">
        <v>97</v>
      </c>
      <c r="EK40" t="str">
        <f>VLOOKUP(EJ40,'By Plant'!B:D,3,0)</f>
        <v>GW</v>
      </c>
      <c r="EL40" t="str">
        <f t="shared" si="9"/>
        <v>86790-BZ310GWZ1</v>
      </c>
      <c r="EM40" t="str">
        <f t="shared" si="7"/>
        <v/>
      </c>
      <c r="ER40" t="b">
        <f t="shared" si="5"/>
        <v>0</v>
      </c>
      <c r="ES40" s="15" t="s">
        <v>110</v>
      </c>
      <c r="ET40" s="95">
        <v>2088</v>
      </c>
      <c r="EU40" s="95">
        <v>1980</v>
      </c>
      <c r="EV40" s="95">
        <v>1800</v>
      </c>
      <c r="EW40" s="95">
        <v>1836</v>
      </c>
      <c r="EZ40" t="s">
        <v>91</v>
      </c>
      <c r="FA40" t="str">
        <f t="shared" si="11"/>
        <v>86790-BZ271</v>
      </c>
    </row>
    <row r="41" spans="1:157" x14ac:dyDescent="0.3">
      <c r="A41" t="str">
        <f t="shared" si="10"/>
        <v>86790-BZ310GW</v>
      </c>
      <c r="B41" s="233" t="s">
        <v>224</v>
      </c>
      <c r="C41" s="115" t="s">
        <v>259</v>
      </c>
      <c r="D41" s="115" t="s">
        <v>172</v>
      </c>
      <c r="E41" s="240" t="s">
        <v>331</v>
      </c>
      <c r="F41" s="240"/>
      <c r="G41" s="240" t="s">
        <v>238</v>
      </c>
      <c r="H41" s="240" t="s">
        <v>239</v>
      </c>
      <c r="I41" s="116">
        <v>15</v>
      </c>
      <c r="J41" s="116">
        <v>0</v>
      </c>
      <c r="K41" s="116">
        <v>149</v>
      </c>
      <c r="L41" s="116">
        <v>148</v>
      </c>
      <c r="M41" s="116">
        <v>149</v>
      </c>
      <c r="N41" s="116">
        <v>158</v>
      </c>
      <c r="O41" s="116">
        <v>149</v>
      </c>
      <c r="P41" s="116">
        <v>0</v>
      </c>
      <c r="Q41" s="116">
        <v>0</v>
      </c>
      <c r="R41" s="116">
        <v>148</v>
      </c>
      <c r="S41" s="116">
        <v>149</v>
      </c>
      <c r="T41" s="116">
        <v>149</v>
      </c>
      <c r="U41" s="116">
        <v>148</v>
      </c>
      <c r="V41" s="116">
        <v>163</v>
      </c>
      <c r="W41" s="116">
        <v>149</v>
      </c>
      <c r="X41" s="116">
        <v>0</v>
      </c>
      <c r="Y41" s="116">
        <v>148</v>
      </c>
      <c r="Z41" s="116">
        <v>149</v>
      </c>
      <c r="AA41" s="116">
        <v>148</v>
      </c>
      <c r="AB41" s="116">
        <v>149</v>
      </c>
      <c r="AC41" s="116">
        <v>149</v>
      </c>
      <c r="AD41" s="116">
        <v>0</v>
      </c>
      <c r="AE41" s="116">
        <v>0</v>
      </c>
      <c r="AF41" s="116">
        <v>158</v>
      </c>
      <c r="AG41" s="116">
        <v>149</v>
      </c>
      <c r="AH41" s="116">
        <v>148</v>
      </c>
      <c r="AI41" s="116">
        <v>149</v>
      </c>
      <c r="AJ41" s="116">
        <v>148</v>
      </c>
      <c r="AK41" s="116">
        <v>149</v>
      </c>
      <c r="AL41" s="116">
        <v>0</v>
      </c>
      <c r="AM41" s="116">
        <v>0</v>
      </c>
      <c r="AN41" s="116">
        <v>0</v>
      </c>
      <c r="AO41" s="116">
        <v>3303</v>
      </c>
      <c r="AP41" s="116">
        <v>0</v>
      </c>
      <c r="AQ41" s="116">
        <v>0</v>
      </c>
      <c r="AR41" s="116">
        <v>0</v>
      </c>
      <c r="AS41" s="116">
        <v>161</v>
      </c>
      <c r="AT41" s="116">
        <v>162</v>
      </c>
      <c r="AU41" s="116">
        <v>161</v>
      </c>
      <c r="AV41" s="116">
        <v>0</v>
      </c>
      <c r="AW41" s="116">
        <v>0</v>
      </c>
      <c r="AX41" s="116">
        <v>161</v>
      </c>
      <c r="AY41" s="116">
        <v>171</v>
      </c>
      <c r="AZ41" s="116">
        <v>161</v>
      </c>
      <c r="BA41" s="116">
        <v>170</v>
      </c>
      <c r="BB41" s="116">
        <v>161</v>
      </c>
      <c r="BC41" s="116">
        <v>142</v>
      </c>
      <c r="BD41" s="116">
        <v>0</v>
      </c>
      <c r="BE41" s="116">
        <v>161</v>
      </c>
      <c r="BF41" s="116">
        <v>170</v>
      </c>
      <c r="BG41" s="116">
        <v>161</v>
      </c>
      <c r="BH41" s="116">
        <v>161</v>
      </c>
      <c r="BI41" s="116">
        <v>161</v>
      </c>
      <c r="BJ41" s="116">
        <v>0</v>
      </c>
      <c r="BK41" s="116">
        <v>0</v>
      </c>
      <c r="BL41" s="116">
        <v>161</v>
      </c>
      <c r="BM41" s="116">
        <v>171</v>
      </c>
      <c r="BN41" s="116">
        <v>142</v>
      </c>
      <c r="BO41" s="116">
        <v>161</v>
      </c>
      <c r="BP41" s="116">
        <v>161</v>
      </c>
      <c r="BQ41" s="116">
        <v>142</v>
      </c>
      <c r="BR41" s="116">
        <v>0</v>
      </c>
      <c r="BS41" s="116">
        <v>161</v>
      </c>
      <c r="BT41" s="116">
        <v>142</v>
      </c>
      <c r="BU41" s="116">
        <v>3505</v>
      </c>
      <c r="BV41" s="116">
        <v>146</v>
      </c>
      <c r="BW41" s="116">
        <v>146</v>
      </c>
      <c r="BX41" s="116">
        <v>146</v>
      </c>
      <c r="BY41" s="116">
        <v>0</v>
      </c>
      <c r="BZ41" s="116">
        <v>0</v>
      </c>
      <c r="CA41" s="116">
        <v>146</v>
      </c>
      <c r="CB41" s="116">
        <v>146</v>
      </c>
      <c r="CC41" s="116">
        <v>146</v>
      </c>
      <c r="CD41" s="116">
        <v>146</v>
      </c>
      <c r="CE41" s="116">
        <v>146</v>
      </c>
      <c r="CF41" s="116">
        <v>0</v>
      </c>
      <c r="CG41" s="116">
        <v>0</v>
      </c>
      <c r="CH41" s="116">
        <v>0</v>
      </c>
      <c r="CI41" s="116">
        <v>0</v>
      </c>
      <c r="CJ41" s="116">
        <v>0</v>
      </c>
      <c r="CK41" s="116">
        <v>0</v>
      </c>
      <c r="CL41" s="116">
        <v>0</v>
      </c>
      <c r="CM41" s="116">
        <v>0</v>
      </c>
      <c r="CN41" s="116">
        <v>0</v>
      </c>
      <c r="CO41" s="116">
        <v>146</v>
      </c>
      <c r="CP41" s="116">
        <v>146</v>
      </c>
      <c r="CQ41" s="116">
        <v>146</v>
      </c>
      <c r="CR41" s="116">
        <v>146</v>
      </c>
      <c r="CS41" s="116">
        <v>146</v>
      </c>
      <c r="CT41" s="116">
        <v>146</v>
      </c>
      <c r="CU41" s="116">
        <v>0</v>
      </c>
      <c r="CV41" s="116">
        <v>146</v>
      </c>
      <c r="CW41" s="116">
        <v>145</v>
      </c>
      <c r="CX41" s="116">
        <v>146</v>
      </c>
      <c r="CY41" s="116">
        <v>145</v>
      </c>
      <c r="CZ41" s="116">
        <v>0</v>
      </c>
      <c r="DA41" s="116">
        <v>2626</v>
      </c>
      <c r="DB41" s="116">
        <v>0</v>
      </c>
      <c r="DC41" s="116">
        <v>0</v>
      </c>
      <c r="DD41" s="116">
        <v>0</v>
      </c>
      <c r="DE41" s="116">
        <v>0</v>
      </c>
      <c r="DF41" s="116">
        <v>142</v>
      </c>
      <c r="DG41" s="116">
        <v>142</v>
      </c>
      <c r="DH41" s="116">
        <v>142</v>
      </c>
      <c r="DI41" s="116">
        <v>141</v>
      </c>
      <c r="DJ41" s="116">
        <v>142</v>
      </c>
      <c r="DK41" s="116">
        <v>0</v>
      </c>
      <c r="DL41" s="116">
        <v>141</v>
      </c>
      <c r="DM41" s="116">
        <v>142</v>
      </c>
      <c r="DN41" s="116">
        <v>141</v>
      </c>
      <c r="DO41" s="116">
        <v>142</v>
      </c>
      <c r="DP41" s="116">
        <v>141</v>
      </c>
      <c r="DQ41" s="116">
        <v>0</v>
      </c>
      <c r="DR41" s="116">
        <v>0</v>
      </c>
      <c r="DS41" s="116">
        <v>142</v>
      </c>
      <c r="DT41" s="116">
        <v>141</v>
      </c>
      <c r="DU41" s="116">
        <v>142</v>
      </c>
      <c r="DV41" s="116">
        <v>141</v>
      </c>
      <c r="DW41" s="116">
        <v>142</v>
      </c>
      <c r="DX41" s="116">
        <v>0</v>
      </c>
      <c r="DY41" s="116">
        <v>0</v>
      </c>
      <c r="DZ41" s="116">
        <v>141</v>
      </c>
      <c r="EA41" s="116">
        <v>142</v>
      </c>
      <c r="EB41" s="116">
        <v>141</v>
      </c>
      <c r="EC41" s="116">
        <v>142</v>
      </c>
      <c r="ED41" s="116">
        <v>141</v>
      </c>
      <c r="EE41" s="116">
        <v>0</v>
      </c>
      <c r="EF41" s="116">
        <v>0</v>
      </c>
      <c r="EG41" s="116">
        <v>2831</v>
      </c>
      <c r="EH41" t="s">
        <v>88</v>
      </c>
      <c r="EI41" t="str">
        <f t="shared" si="8"/>
        <v>86790-BZ310</v>
      </c>
      <c r="EJ41" t="s">
        <v>97</v>
      </c>
      <c r="EK41" t="str">
        <f>VLOOKUP(EJ41,'By Plant'!B:D,3,0)</f>
        <v>GW</v>
      </c>
      <c r="EL41" t="str">
        <f t="shared" si="9"/>
        <v>86790-BZ310GWG2</v>
      </c>
      <c r="EM41" t="str">
        <f t="shared" si="7"/>
        <v/>
      </c>
      <c r="ER41" t="b">
        <f t="shared" si="5"/>
        <v>0</v>
      </c>
      <c r="ES41" s="15" t="s">
        <v>91</v>
      </c>
      <c r="ET41" s="95">
        <v>8210</v>
      </c>
      <c r="EU41" s="95">
        <v>5430</v>
      </c>
      <c r="EV41" s="95">
        <v>5520</v>
      </c>
      <c r="EW41" s="95">
        <v>5170</v>
      </c>
      <c r="EZ41" t="s">
        <v>97</v>
      </c>
      <c r="FA41" t="str">
        <f t="shared" si="11"/>
        <v>86790-BZ280</v>
      </c>
    </row>
    <row r="42" spans="1:157" x14ac:dyDescent="0.3">
      <c r="A42" t="str">
        <f t="shared" si="10"/>
        <v>86790-BZ321GW</v>
      </c>
      <c r="B42" s="233" t="s">
        <v>262</v>
      </c>
      <c r="C42" s="115" t="s">
        <v>263</v>
      </c>
      <c r="D42" s="115" t="s">
        <v>172</v>
      </c>
      <c r="E42" s="240" t="s">
        <v>331</v>
      </c>
      <c r="F42" s="240" t="s">
        <v>348</v>
      </c>
      <c r="G42" s="240" t="s">
        <v>238</v>
      </c>
      <c r="H42" s="240" t="s">
        <v>239</v>
      </c>
      <c r="I42" s="116">
        <v>6</v>
      </c>
      <c r="J42" s="116">
        <v>0</v>
      </c>
      <c r="K42" s="116">
        <v>61</v>
      </c>
      <c r="L42" s="116">
        <v>60</v>
      </c>
      <c r="M42" s="116">
        <v>60</v>
      </c>
      <c r="N42" s="116">
        <v>62</v>
      </c>
      <c r="O42" s="116">
        <v>61</v>
      </c>
      <c r="P42" s="116">
        <v>0</v>
      </c>
      <c r="Q42" s="116">
        <v>0</v>
      </c>
      <c r="R42" s="116">
        <v>60</v>
      </c>
      <c r="S42" s="116">
        <v>61</v>
      </c>
      <c r="T42" s="116">
        <v>60</v>
      </c>
      <c r="U42" s="116">
        <v>60</v>
      </c>
      <c r="V42" s="116">
        <v>65</v>
      </c>
      <c r="W42" s="116">
        <v>61</v>
      </c>
      <c r="X42" s="116">
        <v>0</v>
      </c>
      <c r="Y42" s="116">
        <v>60</v>
      </c>
      <c r="Z42" s="116">
        <v>60</v>
      </c>
      <c r="AA42" s="116">
        <v>60</v>
      </c>
      <c r="AB42" s="116">
        <v>60</v>
      </c>
      <c r="AC42" s="116">
        <v>61</v>
      </c>
      <c r="AD42" s="116">
        <v>0</v>
      </c>
      <c r="AE42" s="116">
        <v>0</v>
      </c>
      <c r="AF42" s="116">
        <v>62</v>
      </c>
      <c r="AG42" s="116">
        <v>61</v>
      </c>
      <c r="AH42" s="116">
        <v>59</v>
      </c>
      <c r="AI42" s="116">
        <v>61</v>
      </c>
      <c r="AJ42" s="116">
        <v>59</v>
      </c>
      <c r="AK42" s="116">
        <v>61</v>
      </c>
      <c r="AL42" s="116">
        <v>0</v>
      </c>
      <c r="AM42" s="116">
        <v>0</v>
      </c>
      <c r="AN42" s="116">
        <v>0</v>
      </c>
      <c r="AO42" s="116">
        <v>1335</v>
      </c>
      <c r="AP42" s="116">
        <v>0</v>
      </c>
      <c r="AQ42" s="116">
        <v>0</v>
      </c>
      <c r="AR42" s="116">
        <v>0</v>
      </c>
      <c r="AS42" s="116">
        <v>81</v>
      </c>
      <c r="AT42" s="116">
        <v>81</v>
      </c>
      <c r="AU42" s="116">
        <v>82</v>
      </c>
      <c r="AV42" s="116">
        <v>0</v>
      </c>
      <c r="AW42" s="116">
        <v>0</v>
      </c>
      <c r="AX42" s="116">
        <v>81</v>
      </c>
      <c r="AY42" s="116">
        <v>86</v>
      </c>
      <c r="AZ42" s="116">
        <v>81</v>
      </c>
      <c r="BA42" s="116">
        <v>87</v>
      </c>
      <c r="BB42" s="116">
        <v>80</v>
      </c>
      <c r="BC42" s="116">
        <v>72</v>
      </c>
      <c r="BD42" s="116">
        <v>0</v>
      </c>
      <c r="BE42" s="116">
        <v>81</v>
      </c>
      <c r="BF42" s="116">
        <v>86</v>
      </c>
      <c r="BG42" s="116">
        <v>81</v>
      </c>
      <c r="BH42" s="116">
        <v>81</v>
      </c>
      <c r="BI42" s="116">
        <v>82</v>
      </c>
      <c r="BJ42" s="116">
        <v>0</v>
      </c>
      <c r="BK42" s="116">
        <v>0</v>
      </c>
      <c r="BL42" s="116">
        <v>80</v>
      </c>
      <c r="BM42" s="116">
        <v>87</v>
      </c>
      <c r="BN42" s="116">
        <v>71</v>
      </c>
      <c r="BO42" s="116">
        <v>82</v>
      </c>
      <c r="BP42" s="116">
        <v>80</v>
      </c>
      <c r="BQ42" s="116">
        <v>72</v>
      </c>
      <c r="BR42" s="116">
        <v>0</v>
      </c>
      <c r="BS42" s="116">
        <v>81</v>
      </c>
      <c r="BT42" s="116">
        <v>72</v>
      </c>
      <c r="BU42" s="116">
        <v>1767</v>
      </c>
      <c r="BV42" s="116">
        <v>67</v>
      </c>
      <c r="BW42" s="116">
        <v>67</v>
      </c>
      <c r="BX42" s="116">
        <v>67</v>
      </c>
      <c r="BY42" s="116">
        <v>0</v>
      </c>
      <c r="BZ42" s="116">
        <v>0</v>
      </c>
      <c r="CA42" s="116">
        <v>67</v>
      </c>
      <c r="CB42" s="116">
        <v>67</v>
      </c>
      <c r="CC42" s="116">
        <v>67</v>
      </c>
      <c r="CD42" s="116">
        <v>67</v>
      </c>
      <c r="CE42" s="116">
        <v>66</v>
      </c>
      <c r="CF42" s="116">
        <v>0</v>
      </c>
      <c r="CG42" s="116">
        <v>0</v>
      </c>
      <c r="CH42" s="116">
        <v>0</v>
      </c>
      <c r="CI42" s="116">
        <v>0</v>
      </c>
      <c r="CJ42" s="116">
        <v>0</v>
      </c>
      <c r="CK42" s="116">
        <v>0</v>
      </c>
      <c r="CL42" s="116">
        <v>0</v>
      </c>
      <c r="CM42" s="116">
        <v>0</v>
      </c>
      <c r="CN42" s="116">
        <v>0</v>
      </c>
      <c r="CO42" s="116">
        <v>67</v>
      </c>
      <c r="CP42" s="116">
        <v>66</v>
      </c>
      <c r="CQ42" s="116">
        <v>67</v>
      </c>
      <c r="CR42" s="116">
        <v>66</v>
      </c>
      <c r="CS42" s="116">
        <v>67</v>
      </c>
      <c r="CT42" s="116">
        <v>66</v>
      </c>
      <c r="CU42" s="116">
        <v>0</v>
      </c>
      <c r="CV42" s="116">
        <v>67</v>
      </c>
      <c r="CW42" s="116">
        <v>66</v>
      </c>
      <c r="CX42" s="116">
        <v>67</v>
      </c>
      <c r="CY42" s="116">
        <v>66</v>
      </c>
      <c r="CZ42" s="116">
        <v>0</v>
      </c>
      <c r="DA42" s="116">
        <v>1200</v>
      </c>
      <c r="DB42" s="116">
        <v>0</v>
      </c>
      <c r="DC42" s="116">
        <v>0</v>
      </c>
      <c r="DD42" s="116">
        <v>0</v>
      </c>
      <c r="DE42" s="116">
        <v>0</v>
      </c>
      <c r="DF42" s="116">
        <v>71</v>
      </c>
      <c r="DG42" s="116">
        <v>71</v>
      </c>
      <c r="DH42" s="116">
        <v>71</v>
      </c>
      <c r="DI42" s="116">
        <v>71</v>
      </c>
      <c r="DJ42" s="116">
        <v>71</v>
      </c>
      <c r="DK42" s="116">
        <v>0</v>
      </c>
      <c r="DL42" s="116">
        <v>71</v>
      </c>
      <c r="DM42" s="116">
        <v>71</v>
      </c>
      <c r="DN42" s="116">
        <v>71</v>
      </c>
      <c r="DO42" s="116">
        <v>71</v>
      </c>
      <c r="DP42" s="116">
        <v>71</v>
      </c>
      <c r="DQ42" s="116">
        <v>0</v>
      </c>
      <c r="DR42" s="116">
        <v>0</v>
      </c>
      <c r="DS42" s="116">
        <v>72</v>
      </c>
      <c r="DT42" s="116">
        <v>71</v>
      </c>
      <c r="DU42" s="116">
        <v>72</v>
      </c>
      <c r="DV42" s="116">
        <v>71</v>
      </c>
      <c r="DW42" s="116">
        <v>72</v>
      </c>
      <c r="DX42" s="116">
        <v>0</v>
      </c>
      <c r="DY42" s="116">
        <v>0</v>
      </c>
      <c r="DZ42" s="116">
        <v>71</v>
      </c>
      <c r="EA42" s="116">
        <v>72</v>
      </c>
      <c r="EB42" s="116">
        <v>71</v>
      </c>
      <c r="EC42" s="116">
        <v>72</v>
      </c>
      <c r="ED42" s="116">
        <v>71</v>
      </c>
      <c r="EE42" s="116">
        <v>0</v>
      </c>
      <c r="EF42" s="116">
        <v>0</v>
      </c>
      <c r="EG42" s="116">
        <v>1425</v>
      </c>
      <c r="EH42" s="206" t="s">
        <v>88</v>
      </c>
      <c r="EI42" t="str">
        <f t="shared" si="8"/>
        <v>86790-BZ321</v>
      </c>
      <c r="EJ42" t="s">
        <v>106</v>
      </c>
      <c r="EK42" t="str">
        <f>VLOOKUP(EJ42,'By Plant'!B:D,3,0)</f>
        <v>GW</v>
      </c>
      <c r="EL42" t="str">
        <f t="shared" si="9"/>
        <v>86790-BZ321GWG2</v>
      </c>
      <c r="EM42" t="str">
        <f t="shared" si="7"/>
        <v/>
      </c>
      <c r="ER42" t="b">
        <f t="shared" si="5"/>
        <v>0</v>
      </c>
      <c r="ES42" s="15" t="s">
        <v>97</v>
      </c>
      <c r="ET42" s="95">
        <v>12003</v>
      </c>
      <c r="EU42" s="95">
        <v>11815</v>
      </c>
      <c r="EV42" s="95">
        <v>12076</v>
      </c>
      <c r="EW42" s="95">
        <v>10271</v>
      </c>
      <c r="EZ42" t="s">
        <v>106</v>
      </c>
      <c r="FA42" t="str">
        <f t="shared" si="11"/>
        <v>86790-BZ310</v>
      </c>
    </row>
    <row r="43" spans="1:157" x14ac:dyDescent="0.3">
      <c r="A43" t="str">
        <f t="shared" si="10"/>
        <v>86790-BZ350GW</v>
      </c>
      <c r="B43" s="230" t="s">
        <v>264</v>
      </c>
      <c r="C43" s="115" t="s">
        <v>265</v>
      </c>
      <c r="D43" s="115" t="s">
        <v>172</v>
      </c>
      <c r="E43" s="115" t="s">
        <v>331</v>
      </c>
      <c r="F43" s="115" t="s">
        <v>348</v>
      </c>
      <c r="G43" s="115" t="s">
        <v>238</v>
      </c>
      <c r="H43" s="115" t="s">
        <v>252</v>
      </c>
      <c r="I43" s="116">
        <v>8</v>
      </c>
      <c r="J43" s="116">
        <v>0</v>
      </c>
      <c r="K43" s="116">
        <v>43</v>
      </c>
      <c r="L43" s="116">
        <v>37</v>
      </c>
      <c r="M43" s="116">
        <v>40</v>
      </c>
      <c r="N43" s="116">
        <v>44</v>
      </c>
      <c r="O43" s="116">
        <v>41</v>
      </c>
      <c r="P43" s="116">
        <v>0</v>
      </c>
      <c r="Q43" s="116">
        <v>0</v>
      </c>
      <c r="R43" s="116">
        <v>37</v>
      </c>
      <c r="S43" s="116">
        <v>39</v>
      </c>
      <c r="T43" s="116">
        <v>39</v>
      </c>
      <c r="U43" s="116">
        <v>37</v>
      </c>
      <c r="V43" s="116">
        <v>43</v>
      </c>
      <c r="W43" s="116">
        <v>41</v>
      </c>
      <c r="X43" s="116">
        <v>0</v>
      </c>
      <c r="Y43" s="116">
        <v>39</v>
      </c>
      <c r="Z43" s="116">
        <v>39</v>
      </c>
      <c r="AA43" s="116">
        <v>39</v>
      </c>
      <c r="AB43" s="116">
        <v>39</v>
      </c>
      <c r="AC43" s="116">
        <v>39</v>
      </c>
      <c r="AD43" s="116">
        <v>0</v>
      </c>
      <c r="AE43" s="116">
        <v>0</v>
      </c>
      <c r="AF43" s="116">
        <v>41</v>
      </c>
      <c r="AG43" s="116">
        <v>38</v>
      </c>
      <c r="AH43" s="116">
        <v>41</v>
      </c>
      <c r="AI43" s="116">
        <v>38</v>
      </c>
      <c r="AJ43" s="116">
        <v>39</v>
      </c>
      <c r="AK43" s="116">
        <v>40</v>
      </c>
      <c r="AL43" s="116">
        <v>0</v>
      </c>
      <c r="AM43" s="116">
        <v>0</v>
      </c>
      <c r="AN43" s="116">
        <v>0</v>
      </c>
      <c r="AO43" s="116">
        <v>873</v>
      </c>
      <c r="AP43" s="116">
        <v>0</v>
      </c>
      <c r="AQ43" s="116">
        <v>0</v>
      </c>
      <c r="AR43" s="116">
        <v>0</v>
      </c>
      <c r="AS43" s="116">
        <v>51</v>
      </c>
      <c r="AT43" s="116">
        <v>52</v>
      </c>
      <c r="AU43" s="116">
        <v>50</v>
      </c>
      <c r="AV43" s="116">
        <v>0</v>
      </c>
      <c r="AW43" s="116">
        <v>0</v>
      </c>
      <c r="AX43" s="116">
        <v>54</v>
      </c>
      <c r="AY43" s="116">
        <v>54</v>
      </c>
      <c r="AZ43" s="116">
        <v>53</v>
      </c>
      <c r="BA43" s="116">
        <v>54</v>
      </c>
      <c r="BB43" s="116">
        <v>53</v>
      </c>
      <c r="BC43" s="116">
        <v>47</v>
      </c>
      <c r="BD43" s="116">
        <v>0</v>
      </c>
      <c r="BE43" s="116">
        <v>52</v>
      </c>
      <c r="BF43" s="116">
        <v>55</v>
      </c>
      <c r="BG43" s="116">
        <v>51</v>
      </c>
      <c r="BH43" s="116">
        <v>52</v>
      </c>
      <c r="BI43" s="116">
        <v>53</v>
      </c>
      <c r="BJ43" s="116">
        <v>0</v>
      </c>
      <c r="BK43" s="116">
        <v>0</v>
      </c>
      <c r="BL43" s="116">
        <v>52</v>
      </c>
      <c r="BM43" s="116">
        <v>55</v>
      </c>
      <c r="BN43" s="116">
        <v>45</v>
      </c>
      <c r="BO43" s="116">
        <v>51</v>
      </c>
      <c r="BP43" s="116">
        <v>53</v>
      </c>
      <c r="BQ43" s="116">
        <v>48</v>
      </c>
      <c r="BR43" s="116">
        <v>0</v>
      </c>
      <c r="BS43" s="116">
        <v>52</v>
      </c>
      <c r="BT43" s="116">
        <v>47</v>
      </c>
      <c r="BU43" s="116">
        <v>1134</v>
      </c>
      <c r="BV43" s="116">
        <v>75</v>
      </c>
      <c r="BW43" s="116">
        <v>75</v>
      </c>
      <c r="BX43" s="116">
        <v>75</v>
      </c>
      <c r="BY43" s="116">
        <v>0</v>
      </c>
      <c r="BZ43" s="116">
        <v>0</v>
      </c>
      <c r="CA43" s="116">
        <v>75</v>
      </c>
      <c r="CB43" s="116">
        <v>75</v>
      </c>
      <c r="CC43" s="116">
        <v>75</v>
      </c>
      <c r="CD43" s="116">
        <v>76</v>
      </c>
      <c r="CE43" s="116">
        <v>75</v>
      </c>
      <c r="CF43" s="116">
        <v>0</v>
      </c>
      <c r="CG43" s="116">
        <v>0</v>
      </c>
      <c r="CH43" s="116">
        <v>0</v>
      </c>
      <c r="CI43" s="116">
        <v>0</v>
      </c>
      <c r="CJ43" s="116">
        <v>0</v>
      </c>
      <c r="CK43" s="116">
        <v>0</v>
      </c>
      <c r="CL43" s="116">
        <v>0</v>
      </c>
      <c r="CM43" s="116">
        <v>0</v>
      </c>
      <c r="CN43" s="116">
        <v>0</v>
      </c>
      <c r="CO43" s="116">
        <v>76</v>
      </c>
      <c r="CP43" s="116">
        <v>75</v>
      </c>
      <c r="CQ43" s="116">
        <v>76</v>
      </c>
      <c r="CR43" s="116">
        <v>75</v>
      </c>
      <c r="CS43" s="116">
        <v>76</v>
      </c>
      <c r="CT43" s="116">
        <v>75</v>
      </c>
      <c r="CU43" s="116">
        <v>0</v>
      </c>
      <c r="CV43" s="116">
        <v>76</v>
      </c>
      <c r="CW43" s="116">
        <v>75</v>
      </c>
      <c r="CX43" s="116">
        <v>76</v>
      </c>
      <c r="CY43" s="116">
        <v>75</v>
      </c>
      <c r="CZ43" s="116">
        <v>0</v>
      </c>
      <c r="DA43" s="116">
        <v>1356</v>
      </c>
      <c r="DB43" s="116">
        <v>0</v>
      </c>
      <c r="DC43" s="116">
        <v>0</v>
      </c>
      <c r="DD43" s="116">
        <v>0</v>
      </c>
      <c r="DE43" s="116">
        <v>0</v>
      </c>
      <c r="DF43" s="116">
        <v>73</v>
      </c>
      <c r="DG43" s="116">
        <v>73</v>
      </c>
      <c r="DH43" s="116">
        <v>73</v>
      </c>
      <c r="DI43" s="116">
        <v>73</v>
      </c>
      <c r="DJ43" s="116">
        <v>74</v>
      </c>
      <c r="DK43" s="116">
        <v>0</v>
      </c>
      <c r="DL43" s="116">
        <v>73</v>
      </c>
      <c r="DM43" s="116">
        <v>74</v>
      </c>
      <c r="DN43" s="116">
        <v>73</v>
      </c>
      <c r="DO43" s="116">
        <v>74</v>
      </c>
      <c r="DP43" s="116">
        <v>73</v>
      </c>
      <c r="DQ43" s="116">
        <v>0</v>
      </c>
      <c r="DR43" s="116">
        <v>0</v>
      </c>
      <c r="DS43" s="116">
        <v>74</v>
      </c>
      <c r="DT43" s="116">
        <v>73</v>
      </c>
      <c r="DU43" s="116">
        <v>74</v>
      </c>
      <c r="DV43" s="116">
        <v>73</v>
      </c>
      <c r="DW43" s="116">
        <v>74</v>
      </c>
      <c r="DX43" s="116">
        <v>0</v>
      </c>
      <c r="DY43" s="116">
        <v>0</v>
      </c>
      <c r="DZ43" s="116">
        <v>73</v>
      </c>
      <c r="EA43" s="116">
        <v>74</v>
      </c>
      <c r="EB43" s="116">
        <v>73</v>
      </c>
      <c r="EC43" s="116">
        <v>74</v>
      </c>
      <c r="ED43" s="116">
        <v>73</v>
      </c>
      <c r="EE43" s="116">
        <v>0</v>
      </c>
      <c r="EF43" s="116">
        <v>0</v>
      </c>
      <c r="EG43" s="116">
        <v>1468</v>
      </c>
      <c r="EH43" t="s">
        <v>88</v>
      </c>
      <c r="EI43" t="str">
        <f t="shared" si="8"/>
        <v>86790-BZ350</v>
      </c>
      <c r="EJ43" t="s">
        <v>116</v>
      </c>
      <c r="EK43" t="str">
        <f>VLOOKUP(EJ43,'By Plant'!B:D,3,0)</f>
        <v>GW</v>
      </c>
      <c r="EL43" t="str">
        <f t="shared" si="9"/>
        <v>86790-BZ350GWG2</v>
      </c>
      <c r="EM43" t="str">
        <f t="shared" si="7"/>
        <v/>
      </c>
      <c r="ER43" t="b">
        <f t="shared" si="5"/>
        <v>0</v>
      </c>
      <c r="ES43" s="15" t="s">
        <v>106</v>
      </c>
      <c r="ET43" s="95">
        <v>1335</v>
      </c>
      <c r="EU43" s="95">
        <v>1767</v>
      </c>
      <c r="EV43" s="95">
        <v>1200</v>
      </c>
      <c r="EW43" s="95">
        <v>1425</v>
      </c>
      <c r="EZ43" t="s">
        <v>110</v>
      </c>
      <c r="FA43" t="str">
        <f t="shared" si="11"/>
        <v>86790-BZ321</v>
      </c>
    </row>
    <row r="44" spans="1:157" x14ac:dyDescent="0.3">
      <c r="A44" t="str">
        <f t="shared" si="10"/>
        <v>86790-0K051SR</v>
      </c>
      <c r="B44" s="115" t="s">
        <v>149</v>
      </c>
      <c r="C44" s="115" t="s">
        <v>150</v>
      </c>
      <c r="D44" s="115" t="s">
        <v>151</v>
      </c>
      <c r="E44" s="115" t="s">
        <v>331</v>
      </c>
      <c r="F44" s="115" t="s">
        <v>365</v>
      </c>
      <c r="G44" s="115" t="s">
        <v>152</v>
      </c>
      <c r="H44" s="115" t="s">
        <v>153</v>
      </c>
      <c r="I44" s="116">
        <v>25</v>
      </c>
      <c r="J44" s="116">
        <v>0</v>
      </c>
      <c r="K44" s="116">
        <v>59</v>
      </c>
      <c r="L44" s="116">
        <v>54</v>
      </c>
      <c r="M44" s="116">
        <v>60</v>
      </c>
      <c r="N44" s="116">
        <v>65</v>
      </c>
      <c r="O44" s="116">
        <v>58</v>
      </c>
      <c r="P44" s="116">
        <v>0</v>
      </c>
      <c r="Q44" s="116">
        <v>0</v>
      </c>
      <c r="R44" s="116">
        <v>57</v>
      </c>
      <c r="S44" s="116">
        <v>60</v>
      </c>
      <c r="T44" s="116">
        <v>58</v>
      </c>
      <c r="U44" s="116">
        <v>59</v>
      </c>
      <c r="V44" s="116">
        <v>57</v>
      </c>
      <c r="W44" s="116">
        <v>59</v>
      </c>
      <c r="X44" s="116">
        <v>0</v>
      </c>
      <c r="Y44" s="116">
        <v>64</v>
      </c>
      <c r="Z44" s="116">
        <v>62</v>
      </c>
      <c r="AA44" s="116">
        <v>56</v>
      </c>
      <c r="AB44" s="116">
        <v>63</v>
      </c>
      <c r="AC44" s="116">
        <v>52</v>
      </c>
      <c r="AD44" s="116">
        <v>0</v>
      </c>
      <c r="AE44" s="116">
        <v>0</v>
      </c>
      <c r="AF44" s="116">
        <v>64</v>
      </c>
      <c r="AG44" s="116">
        <v>73</v>
      </c>
      <c r="AH44" s="116">
        <v>70</v>
      </c>
      <c r="AI44" s="116">
        <v>70</v>
      </c>
      <c r="AJ44" s="116">
        <v>68</v>
      </c>
      <c r="AK44" s="116">
        <v>64</v>
      </c>
      <c r="AL44" s="116">
        <v>0</v>
      </c>
      <c r="AM44" s="116">
        <v>0</v>
      </c>
      <c r="AN44" s="116">
        <v>0</v>
      </c>
      <c r="AO44" s="116">
        <v>1352</v>
      </c>
      <c r="AP44" s="116">
        <v>0</v>
      </c>
      <c r="AQ44" s="116">
        <v>0</v>
      </c>
      <c r="AR44" s="116">
        <v>0</v>
      </c>
      <c r="AS44" s="116">
        <v>72</v>
      </c>
      <c r="AT44" s="116">
        <v>69</v>
      </c>
      <c r="AU44" s="116">
        <v>74</v>
      </c>
      <c r="AV44" s="116">
        <v>38</v>
      </c>
      <c r="AW44" s="116">
        <v>0</v>
      </c>
      <c r="AX44" s="116">
        <v>76</v>
      </c>
      <c r="AY44" s="116">
        <v>78</v>
      </c>
      <c r="AZ44" s="116">
        <v>77</v>
      </c>
      <c r="BA44" s="116">
        <v>82</v>
      </c>
      <c r="BB44" s="116">
        <v>82</v>
      </c>
      <c r="BC44" s="116">
        <v>77</v>
      </c>
      <c r="BD44" s="116">
        <v>0</v>
      </c>
      <c r="BE44" s="116">
        <v>83</v>
      </c>
      <c r="BF44" s="116">
        <v>82</v>
      </c>
      <c r="BG44" s="116">
        <v>86</v>
      </c>
      <c r="BH44" s="116">
        <v>85</v>
      </c>
      <c r="BI44" s="116">
        <v>83</v>
      </c>
      <c r="BJ44" s="116">
        <v>0</v>
      </c>
      <c r="BK44" s="116">
        <v>0</v>
      </c>
      <c r="BL44" s="116">
        <v>82</v>
      </c>
      <c r="BM44" s="116">
        <v>82</v>
      </c>
      <c r="BN44" s="116">
        <v>74</v>
      </c>
      <c r="BO44" s="116">
        <v>87</v>
      </c>
      <c r="BP44" s="116">
        <v>78</v>
      </c>
      <c r="BQ44" s="116">
        <v>80</v>
      </c>
      <c r="BR44" s="116">
        <v>0</v>
      </c>
      <c r="BS44" s="116">
        <v>83</v>
      </c>
      <c r="BT44" s="116">
        <v>77</v>
      </c>
      <c r="BU44" s="116">
        <v>1787</v>
      </c>
      <c r="BV44" s="116">
        <v>110</v>
      </c>
      <c r="BW44" s="116">
        <v>110</v>
      </c>
      <c r="BX44" s="116">
        <v>110</v>
      </c>
      <c r="BY44" s="116">
        <v>55</v>
      </c>
      <c r="BZ44" s="116">
        <v>0</v>
      </c>
      <c r="CA44" s="116">
        <v>110</v>
      </c>
      <c r="CB44" s="116">
        <v>110</v>
      </c>
      <c r="CC44" s="116">
        <v>110</v>
      </c>
      <c r="CD44" s="116">
        <v>110</v>
      </c>
      <c r="CE44" s="116">
        <v>110</v>
      </c>
      <c r="CF44" s="116">
        <v>0</v>
      </c>
      <c r="CG44" s="116">
        <v>0</v>
      </c>
      <c r="CH44" s="116">
        <v>0</v>
      </c>
      <c r="CI44" s="116">
        <v>0</v>
      </c>
      <c r="CJ44" s="116">
        <v>0</v>
      </c>
      <c r="CK44" s="116">
        <v>0</v>
      </c>
      <c r="CL44" s="116">
        <v>0</v>
      </c>
      <c r="CM44" s="116">
        <v>0</v>
      </c>
      <c r="CN44" s="116">
        <v>0</v>
      </c>
      <c r="CO44" s="116">
        <v>110</v>
      </c>
      <c r="CP44" s="116">
        <v>110</v>
      </c>
      <c r="CQ44" s="116">
        <v>110</v>
      </c>
      <c r="CR44" s="116">
        <v>110</v>
      </c>
      <c r="CS44" s="116">
        <v>110</v>
      </c>
      <c r="CT44" s="116">
        <v>110</v>
      </c>
      <c r="CU44" s="116">
        <v>0</v>
      </c>
      <c r="CV44" s="116">
        <v>111</v>
      </c>
      <c r="CW44" s="116">
        <v>110</v>
      </c>
      <c r="CX44" s="116">
        <v>111</v>
      </c>
      <c r="CY44" s="116">
        <v>110</v>
      </c>
      <c r="CZ44" s="116">
        <v>0</v>
      </c>
      <c r="DA44" s="116">
        <v>2037</v>
      </c>
      <c r="DB44" s="116">
        <v>0</v>
      </c>
      <c r="DC44" s="116">
        <v>0</v>
      </c>
      <c r="DD44" s="116">
        <v>0</v>
      </c>
      <c r="DE44" s="116">
        <v>0</v>
      </c>
      <c r="DF44" s="116">
        <v>0</v>
      </c>
      <c r="DG44" s="116">
        <v>0</v>
      </c>
      <c r="DH44" s="116">
        <v>0</v>
      </c>
      <c r="DI44" s="116">
        <v>0</v>
      </c>
      <c r="DJ44" s="116">
        <v>0</v>
      </c>
      <c r="DK44" s="116">
        <v>0</v>
      </c>
      <c r="DL44" s="116">
        <v>0</v>
      </c>
      <c r="DM44" s="116">
        <v>0</v>
      </c>
      <c r="DN44" s="116">
        <v>0</v>
      </c>
      <c r="DO44" s="116">
        <v>0</v>
      </c>
      <c r="DP44" s="116">
        <v>0</v>
      </c>
      <c r="DQ44" s="116">
        <v>0</v>
      </c>
      <c r="DR44" s="116">
        <v>0</v>
      </c>
      <c r="DS44" s="116">
        <v>0</v>
      </c>
      <c r="DT44" s="116">
        <v>0</v>
      </c>
      <c r="DU44" s="116">
        <v>0</v>
      </c>
      <c r="DV44" s="116">
        <v>0</v>
      </c>
      <c r="DW44" s="116">
        <v>0</v>
      </c>
      <c r="DX44" s="116">
        <v>0</v>
      </c>
      <c r="DY44" s="116">
        <v>0</v>
      </c>
      <c r="DZ44" s="116">
        <v>0</v>
      </c>
      <c r="EA44" s="116">
        <v>0</v>
      </c>
      <c r="EB44" s="116">
        <v>0</v>
      </c>
      <c r="EC44" s="116">
        <v>0</v>
      </c>
      <c r="ED44" s="116">
        <v>0</v>
      </c>
      <c r="EE44" s="116">
        <v>0</v>
      </c>
      <c r="EF44" s="116">
        <v>0</v>
      </c>
      <c r="EG44" s="116">
        <v>0</v>
      </c>
      <c r="EH44" t="s">
        <v>55</v>
      </c>
      <c r="EI44" t="str">
        <f t="shared" si="8"/>
        <v>86790-0K051</v>
      </c>
      <c r="EJ44" t="s">
        <v>100</v>
      </c>
      <c r="EK44" t="str">
        <f>VLOOKUP(EJ44,'By Plant'!B:D,3,0)</f>
        <v>BP</v>
      </c>
      <c r="EL44" t="str">
        <f t="shared" si="9"/>
        <v>86790-0K051SRS1</v>
      </c>
      <c r="EM44" t="str">
        <f t="shared" si="7"/>
        <v/>
      </c>
      <c r="ER44" t="b">
        <f t="shared" si="5"/>
        <v>0</v>
      </c>
      <c r="ES44" s="15" t="s">
        <v>116</v>
      </c>
      <c r="ET44" s="95">
        <v>873</v>
      </c>
      <c r="EU44" s="95">
        <v>1134</v>
      </c>
      <c r="EV44" s="95">
        <v>1356</v>
      </c>
      <c r="EW44" s="95">
        <v>1468</v>
      </c>
      <c r="EZ44" s="15" t="s">
        <v>116</v>
      </c>
      <c r="FA44" t="str">
        <f t="shared" si="11"/>
        <v>86790-BZ350</v>
      </c>
    </row>
    <row r="45" spans="1:157" x14ac:dyDescent="0.3">
      <c r="A45" t="str">
        <f t="shared" si="10"/>
        <v>86790-0K080SR</v>
      </c>
      <c r="B45" s="115" t="s">
        <v>22</v>
      </c>
      <c r="C45" s="115" t="s">
        <v>158</v>
      </c>
      <c r="D45" s="115" t="s">
        <v>151</v>
      </c>
      <c r="E45" s="115" t="s">
        <v>331</v>
      </c>
      <c r="F45" s="115" t="s">
        <v>365</v>
      </c>
      <c r="G45" s="115" t="s">
        <v>152</v>
      </c>
      <c r="H45" s="115" t="s">
        <v>153</v>
      </c>
      <c r="I45" s="116">
        <v>42</v>
      </c>
      <c r="J45" s="116">
        <v>0</v>
      </c>
      <c r="K45" s="116">
        <v>29</v>
      </c>
      <c r="L45" s="116">
        <v>28</v>
      </c>
      <c r="M45" s="116">
        <v>29</v>
      </c>
      <c r="N45" s="116">
        <v>32</v>
      </c>
      <c r="O45" s="116">
        <v>27</v>
      </c>
      <c r="P45" s="116">
        <v>0</v>
      </c>
      <c r="Q45" s="116">
        <v>0</v>
      </c>
      <c r="R45" s="116">
        <v>33</v>
      </c>
      <c r="S45" s="116">
        <v>27</v>
      </c>
      <c r="T45" s="116">
        <v>29</v>
      </c>
      <c r="U45" s="116">
        <v>30</v>
      </c>
      <c r="V45" s="116">
        <v>28</v>
      </c>
      <c r="W45" s="116">
        <v>28</v>
      </c>
      <c r="X45" s="116">
        <v>0</v>
      </c>
      <c r="Y45" s="116">
        <v>38</v>
      </c>
      <c r="Z45" s="116">
        <v>27</v>
      </c>
      <c r="AA45" s="116">
        <v>32</v>
      </c>
      <c r="AB45" s="116">
        <v>28</v>
      </c>
      <c r="AC45" s="116">
        <v>27</v>
      </c>
      <c r="AD45" s="116">
        <v>0</v>
      </c>
      <c r="AE45" s="116">
        <v>0</v>
      </c>
      <c r="AF45" s="116">
        <v>28</v>
      </c>
      <c r="AG45" s="116">
        <v>39</v>
      </c>
      <c r="AH45" s="116">
        <v>36</v>
      </c>
      <c r="AI45" s="116">
        <v>37</v>
      </c>
      <c r="AJ45" s="116">
        <v>32</v>
      </c>
      <c r="AK45" s="116">
        <v>32</v>
      </c>
      <c r="AL45" s="116">
        <v>0</v>
      </c>
      <c r="AM45" s="116">
        <v>0</v>
      </c>
      <c r="AN45" s="116">
        <v>0</v>
      </c>
      <c r="AO45" s="116">
        <v>676</v>
      </c>
      <c r="AP45" s="116">
        <v>0</v>
      </c>
      <c r="AQ45" s="116">
        <v>0</v>
      </c>
      <c r="AR45" s="116">
        <v>0</v>
      </c>
      <c r="AS45" s="116">
        <v>46</v>
      </c>
      <c r="AT45" s="116">
        <v>50</v>
      </c>
      <c r="AU45" s="116">
        <v>45</v>
      </c>
      <c r="AV45" s="116">
        <v>23</v>
      </c>
      <c r="AW45" s="116">
        <v>0</v>
      </c>
      <c r="AX45" s="116">
        <v>53</v>
      </c>
      <c r="AY45" s="116">
        <v>49</v>
      </c>
      <c r="AZ45" s="116">
        <v>54</v>
      </c>
      <c r="BA45" s="116">
        <v>52</v>
      </c>
      <c r="BB45" s="116">
        <v>54</v>
      </c>
      <c r="BC45" s="116">
        <v>51</v>
      </c>
      <c r="BD45" s="116">
        <v>0</v>
      </c>
      <c r="BE45" s="116">
        <v>53</v>
      </c>
      <c r="BF45" s="116">
        <v>55</v>
      </c>
      <c r="BG45" s="116">
        <v>51</v>
      </c>
      <c r="BH45" s="116">
        <v>56</v>
      </c>
      <c r="BI45" s="116">
        <v>53</v>
      </c>
      <c r="BJ45" s="116">
        <v>0</v>
      </c>
      <c r="BK45" s="116">
        <v>0</v>
      </c>
      <c r="BL45" s="116">
        <v>55</v>
      </c>
      <c r="BM45" s="116">
        <v>55</v>
      </c>
      <c r="BN45" s="116">
        <v>51</v>
      </c>
      <c r="BO45" s="116">
        <v>55</v>
      </c>
      <c r="BP45" s="116">
        <v>56</v>
      </c>
      <c r="BQ45" s="116">
        <v>49</v>
      </c>
      <c r="BR45" s="116">
        <v>0</v>
      </c>
      <c r="BS45" s="116">
        <v>54</v>
      </c>
      <c r="BT45" s="116">
        <v>50</v>
      </c>
      <c r="BU45" s="116">
        <v>1170</v>
      </c>
      <c r="BV45" s="116">
        <v>59</v>
      </c>
      <c r="BW45" s="116">
        <v>59</v>
      </c>
      <c r="BX45" s="116">
        <v>59</v>
      </c>
      <c r="BY45" s="116">
        <v>29</v>
      </c>
      <c r="BZ45" s="116">
        <v>0</v>
      </c>
      <c r="CA45" s="116">
        <v>59</v>
      </c>
      <c r="CB45" s="116">
        <v>59</v>
      </c>
      <c r="CC45" s="116">
        <v>58</v>
      </c>
      <c r="CD45" s="116">
        <v>59</v>
      </c>
      <c r="CE45" s="116">
        <v>58</v>
      </c>
      <c r="CF45" s="116">
        <v>0</v>
      </c>
      <c r="CG45" s="116">
        <v>0</v>
      </c>
      <c r="CH45" s="116">
        <v>0</v>
      </c>
      <c r="CI45" s="116">
        <v>0</v>
      </c>
      <c r="CJ45" s="116">
        <v>0</v>
      </c>
      <c r="CK45" s="116">
        <v>0</v>
      </c>
      <c r="CL45" s="116">
        <v>0</v>
      </c>
      <c r="CM45" s="116">
        <v>0</v>
      </c>
      <c r="CN45" s="116">
        <v>0</v>
      </c>
      <c r="CO45" s="116">
        <v>59</v>
      </c>
      <c r="CP45" s="116">
        <v>58</v>
      </c>
      <c r="CQ45" s="116">
        <v>59</v>
      </c>
      <c r="CR45" s="116">
        <v>58</v>
      </c>
      <c r="CS45" s="116">
        <v>59</v>
      </c>
      <c r="CT45" s="116">
        <v>58</v>
      </c>
      <c r="CU45" s="116">
        <v>0</v>
      </c>
      <c r="CV45" s="116">
        <v>59</v>
      </c>
      <c r="CW45" s="116">
        <v>58</v>
      </c>
      <c r="CX45" s="116">
        <v>59</v>
      </c>
      <c r="CY45" s="116">
        <v>58</v>
      </c>
      <c r="CZ45" s="116">
        <v>0</v>
      </c>
      <c r="DA45" s="116">
        <v>1084</v>
      </c>
      <c r="DB45" s="116">
        <v>0</v>
      </c>
      <c r="DC45" s="116">
        <v>0</v>
      </c>
      <c r="DD45" s="116">
        <v>0</v>
      </c>
      <c r="DE45" s="116">
        <v>20</v>
      </c>
      <c r="DF45" s="116">
        <v>20</v>
      </c>
      <c r="DG45" s="116">
        <v>20</v>
      </c>
      <c r="DH45" s="116">
        <v>20</v>
      </c>
      <c r="DI45" s="116">
        <v>20</v>
      </c>
      <c r="DJ45" s="116">
        <v>20</v>
      </c>
      <c r="DK45" s="116">
        <v>0</v>
      </c>
      <c r="DL45" s="116">
        <v>20</v>
      </c>
      <c r="DM45" s="116">
        <v>20</v>
      </c>
      <c r="DN45" s="116">
        <v>20</v>
      </c>
      <c r="DO45" s="116">
        <v>20</v>
      </c>
      <c r="DP45" s="116">
        <v>20</v>
      </c>
      <c r="DQ45" s="116">
        <v>10</v>
      </c>
      <c r="DR45" s="116">
        <v>0</v>
      </c>
      <c r="DS45" s="116">
        <v>20</v>
      </c>
      <c r="DT45" s="116">
        <v>20</v>
      </c>
      <c r="DU45" s="116">
        <v>20</v>
      </c>
      <c r="DV45" s="116">
        <v>20</v>
      </c>
      <c r="DW45" s="116">
        <v>20</v>
      </c>
      <c r="DX45" s="116">
        <v>20</v>
      </c>
      <c r="DY45" s="116">
        <v>0</v>
      </c>
      <c r="DZ45" s="116">
        <v>20</v>
      </c>
      <c r="EA45" s="116">
        <v>20</v>
      </c>
      <c r="EB45" s="116">
        <v>20</v>
      </c>
      <c r="EC45" s="116">
        <v>21</v>
      </c>
      <c r="ED45" s="116">
        <v>20</v>
      </c>
      <c r="EE45" s="116">
        <v>0</v>
      </c>
      <c r="EF45" s="116">
        <v>0</v>
      </c>
      <c r="EG45" s="116">
        <v>451</v>
      </c>
      <c r="EH45" t="s">
        <v>55</v>
      </c>
      <c r="EI45" t="str">
        <f t="shared" si="8"/>
        <v>86790-0K080</v>
      </c>
      <c r="EJ45" t="s">
        <v>58</v>
      </c>
      <c r="EK45" t="str">
        <f>VLOOKUP(EJ45,'By Plant'!B:D,3,0)</f>
        <v>SR</v>
      </c>
      <c r="EL45" t="str">
        <f t="shared" si="9"/>
        <v>86790-0K080SRS1</v>
      </c>
      <c r="EM45" t="str">
        <f t="shared" si="7"/>
        <v/>
      </c>
      <c r="FA45" t="str">
        <f t="shared" si="11"/>
        <v/>
      </c>
    </row>
    <row r="46" spans="1:157" x14ac:dyDescent="0.3">
      <c r="A46" t="str">
        <f t="shared" si="10"/>
        <v>86790-0K141SR</v>
      </c>
      <c r="B46" s="115" t="s">
        <v>160</v>
      </c>
      <c r="C46" s="115" t="s">
        <v>161</v>
      </c>
      <c r="D46" s="115" t="s">
        <v>151</v>
      </c>
      <c r="E46" s="115" t="s">
        <v>331</v>
      </c>
      <c r="F46" s="115" t="s">
        <v>365</v>
      </c>
      <c r="G46" s="115" t="s">
        <v>152</v>
      </c>
      <c r="H46" s="115" t="s">
        <v>153</v>
      </c>
      <c r="I46" s="116">
        <v>8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  <c r="O46" s="116">
        <v>0</v>
      </c>
      <c r="P46" s="116">
        <v>0</v>
      </c>
      <c r="Q46" s="116">
        <v>0</v>
      </c>
      <c r="R46" s="116">
        <v>0</v>
      </c>
      <c r="S46" s="116">
        <v>1</v>
      </c>
      <c r="T46" s="116">
        <v>0</v>
      </c>
      <c r="U46" s="116">
        <v>0</v>
      </c>
      <c r="V46" s="116">
        <v>0</v>
      </c>
      <c r="W46" s="116">
        <v>0</v>
      </c>
      <c r="X46" s="116">
        <v>0</v>
      </c>
      <c r="Y46" s="116">
        <v>0</v>
      </c>
      <c r="Z46" s="116">
        <v>0</v>
      </c>
      <c r="AA46" s="116">
        <v>0</v>
      </c>
      <c r="AB46" s="116">
        <v>0</v>
      </c>
      <c r="AC46" s="116">
        <v>1</v>
      </c>
      <c r="AD46" s="116">
        <v>0</v>
      </c>
      <c r="AE46" s="116">
        <v>0</v>
      </c>
      <c r="AF46" s="116">
        <v>0</v>
      </c>
      <c r="AG46" s="116">
        <v>0</v>
      </c>
      <c r="AH46" s="116">
        <v>0</v>
      </c>
      <c r="AI46" s="116">
        <v>0</v>
      </c>
      <c r="AJ46" s="116">
        <v>0</v>
      </c>
      <c r="AK46" s="116">
        <v>0</v>
      </c>
      <c r="AL46" s="116">
        <v>0</v>
      </c>
      <c r="AM46" s="116">
        <v>0</v>
      </c>
      <c r="AN46" s="116">
        <v>0</v>
      </c>
      <c r="AO46" s="116">
        <v>2</v>
      </c>
      <c r="AP46" s="116">
        <v>0</v>
      </c>
      <c r="AQ46" s="116">
        <v>0</v>
      </c>
      <c r="AR46" s="116">
        <v>0</v>
      </c>
      <c r="AS46" s="116">
        <v>0</v>
      </c>
      <c r="AT46" s="116">
        <v>0</v>
      </c>
      <c r="AU46" s="116">
        <v>0</v>
      </c>
      <c r="AV46" s="116">
        <v>0</v>
      </c>
      <c r="AW46" s="116">
        <v>0</v>
      </c>
      <c r="AX46" s="116">
        <v>1</v>
      </c>
      <c r="AY46" s="116">
        <v>0</v>
      </c>
      <c r="AZ46" s="116">
        <v>1</v>
      </c>
      <c r="BA46" s="116">
        <v>0</v>
      </c>
      <c r="BB46" s="116">
        <v>0</v>
      </c>
      <c r="BC46" s="116">
        <v>0</v>
      </c>
      <c r="BD46" s="116">
        <v>0</v>
      </c>
      <c r="BE46" s="116">
        <v>0</v>
      </c>
      <c r="BF46" s="116">
        <v>0</v>
      </c>
      <c r="BG46" s="116">
        <v>0</v>
      </c>
      <c r="BH46" s="116">
        <v>0</v>
      </c>
      <c r="BI46" s="116">
        <v>0</v>
      </c>
      <c r="BJ46" s="116">
        <v>0</v>
      </c>
      <c r="BK46" s="116">
        <v>0</v>
      </c>
      <c r="BL46" s="116">
        <v>0</v>
      </c>
      <c r="BM46" s="116">
        <v>0</v>
      </c>
      <c r="BN46" s="116">
        <v>1</v>
      </c>
      <c r="BO46" s="116">
        <v>0</v>
      </c>
      <c r="BP46" s="116">
        <v>1</v>
      </c>
      <c r="BQ46" s="116">
        <v>0</v>
      </c>
      <c r="BR46" s="116">
        <v>0</v>
      </c>
      <c r="BS46" s="116">
        <v>0</v>
      </c>
      <c r="BT46" s="116">
        <v>0</v>
      </c>
      <c r="BU46" s="116">
        <v>4</v>
      </c>
      <c r="BV46" s="116">
        <v>0</v>
      </c>
      <c r="BW46" s="116">
        <v>0</v>
      </c>
      <c r="BX46" s="116">
        <v>0</v>
      </c>
      <c r="BY46" s="116">
        <v>0</v>
      </c>
      <c r="BZ46" s="116">
        <v>0</v>
      </c>
      <c r="CA46" s="116">
        <v>0</v>
      </c>
      <c r="CB46" s="116">
        <v>0</v>
      </c>
      <c r="CC46" s="116">
        <v>0</v>
      </c>
      <c r="CD46" s="116">
        <v>0</v>
      </c>
      <c r="CE46" s="116">
        <v>0</v>
      </c>
      <c r="CF46" s="116">
        <v>0</v>
      </c>
      <c r="CG46" s="116">
        <v>0</v>
      </c>
      <c r="CH46" s="116">
        <v>0</v>
      </c>
      <c r="CI46" s="116">
        <v>0</v>
      </c>
      <c r="CJ46" s="116">
        <v>0</v>
      </c>
      <c r="CK46" s="116">
        <v>0</v>
      </c>
      <c r="CL46" s="116">
        <v>0</v>
      </c>
      <c r="CM46" s="116">
        <v>0</v>
      </c>
      <c r="CN46" s="116">
        <v>0</v>
      </c>
      <c r="CO46" s="116">
        <v>0</v>
      </c>
      <c r="CP46" s="116">
        <v>0</v>
      </c>
      <c r="CQ46" s="116">
        <v>0</v>
      </c>
      <c r="CR46" s="116">
        <v>0</v>
      </c>
      <c r="CS46" s="116">
        <v>0</v>
      </c>
      <c r="CT46" s="116">
        <v>0</v>
      </c>
      <c r="CU46" s="116">
        <v>0</v>
      </c>
      <c r="CV46" s="116">
        <v>0</v>
      </c>
      <c r="CW46" s="116">
        <v>0</v>
      </c>
      <c r="CX46" s="116">
        <v>0</v>
      </c>
      <c r="CY46" s="116">
        <v>0</v>
      </c>
      <c r="CZ46" s="116">
        <v>0</v>
      </c>
      <c r="DA46" s="116">
        <v>0</v>
      </c>
      <c r="DB46" s="116">
        <v>0</v>
      </c>
      <c r="DC46" s="116">
        <v>0</v>
      </c>
      <c r="DD46" s="116">
        <v>0</v>
      </c>
      <c r="DE46" s="116">
        <v>0</v>
      </c>
      <c r="DF46" s="116">
        <v>0</v>
      </c>
      <c r="DG46" s="116">
        <v>0</v>
      </c>
      <c r="DH46" s="116">
        <v>0</v>
      </c>
      <c r="DI46" s="116">
        <v>0</v>
      </c>
      <c r="DJ46" s="116">
        <v>0</v>
      </c>
      <c r="DK46" s="116">
        <v>0</v>
      </c>
      <c r="DL46" s="116">
        <v>0</v>
      </c>
      <c r="DM46" s="116">
        <v>0</v>
      </c>
      <c r="DN46" s="116">
        <v>0</v>
      </c>
      <c r="DO46" s="116">
        <v>0</v>
      </c>
      <c r="DP46" s="116">
        <v>0</v>
      </c>
      <c r="DQ46" s="116">
        <v>0</v>
      </c>
      <c r="DR46" s="116">
        <v>0</v>
      </c>
      <c r="DS46" s="116">
        <v>0</v>
      </c>
      <c r="DT46" s="116">
        <v>0</v>
      </c>
      <c r="DU46" s="116">
        <v>0</v>
      </c>
      <c r="DV46" s="116">
        <v>0</v>
      </c>
      <c r="DW46" s="116">
        <v>0</v>
      </c>
      <c r="DX46" s="116">
        <v>0</v>
      </c>
      <c r="DY46" s="116">
        <v>0</v>
      </c>
      <c r="DZ46" s="116">
        <v>0</v>
      </c>
      <c r="EA46" s="116">
        <v>0</v>
      </c>
      <c r="EB46" s="116">
        <v>0</v>
      </c>
      <c r="EC46" s="116">
        <v>0</v>
      </c>
      <c r="ED46" s="116">
        <v>0</v>
      </c>
      <c r="EE46" s="116">
        <v>0</v>
      </c>
      <c r="EF46" s="116">
        <v>0</v>
      </c>
      <c r="EG46" s="116">
        <v>0</v>
      </c>
      <c r="EH46" t="s">
        <v>55</v>
      </c>
      <c r="EI46" t="str">
        <f t="shared" si="8"/>
        <v>86790-0K141</v>
      </c>
      <c r="EJ46" t="s">
        <v>39</v>
      </c>
      <c r="EK46" t="str">
        <f>VLOOKUP(EJ46,'By Plant'!B:D,3,0)</f>
        <v>BPK</v>
      </c>
      <c r="EL46" t="str">
        <f t="shared" si="9"/>
        <v>86790-0K141SRS1</v>
      </c>
      <c r="EM46" t="str">
        <f t="shared" si="7"/>
        <v/>
      </c>
      <c r="ET46">
        <f>SUM(ET25:ET45)</f>
        <v>67252</v>
      </c>
      <c r="EU46">
        <f>SUM(EU25:EU45)</f>
        <v>79486</v>
      </c>
      <c r="EV46">
        <f>SUM(EV25:EV45)</f>
        <v>66744</v>
      </c>
      <c r="EW46">
        <f>SUM(EW25:EW45)</f>
        <v>60180</v>
      </c>
      <c r="EX46" s="104">
        <f>SUM(ET46:EW46)</f>
        <v>273662</v>
      </c>
    </row>
    <row r="47" spans="1:157" x14ac:dyDescent="0.3">
      <c r="A47" t="str">
        <f t="shared" si="10"/>
        <v>86790-0K171SR</v>
      </c>
      <c r="B47" s="115" t="s">
        <v>162</v>
      </c>
      <c r="C47" s="115" t="s">
        <v>163</v>
      </c>
      <c r="D47" s="115" t="s">
        <v>151</v>
      </c>
      <c r="E47" s="115" t="s">
        <v>331</v>
      </c>
      <c r="F47" s="115" t="s">
        <v>365</v>
      </c>
      <c r="G47" s="115" t="s">
        <v>152</v>
      </c>
      <c r="H47" s="115" t="s">
        <v>153</v>
      </c>
      <c r="I47" s="116">
        <v>8</v>
      </c>
      <c r="J47" s="116">
        <v>0</v>
      </c>
      <c r="K47" s="116">
        <v>12</v>
      </c>
      <c r="L47" s="116">
        <v>8</v>
      </c>
      <c r="M47" s="116">
        <v>10</v>
      </c>
      <c r="N47" s="116">
        <v>16</v>
      </c>
      <c r="O47" s="116">
        <v>10</v>
      </c>
      <c r="P47" s="116">
        <v>0</v>
      </c>
      <c r="Q47" s="116">
        <v>0</v>
      </c>
      <c r="R47" s="116">
        <v>10</v>
      </c>
      <c r="S47" s="116">
        <v>11</v>
      </c>
      <c r="T47" s="116">
        <v>10</v>
      </c>
      <c r="U47" s="116">
        <v>10</v>
      </c>
      <c r="V47" s="116">
        <v>10</v>
      </c>
      <c r="W47" s="116">
        <v>11</v>
      </c>
      <c r="X47" s="116">
        <v>0</v>
      </c>
      <c r="Y47" s="116">
        <v>13</v>
      </c>
      <c r="Z47" s="116">
        <v>14</v>
      </c>
      <c r="AA47" s="116">
        <v>9</v>
      </c>
      <c r="AB47" s="116">
        <v>12</v>
      </c>
      <c r="AC47" s="116">
        <v>8</v>
      </c>
      <c r="AD47" s="116">
        <v>0</v>
      </c>
      <c r="AE47" s="116">
        <v>0</v>
      </c>
      <c r="AF47" s="116">
        <v>12</v>
      </c>
      <c r="AG47" s="116">
        <v>13</v>
      </c>
      <c r="AH47" s="116">
        <v>16</v>
      </c>
      <c r="AI47" s="116">
        <v>12</v>
      </c>
      <c r="AJ47" s="116">
        <v>10</v>
      </c>
      <c r="AK47" s="116">
        <v>14</v>
      </c>
      <c r="AL47" s="116">
        <v>0</v>
      </c>
      <c r="AM47" s="116">
        <v>0</v>
      </c>
      <c r="AN47" s="116">
        <v>0</v>
      </c>
      <c r="AO47" s="116">
        <v>251</v>
      </c>
      <c r="AP47" s="116">
        <v>0</v>
      </c>
      <c r="AQ47" s="116">
        <v>0</v>
      </c>
      <c r="AR47" s="116">
        <v>0</v>
      </c>
      <c r="AS47" s="116">
        <v>12</v>
      </c>
      <c r="AT47" s="116">
        <v>10</v>
      </c>
      <c r="AU47" s="116">
        <v>13</v>
      </c>
      <c r="AV47" s="116">
        <v>8</v>
      </c>
      <c r="AW47" s="116">
        <v>0</v>
      </c>
      <c r="AX47" s="116">
        <v>9</v>
      </c>
      <c r="AY47" s="116">
        <v>15</v>
      </c>
      <c r="AZ47" s="116">
        <v>10</v>
      </c>
      <c r="BA47" s="116">
        <v>11</v>
      </c>
      <c r="BB47" s="116">
        <v>14</v>
      </c>
      <c r="BC47" s="116">
        <v>13</v>
      </c>
      <c r="BD47" s="116">
        <v>0</v>
      </c>
      <c r="BE47" s="116">
        <v>13</v>
      </c>
      <c r="BF47" s="116">
        <v>14</v>
      </c>
      <c r="BG47" s="116">
        <v>14</v>
      </c>
      <c r="BH47" s="116">
        <v>13</v>
      </c>
      <c r="BI47" s="116">
        <v>13</v>
      </c>
      <c r="BJ47" s="116">
        <v>0</v>
      </c>
      <c r="BK47" s="116">
        <v>0</v>
      </c>
      <c r="BL47" s="116">
        <v>16</v>
      </c>
      <c r="BM47" s="116">
        <v>12</v>
      </c>
      <c r="BN47" s="116">
        <v>8</v>
      </c>
      <c r="BO47" s="116">
        <v>14</v>
      </c>
      <c r="BP47" s="116">
        <v>11</v>
      </c>
      <c r="BQ47" s="116">
        <v>18</v>
      </c>
      <c r="BR47" s="116">
        <v>0</v>
      </c>
      <c r="BS47" s="116">
        <v>11</v>
      </c>
      <c r="BT47" s="116">
        <v>13</v>
      </c>
      <c r="BU47" s="116">
        <v>285</v>
      </c>
      <c r="BV47" s="116">
        <v>19</v>
      </c>
      <c r="BW47" s="116">
        <v>19</v>
      </c>
      <c r="BX47" s="116">
        <v>20</v>
      </c>
      <c r="BY47" s="116">
        <v>10</v>
      </c>
      <c r="BZ47" s="116">
        <v>0</v>
      </c>
      <c r="CA47" s="116">
        <v>19</v>
      </c>
      <c r="CB47" s="116">
        <v>20</v>
      </c>
      <c r="CC47" s="116">
        <v>19</v>
      </c>
      <c r="CD47" s="116">
        <v>20</v>
      </c>
      <c r="CE47" s="116">
        <v>19</v>
      </c>
      <c r="CF47" s="116">
        <v>0</v>
      </c>
      <c r="CG47" s="116">
        <v>0</v>
      </c>
      <c r="CH47" s="116">
        <v>0</v>
      </c>
      <c r="CI47" s="116">
        <v>0</v>
      </c>
      <c r="CJ47" s="116">
        <v>0</v>
      </c>
      <c r="CK47" s="116">
        <v>0</v>
      </c>
      <c r="CL47" s="116">
        <v>0</v>
      </c>
      <c r="CM47" s="116">
        <v>0</v>
      </c>
      <c r="CN47" s="116">
        <v>0</v>
      </c>
      <c r="CO47" s="116">
        <v>20</v>
      </c>
      <c r="CP47" s="116">
        <v>19</v>
      </c>
      <c r="CQ47" s="116">
        <v>20</v>
      </c>
      <c r="CR47" s="116">
        <v>19</v>
      </c>
      <c r="CS47" s="116">
        <v>20</v>
      </c>
      <c r="CT47" s="116">
        <v>19</v>
      </c>
      <c r="CU47" s="116">
        <v>0</v>
      </c>
      <c r="CV47" s="116">
        <v>20</v>
      </c>
      <c r="CW47" s="116">
        <v>19</v>
      </c>
      <c r="CX47" s="116">
        <v>20</v>
      </c>
      <c r="CY47" s="116">
        <v>19</v>
      </c>
      <c r="CZ47" s="116">
        <v>0</v>
      </c>
      <c r="DA47" s="116">
        <v>360</v>
      </c>
      <c r="DB47" s="116">
        <v>0</v>
      </c>
      <c r="DC47" s="116">
        <v>0</v>
      </c>
      <c r="DD47" s="116">
        <v>0</v>
      </c>
      <c r="DE47" s="116">
        <v>0</v>
      </c>
      <c r="DF47" s="116">
        <v>0</v>
      </c>
      <c r="DG47" s="116">
        <v>0</v>
      </c>
      <c r="DH47" s="116">
        <v>0</v>
      </c>
      <c r="DI47" s="116">
        <v>0</v>
      </c>
      <c r="DJ47" s="116">
        <v>0</v>
      </c>
      <c r="DK47" s="116">
        <v>0</v>
      </c>
      <c r="DL47" s="116">
        <v>0</v>
      </c>
      <c r="DM47" s="116">
        <v>0</v>
      </c>
      <c r="DN47" s="116">
        <v>0</v>
      </c>
      <c r="DO47" s="116">
        <v>0</v>
      </c>
      <c r="DP47" s="116">
        <v>0</v>
      </c>
      <c r="DQ47" s="116">
        <v>0</v>
      </c>
      <c r="DR47" s="116">
        <v>0</v>
      </c>
      <c r="DS47" s="116">
        <v>0</v>
      </c>
      <c r="DT47" s="116">
        <v>0</v>
      </c>
      <c r="DU47" s="116">
        <v>0</v>
      </c>
      <c r="DV47" s="116">
        <v>0</v>
      </c>
      <c r="DW47" s="116">
        <v>0</v>
      </c>
      <c r="DX47" s="116">
        <v>0</v>
      </c>
      <c r="DY47" s="116">
        <v>0</v>
      </c>
      <c r="DZ47" s="116">
        <v>0</v>
      </c>
      <c r="EA47" s="116">
        <v>0</v>
      </c>
      <c r="EB47" s="116">
        <v>0</v>
      </c>
      <c r="EC47" s="116">
        <v>0</v>
      </c>
      <c r="ED47" s="116">
        <v>0</v>
      </c>
      <c r="EE47" s="116">
        <v>0</v>
      </c>
      <c r="EF47" s="116">
        <v>0</v>
      </c>
      <c r="EG47" s="116">
        <v>0</v>
      </c>
      <c r="EH47" t="s">
        <v>55</v>
      </c>
      <c r="EI47" t="str">
        <f t="shared" si="8"/>
        <v>86790-0K171</v>
      </c>
      <c r="EJ47" t="s">
        <v>41</v>
      </c>
      <c r="EK47" t="str">
        <f>VLOOKUP(EJ47,'By Plant'!B:D,3,0)</f>
        <v>SR</v>
      </c>
      <c r="EL47" t="str">
        <f t="shared" si="9"/>
        <v>86790-0K171SRS1</v>
      </c>
      <c r="EM47" t="str">
        <f t="shared" si="7"/>
        <v/>
      </c>
    </row>
    <row r="48" spans="1:157" x14ac:dyDescent="0.3">
      <c r="A48" t="str">
        <f t="shared" si="10"/>
        <v>86790-0K310SR</v>
      </c>
      <c r="B48" s="230" t="s">
        <v>166</v>
      </c>
      <c r="C48" s="115" t="s">
        <v>167</v>
      </c>
      <c r="D48" s="115" t="s">
        <v>151</v>
      </c>
      <c r="E48" s="115" t="s">
        <v>331</v>
      </c>
      <c r="F48" s="115" t="s">
        <v>365</v>
      </c>
      <c r="G48" s="115" t="s">
        <v>152</v>
      </c>
      <c r="H48" s="115" t="s">
        <v>191</v>
      </c>
      <c r="I48" s="116">
        <v>25</v>
      </c>
      <c r="J48" s="116">
        <v>0</v>
      </c>
      <c r="K48" s="116">
        <v>3</v>
      </c>
      <c r="L48" s="116">
        <v>3</v>
      </c>
      <c r="M48" s="116">
        <v>3</v>
      </c>
      <c r="N48" s="116">
        <v>3</v>
      </c>
      <c r="O48" s="116">
        <v>3</v>
      </c>
      <c r="P48" s="116">
        <v>0</v>
      </c>
      <c r="Q48" s="116">
        <v>0</v>
      </c>
      <c r="R48" s="116">
        <v>3</v>
      </c>
      <c r="S48" s="116">
        <v>3</v>
      </c>
      <c r="T48" s="116">
        <v>4</v>
      </c>
      <c r="U48" s="116">
        <v>3</v>
      </c>
      <c r="V48" s="116">
        <v>3</v>
      </c>
      <c r="W48" s="116">
        <v>3</v>
      </c>
      <c r="X48" s="116">
        <v>0</v>
      </c>
      <c r="Y48" s="116">
        <v>3</v>
      </c>
      <c r="Z48" s="116">
        <v>3</v>
      </c>
      <c r="AA48" s="116">
        <v>3</v>
      </c>
      <c r="AB48" s="116">
        <v>3</v>
      </c>
      <c r="AC48" s="116">
        <v>3</v>
      </c>
      <c r="AD48" s="116">
        <v>0</v>
      </c>
      <c r="AE48" s="116">
        <v>0</v>
      </c>
      <c r="AF48" s="116">
        <v>3</v>
      </c>
      <c r="AG48" s="116">
        <v>4</v>
      </c>
      <c r="AH48" s="116">
        <v>3</v>
      </c>
      <c r="AI48" s="116">
        <v>4</v>
      </c>
      <c r="AJ48" s="116">
        <v>4</v>
      </c>
      <c r="AK48" s="116">
        <v>3</v>
      </c>
      <c r="AL48" s="116">
        <v>0</v>
      </c>
      <c r="AM48" s="116">
        <v>0</v>
      </c>
      <c r="AN48" s="116">
        <v>0</v>
      </c>
      <c r="AO48" s="116">
        <v>70</v>
      </c>
      <c r="AP48" s="116">
        <v>0</v>
      </c>
      <c r="AQ48" s="116">
        <v>0</v>
      </c>
      <c r="AR48" s="116">
        <v>0</v>
      </c>
      <c r="AS48" s="116">
        <v>4</v>
      </c>
      <c r="AT48" s="116">
        <v>4</v>
      </c>
      <c r="AU48" s="116">
        <v>5</v>
      </c>
      <c r="AV48" s="116">
        <v>2</v>
      </c>
      <c r="AW48" s="116">
        <v>0</v>
      </c>
      <c r="AX48" s="116">
        <v>4</v>
      </c>
      <c r="AY48" s="116">
        <v>5</v>
      </c>
      <c r="AZ48" s="116">
        <v>4</v>
      </c>
      <c r="BA48" s="116">
        <v>5</v>
      </c>
      <c r="BB48" s="116">
        <v>5</v>
      </c>
      <c r="BC48" s="116">
        <v>4</v>
      </c>
      <c r="BD48" s="116">
        <v>0</v>
      </c>
      <c r="BE48" s="116">
        <v>5</v>
      </c>
      <c r="BF48" s="116">
        <v>4</v>
      </c>
      <c r="BG48" s="116">
        <v>5</v>
      </c>
      <c r="BH48" s="116">
        <v>5</v>
      </c>
      <c r="BI48" s="116">
        <v>5</v>
      </c>
      <c r="BJ48" s="116">
        <v>0</v>
      </c>
      <c r="BK48" s="116">
        <v>0</v>
      </c>
      <c r="BL48" s="116">
        <v>4</v>
      </c>
      <c r="BM48" s="116">
        <v>5</v>
      </c>
      <c r="BN48" s="116">
        <v>5</v>
      </c>
      <c r="BO48" s="116">
        <v>5</v>
      </c>
      <c r="BP48" s="116">
        <v>4</v>
      </c>
      <c r="BQ48" s="116">
        <v>5</v>
      </c>
      <c r="BR48" s="116">
        <v>0</v>
      </c>
      <c r="BS48" s="116">
        <v>4</v>
      </c>
      <c r="BT48" s="116">
        <v>5</v>
      </c>
      <c r="BU48" s="116">
        <v>103</v>
      </c>
      <c r="BV48" s="116">
        <v>20</v>
      </c>
      <c r="BW48" s="116">
        <v>20</v>
      </c>
      <c r="BX48" s="116">
        <v>20</v>
      </c>
      <c r="BY48" s="116">
        <v>10</v>
      </c>
      <c r="BZ48" s="116">
        <v>0</v>
      </c>
      <c r="CA48" s="116">
        <v>20</v>
      </c>
      <c r="CB48" s="116">
        <v>20</v>
      </c>
      <c r="CC48" s="116">
        <v>19</v>
      </c>
      <c r="CD48" s="116">
        <v>20</v>
      </c>
      <c r="CE48" s="116">
        <v>19</v>
      </c>
      <c r="CF48" s="116">
        <v>0</v>
      </c>
      <c r="CG48" s="116">
        <v>0</v>
      </c>
      <c r="CH48" s="116">
        <v>0</v>
      </c>
      <c r="CI48" s="116">
        <v>0</v>
      </c>
      <c r="CJ48" s="116">
        <v>0</v>
      </c>
      <c r="CK48" s="116">
        <v>0</v>
      </c>
      <c r="CL48" s="116">
        <v>0</v>
      </c>
      <c r="CM48" s="116">
        <v>0</v>
      </c>
      <c r="CN48" s="116">
        <v>0</v>
      </c>
      <c r="CO48" s="116">
        <v>20</v>
      </c>
      <c r="CP48" s="116">
        <v>19</v>
      </c>
      <c r="CQ48" s="116">
        <v>20</v>
      </c>
      <c r="CR48" s="116">
        <v>19</v>
      </c>
      <c r="CS48" s="116">
        <v>20</v>
      </c>
      <c r="CT48" s="116">
        <v>19</v>
      </c>
      <c r="CU48" s="116">
        <v>0</v>
      </c>
      <c r="CV48" s="116">
        <v>20</v>
      </c>
      <c r="CW48" s="116">
        <v>19</v>
      </c>
      <c r="CX48" s="116">
        <v>20</v>
      </c>
      <c r="CY48" s="116">
        <v>19</v>
      </c>
      <c r="CZ48" s="116">
        <v>0</v>
      </c>
      <c r="DA48" s="116">
        <v>363</v>
      </c>
      <c r="DB48" s="116">
        <v>0</v>
      </c>
      <c r="DC48" s="116">
        <v>0</v>
      </c>
      <c r="DD48" s="116">
        <v>0</v>
      </c>
      <c r="DE48" s="116">
        <v>3</v>
      </c>
      <c r="DF48" s="116">
        <v>3</v>
      </c>
      <c r="DG48" s="116">
        <v>3</v>
      </c>
      <c r="DH48" s="116">
        <v>3</v>
      </c>
      <c r="DI48" s="116">
        <v>2</v>
      </c>
      <c r="DJ48" s="116">
        <v>3</v>
      </c>
      <c r="DK48" s="116">
        <v>0</v>
      </c>
      <c r="DL48" s="116">
        <v>2</v>
      </c>
      <c r="DM48" s="116">
        <v>3</v>
      </c>
      <c r="DN48" s="116">
        <v>2</v>
      </c>
      <c r="DO48" s="116">
        <v>3</v>
      </c>
      <c r="DP48" s="116">
        <v>2</v>
      </c>
      <c r="DQ48" s="116">
        <v>1</v>
      </c>
      <c r="DR48" s="116">
        <v>0</v>
      </c>
      <c r="DS48" s="116">
        <v>3</v>
      </c>
      <c r="DT48" s="116">
        <v>3</v>
      </c>
      <c r="DU48" s="116">
        <v>2</v>
      </c>
      <c r="DV48" s="116">
        <v>3</v>
      </c>
      <c r="DW48" s="116">
        <v>2</v>
      </c>
      <c r="DX48" s="116">
        <v>3</v>
      </c>
      <c r="DY48" s="116">
        <v>0</v>
      </c>
      <c r="DZ48" s="116">
        <v>2</v>
      </c>
      <c r="EA48" s="116">
        <v>3</v>
      </c>
      <c r="EB48" s="116">
        <v>2</v>
      </c>
      <c r="EC48" s="116">
        <v>3</v>
      </c>
      <c r="ED48" s="116">
        <v>2</v>
      </c>
      <c r="EE48" s="116">
        <v>0</v>
      </c>
      <c r="EF48" s="116">
        <v>0</v>
      </c>
      <c r="EG48" s="116">
        <v>58</v>
      </c>
      <c r="EH48" t="s">
        <v>55</v>
      </c>
      <c r="EI48" t="str">
        <f t="shared" si="8"/>
        <v>86790-0K310</v>
      </c>
      <c r="EJ48" t="s">
        <v>117</v>
      </c>
      <c r="EK48" t="s">
        <v>55</v>
      </c>
      <c r="EL48" t="str">
        <f t="shared" si="9"/>
        <v>86790-0K310SRS1</v>
      </c>
      <c r="EM48" t="str">
        <f t="shared" si="7"/>
        <v/>
      </c>
    </row>
    <row r="49" spans="1:143" x14ac:dyDescent="0.3">
      <c r="A49" t="str">
        <f t="shared" si="10"/>
        <v>86790-0K400SR</v>
      </c>
      <c r="B49" s="230" t="s">
        <v>168</v>
      </c>
      <c r="C49" s="115" t="s">
        <v>169</v>
      </c>
      <c r="D49" s="115" t="s">
        <v>151</v>
      </c>
      <c r="E49" s="115" t="s">
        <v>331</v>
      </c>
      <c r="F49" s="115" t="s">
        <v>365</v>
      </c>
      <c r="G49" s="115" t="s">
        <v>152</v>
      </c>
      <c r="H49" s="115" t="s">
        <v>191</v>
      </c>
      <c r="I49" s="116">
        <v>38</v>
      </c>
      <c r="J49" s="116">
        <v>0</v>
      </c>
      <c r="K49" s="116">
        <v>3</v>
      </c>
      <c r="L49" s="116">
        <v>3</v>
      </c>
      <c r="M49" s="116">
        <v>3</v>
      </c>
      <c r="N49" s="116">
        <v>3</v>
      </c>
      <c r="O49" s="116">
        <v>3</v>
      </c>
      <c r="P49" s="116">
        <v>0</v>
      </c>
      <c r="Q49" s="116">
        <v>0</v>
      </c>
      <c r="R49" s="116">
        <v>3</v>
      </c>
      <c r="S49" s="116">
        <v>3</v>
      </c>
      <c r="T49" s="116">
        <v>4</v>
      </c>
      <c r="U49" s="116">
        <v>3</v>
      </c>
      <c r="V49" s="116">
        <v>3</v>
      </c>
      <c r="W49" s="116">
        <v>3</v>
      </c>
      <c r="X49" s="116">
        <v>0</v>
      </c>
      <c r="Y49" s="116">
        <v>3</v>
      </c>
      <c r="Z49" s="116">
        <v>3</v>
      </c>
      <c r="AA49" s="116">
        <v>3</v>
      </c>
      <c r="AB49" s="116">
        <v>3</v>
      </c>
      <c r="AC49" s="116">
        <v>3</v>
      </c>
      <c r="AD49" s="116">
        <v>0</v>
      </c>
      <c r="AE49" s="116">
        <v>0</v>
      </c>
      <c r="AF49" s="116">
        <v>3</v>
      </c>
      <c r="AG49" s="116">
        <v>4</v>
      </c>
      <c r="AH49" s="116">
        <v>3</v>
      </c>
      <c r="AI49" s="116">
        <v>4</v>
      </c>
      <c r="AJ49" s="116">
        <v>4</v>
      </c>
      <c r="AK49" s="116">
        <v>3</v>
      </c>
      <c r="AL49" s="116">
        <v>0</v>
      </c>
      <c r="AM49" s="116">
        <v>0</v>
      </c>
      <c r="AN49" s="116">
        <v>0</v>
      </c>
      <c r="AO49" s="116">
        <v>70</v>
      </c>
      <c r="AP49" s="116">
        <v>0</v>
      </c>
      <c r="AQ49" s="116">
        <v>0</v>
      </c>
      <c r="AR49" s="116">
        <v>0</v>
      </c>
      <c r="AS49" s="116">
        <v>4</v>
      </c>
      <c r="AT49" s="116">
        <v>4</v>
      </c>
      <c r="AU49" s="116">
        <v>5</v>
      </c>
      <c r="AV49" s="116">
        <v>2</v>
      </c>
      <c r="AW49" s="116">
        <v>0</v>
      </c>
      <c r="AX49" s="116">
        <v>4</v>
      </c>
      <c r="AY49" s="116">
        <v>5</v>
      </c>
      <c r="AZ49" s="116">
        <v>4</v>
      </c>
      <c r="BA49" s="116">
        <v>5</v>
      </c>
      <c r="BB49" s="116">
        <v>5</v>
      </c>
      <c r="BC49" s="116">
        <v>4</v>
      </c>
      <c r="BD49" s="116">
        <v>0</v>
      </c>
      <c r="BE49" s="116">
        <v>5</v>
      </c>
      <c r="BF49" s="116">
        <v>4</v>
      </c>
      <c r="BG49" s="116">
        <v>5</v>
      </c>
      <c r="BH49" s="116">
        <v>5</v>
      </c>
      <c r="BI49" s="116">
        <v>5</v>
      </c>
      <c r="BJ49" s="116">
        <v>0</v>
      </c>
      <c r="BK49" s="116">
        <v>0</v>
      </c>
      <c r="BL49" s="116">
        <v>4</v>
      </c>
      <c r="BM49" s="116">
        <v>5</v>
      </c>
      <c r="BN49" s="116">
        <v>5</v>
      </c>
      <c r="BO49" s="116">
        <v>5</v>
      </c>
      <c r="BP49" s="116">
        <v>4</v>
      </c>
      <c r="BQ49" s="116">
        <v>5</v>
      </c>
      <c r="BR49" s="116">
        <v>0</v>
      </c>
      <c r="BS49" s="116">
        <v>4</v>
      </c>
      <c r="BT49" s="116">
        <v>5</v>
      </c>
      <c r="BU49" s="116">
        <v>103</v>
      </c>
      <c r="BV49" s="116">
        <v>20</v>
      </c>
      <c r="BW49" s="116">
        <v>20</v>
      </c>
      <c r="BX49" s="116">
        <v>20</v>
      </c>
      <c r="BY49" s="116">
        <v>10</v>
      </c>
      <c r="BZ49" s="116">
        <v>0</v>
      </c>
      <c r="CA49" s="116">
        <v>20</v>
      </c>
      <c r="CB49" s="116">
        <v>20</v>
      </c>
      <c r="CC49" s="116">
        <v>19</v>
      </c>
      <c r="CD49" s="116">
        <v>20</v>
      </c>
      <c r="CE49" s="116">
        <v>19</v>
      </c>
      <c r="CF49" s="116">
        <v>0</v>
      </c>
      <c r="CG49" s="116">
        <v>0</v>
      </c>
      <c r="CH49" s="116">
        <v>0</v>
      </c>
      <c r="CI49" s="116">
        <v>0</v>
      </c>
      <c r="CJ49" s="116">
        <v>0</v>
      </c>
      <c r="CK49" s="116">
        <v>0</v>
      </c>
      <c r="CL49" s="116">
        <v>0</v>
      </c>
      <c r="CM49" s="116">
        <v>0</v>
      </c>
      <c r="CN49" s="116">
        <v>0</v>
      </c>
      <c r="CO49" s="116">
        <v>20</v>
      </c>
      <c r="CP49" s="116">
        <v>19</v>
      </c>
      <c r="CQ49" s="116">
        <v>20</v>
      </c>
      <c r="CR49" s="116">
        <v>19</v>
      </c>
      <c r="CS49" s="116">
        <v>20</v>
      </c>
      <c r="CT49" s="116">
        <v>19</v>
      </c>
      <c r="CU49" s="116">
        <v>0</v>
      </c>
      <c r="CV49" s="116">
        <v>20</v>
      </c>
      <c r="CW49" s="116">
        <v>19</v>
      </c>
      <c r="CX49" s="116">
        <v>20</v>
      </c>
      <c r="CY49" s="116">
        <v>19</v>
      </c>
      <c r="CZ49" s="116">
        <v>0</v>
      </c>
      <c r="DA49" s="116">
        <v>363</v>
      </c>
      <c r="DB49" s="116">
        <v>0</v>
      </c>
      <c r="DC49" s="116">
        <v>0</v>
      </c>
      <c r="DD49" s="116">
        <v>0</v>
      </c>
      <c r="DE49" s="116">
        <v>3</v>
      </c>
      <c r="DF49" s="116">
        <v>3</v>
      </c>
      <c r="DG49" s="116">
        <v>3</v>
      </c>
      <c r="DH49" s="116">
        <v>3</v>
      </c>
      <c r="DI49" s="116">
        <v>2</v>
      </c>
      <c r="DJ49" s="116">
        <v>3</v>
      </c>
      <c r="DK49" s="116">
        <v>0</v>
      </c>
      <c r="DL49" s="116">
        <v>2</v>
      </c>
      <c r="DM49" s="116">
        <v>3</v>
      </c>
      <c r="DN49" s="116">
        <v>2</v>
      </c>
      <c r="DO49" s="116">
        <v>3</v>
      </c>
      <c r="DP49" s="116">
        <v>2</v>
      </c>
      <c r="DQ49" s="116">
        <v>1</v>
      </c>
      <c r="DR49" s="116">
        <v>0</v>
      </c>
      <c r="DS49" s="116">
        <v>3</v>
      </c>
      <c r="DT49" s="116">
        <v>3</v>
      </c>
      <c r="DU49" s="116">
        <v>2</v>
      </c>
      <c r="DV49" s="116">
        <v>3</v>
      </c>
      <c r="DW49" s="116">
        <v>2</v>
      </c>
      <c r="DX49" s="116">
        <v>3</v>
      </c>
      <c r="DY49" s="116">
        <v>0</v>
      </c>
      <c r="DZ49" s="116">
        <v>2</v>
      </c>
      <c r="EA49" s="116">
        <v>3</v>
      </c>
      <c r="EB49" s="116">
        <v>2</v>
      </c>
      <c r="EC49" s="116">
        <v>3</v>
      </c>
      <c r="ED49" s="116">
        <v>2</v>
      </c>
      <c r="EE49" s="116">
        <v>0</v>
      </c>
      <c r="EF49" s="116">
        <v>0</v>
      </c>
      <c r="EG49" s="116">
        <v>58</v>
      </c>
      <c r="EH49" t="s">
        <v>55</v>
      </c>
      <c r="EI49" t="str">
        <f t="shared" si="8"/>
        <v>86790-0K400</v>
      </c>
      <c r="EJ49" t="s">
        <v>118</v>
      </c>
      <c r="EK49" t="s">
        <v>55</v>
      </c>
      <c r="EL49" t="str">
        <f t="shared" si="9"/>
        <v>86790-0K400SRS1</v>
      </c>
      <c r="EM49" t="str">
        <f t="shared" si="7"/>
        <v/>
      </c>
    </row>
    <row r="50" spans="1:143" x14ac:dyDescent="0.3">
      <c r="A50" t="str">
        <f t="shared" si="10"/>
        <v/>
      </c>
      <c r="B50" s="169"/>
      <c r="C50" s="170"/>
      <c r="D50" s="170"/>
      <c r="E50" s="170"/>
      <c r="F50" s="170"/>
      <c r="G50" s="170"/>
      <c r="H50" s="170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  <c r="BA50" s="171"/>
      <c r="BB50" s="171"/>
      <c r="BC50" s="171"/>
      <c r="BD50" s="171"/>
      <c r="BE50" s="171"/>
      <c r="BF50" s="171"/>
      <c r="BG50" s="171"/>
      <c r="BH50" s="171"/>
      <c r="BI50" s="171"/>
      <c r="BJ50" s="171"/>
      <c r="BK50" s="171"/>
      <c r="BL50" s="171"/>
      <c r="BM50" s="171"/>
      <c r="BN50" s="171"/>
      <c r="BO50" s="171"/>
      <c r="BP50" s="171"/>
      <c r="BQ50" s="171"/>
      <c r="BR50" s="171"/>
      <c r="BS50" s="171"/>
      <c r="BT50" s="171"/>
      <c r="BU50" s="171"/>
      <c r="BV50" s="171"/>
      <c r="BW50" s="171"/>
      <c r="BX50" s="171"/>
      <c r="BY50" s="171"/>
      <c r="BZ50" s="171"/>
      <c r="CA50" s="171"/>
      <c r="CB50" s="171"/>
      <c r="CC50" s="171"/>
      <c r="CD50" s="171"/>
      <c r="CE50" s="171"/>
      <c r="CF50" s="171"/>
      <c r="CG50" s="171"/>
      <c r="CH50" s="171"/>
      <c r="CI50" s="171"/>
      <c r="CJ50" s="171"/>
      <c r="CK50" s="171"/>
      <c r="CL50" s="171"/>
      <c r="CM50" s="171"/>
      <c r="CN50" s="171"/>
      <c r="CO50" s="171"/>
      <c r="CP50" s="171"/>
      <c r="CQ50" s="171"/>
      <c r="CR50" s="171"/>
      <c r="CS50" s="171"/>
      <c r="CT50" s="171"/>
      <c r="CU50" s="171"/>
      <c r="CV50" s="171"/>
      <c r="CW50" s="171"/>
      <c r="CX50" s="171"/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71"/>
      <c r="DL50" s="171"/>
      <c r="DM50" s="171"/>
      <c r="DN50" s="171"/>
      <c r="DO50" s="171"/>
      <c r="DP50" s="171"/>
      <c r="DQ50" s="171"/>
      <c r="DR50" s="171"/>
      <c r="DS50" s="171"/>
      <c r="DT50" s="171"/>
      <c r="DU50" s="171"/>
      <c r="DV50" s="171"/>
      <c r="DW50" s="171"/>
      <c r="DX50" s="171"/>
      <c r="DY50" s="171"/>
      <c r="DZ50" s="171"/>
      <c r="EA50" s="171"/>
      <c r="EB50" s="171"/>
      <c r="EC50" s="171"/>
      <c r="ED50" s="171"/>
      <c r="EE50" s="171"/>
      <c r="EF50" s="171"/>
      <c r="EG50" s="171"/>
      <c r="EI50" t="str">
        <f t="shared" si="8"/>
        <v/>
      </c>
      <c r="EL50" t="str">
        <f t="shared" si="9"/>
        <v/>
      </c>
      <c r="EM50" t="str">
        <f t="shared" si="7"/>
        <v/>
      </c>
    </row>
    <row r="51" spans="1:143" x14ac:dyDescent="0.3">
      <c r="A51" t="str">
        <f t="shared" si="10"/>
        <v/>
      </c>
      <c r="B51" s="169"/>
      <c r="C51" s="170"/>
      <c r="D51" s="170"/>
      <c r="E51" s="170"/>
      <c r="F51" s="170"/>
      <c r="G51" s="170"/>
      <c r="H51" s="170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171"/>
      <c r="BD51" s="171"/>
      <c r="BE51" s="171"/>
      <c r="BF51" s="171"/>
      <c r="BG51" s="171"/>
      <c r="BH51" s="171"/>
      <c r="BI51" s="171"/>
      <c r="BJ51" s="171"/>
      <c r="BK51" s="171"/>
      <c r="BL51" s="171"/>
      <c r="BM51" s="171"/>
      <c r="BN51" s="171"/>
      <c r="BO51" s="171"/>
      <c r="BP51" s="171"/>
      <c r="BQ51" s="171"/>
      <c r="BR51" s="171"/>
      <c r="BS51" s="171"/>
      <c r="BT51" s="171"/>
      <c r="BU51" s="171"/>
      <c r="BV51" s="171"/>
      <c r="BW51" s="171"/>
      <c r="BX51" s="171"/>
      <c r="BY51" s="171"/>
      <c r="BZ51" s="171"/>
      <c r="CA51" s="171"/>
      <c r="CB51" s="171"/>
      <c r="CC51" s="171"/>
      <c r="CD51" s="171"/>
      <c r="CE51" s="171"/>
      <c r="CF51" s="171"/>
      <c r="CG51" s="171"/>
      <c r="CH51" s="171"/>
      <c r="CI51" s="171"/>
      <c r="CJ51" s="171"/>
      <c r="CK51" s="171"/>
      <c r="CL51" s="171"/>
      <c r="CM51" s="171"/>
      <c r="CN51" s="171"/>
      <c r="CO51" s="171"/>
      <c r="CP51" s="171"/>
      <c r="CQ51" s="171"/>
      <c r="CR51" s="171"/>
      <c r="CS51" s="171"/>
      <c r="CT51" s="171"/>
      <c r="CU51" s="171"/>
      <c r="CV51" s="171"/>
      <c r="CW51" s="171"/>
      <c r="CX51" s="171"/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71"/>
      <c r="DL51" s="171"/>
      <c r="DM51" s="171"/>
      <c r="DN51" s="171"/>
      <c r="DO51" s="171"/>
      <c r="DP51" s="171"/>
      <c r="DQ51" s="171"/>
      <c r="DR51" s="171"/>
      <c r="DS51" s="171"/>
      <c r="DT51" s="171"/>
      <c r="DU51" s="171"/>
      <c r="DV51" s="171"/>
      <c r="DW51" s="171"/>
      <c r="DX51" s="171"/>
      <c r="DY51" s="171"/>
      <c r="DZ51" s="171"/>
      <c r="EA51" s="171"/>
      <c r="EB51" s="171"/>
      <c r="EC51" s="171"/>
      <c r="ED51" s="171"/>
      <c r="EE51" s="171"/>
      <c r="EF51" s="171"/>
      <c r="EG51" s="171"/>
      <c r="EI51" t="str">
        <f t="shared" si="8"/>
        <v/>
      </c>
      <c r="EL51" t="str">
        <f t="shared" si="9"/>
        <v/>
      </c>
      <c r="EM51" t="str">
        <f t="shared" si="7"/>
        <v/>
      </c>
    </row>
    <row r="52" spans="1:143" x14ac:dyDescent="0.3">
      <c r="A52" t="str">
        <f t="shared" si="10"/>
        <v/>
      </c>
      <c r="B52" s="169"/>
      <c r="C52" s="170"/>
      <c r="D52" s="170"/>
      <c r="E52" s="170"/>
      <c r="F52" s="170"/>
      <c r="G52" s="170"/>
      <c r="H52" s="170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  <c r="BD52" s="171"/>
      <c r="BE52" s="171"/>
      <c r="BF52" s="171"/>
      <c r="BG52" s="171"/>
      <c r="BH52" s="171"/>
      <c r="BI52" s="171"/>
      <c r="BJ52" s="171"/>
      <c r="BK52" s="171"/>
      <c r="BL52" s="171"/>
      <c r="BM52" s="171"/>
      <c r="BN52" s="171"/>
      <c r="BO52" s="171"/>
      <c r="BP52" s="171"/>
      <c r="BQ52" s="171"/>
      <c r="BR52" s="171"/>
      <c r="BS52" s="171"/>
      <c r="BT52" s="171"/>
      <c r="BU52" s="171"/>
      <c r="BV52" s="171"/>
      <c r="BW52" s="171"/>
      <c r="BX52" s="171"/>
      <c r="BY52" s="171"/>
      <c r="BZ52" s="171"/>
      <c r="CA52" s="171"/>
      <c r="CB52" s="171"/>
      <c r="CC52" s="171"/>
      <c r="CD52" s="171"/>
      <c r="CE52" s="171"/>
      <c r="CF52" s="171"/>
      <c r="CG52" s="171"/>
      <c r="CH52" s="171"/>
      <c r="CI52" s="171"/>
      <c r="CJ52" s="171"/>
      <c r="CK52" s="171"/>
      <c r="CL52" s="171"/>
      <c r="CM52" s="171"/>
      <c r="CN52" s="171"/>
      <c r="CO52" s="171"/>
      <c r="CP52" s="171"/>
      <c r="CQ52" s="171"/>
      <c r="CR52" s="171"/>
      <c r="CS52" s="171"/>
      <c r="CT52" s="171"/>
      <c r="CU52" s="171"/>
      <c r="CV52" s="171"/>
      <c r="CW52" s="171"/>
      <c r="CX52" s="171"/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71"/>
      <c r="DL52" s="171"/>
      <c r="DM52" s="171"/>
      <c r="DN52" s="171"/>
      <c r="DO52" s="171"/>
      <c r="DP52" s="171"/>
      <c r="DQ52" s="171"/>
      <c r="DR52" s="171"/>
      <c r="DS52" s="171"/>
      <c r="DT52" s="171"/>
      <c r="DU52" s="171"/>
      <c r="DV52" s="171"/>
      <c r="DW52" s="171"/>
      <c r="DX52" s="171"/>
      <c r="DY52" s="171"/>
      <c r="DZ52" s="171"/>
      <c r="EA52" s="171"/>
      <c r="EB52" s="171"/>
      <c r="EC52" s="171"/>
      <c r="ED52" s="171"/>
      <c r="EE52" s="171"/>
      <c r="EF52" s="171"/>
      <c r="EG52" s="171"/>
      <c r="EI52" t="str">
        <f t="shared" si="8"/>
        <v/>
      </c>
      <c r="EL52" t="str">
        <f t="shared" si="9"/>
        <v/>
      </c>
      <c r="EM52" t="str">
        <f t="shared" si="7"/>
        <v/>
      </c>
    </row>
    <row r="53" spans="1:143" x14ac:dyDescent="0.3">
      <c r="A53" t="str">
        <f t="shared" si="10"/>
        <v/>
      </c>
      <c r="B53" s="169"/>
      <c r="C53" s="170"/>
      <c r="D53" s="170"/>
      <c r="E53" s="170"/>
      <c r="F53" s="170"/>
      <c r="G53" s="170"/>
      <c r="H53" s="170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171"/>
      <c r="BD53" s="171"/>
      <c r="BE53" s="171"/>
      <c r="BF53" s="171"/>
      <c r="BG53" s="171"/>
      <c r="BH53" s="171"/>
      <c r="BI53" s="171"/>
      <c r="BJ53" s="171"/>
      <c r="BK53" s="171"/>
      <c r="BL53" s="171"/>
      <c r="BM53" s="171"/>
      <c r="BN53" s="171"/>
      <c r="BO53" s="171"/>
      <c r="BP53" s="171"/>
      <c r="BQ53" s="171"/>
      <c r="BR53" s="171"/>
      <c r="BS53" s="171"/>
      <c r="BT53" s="171"/>
      <c r="BU53" s="171"/>
      <c r="BV53" s="171"/>
      <c r="BW53" s="171"/>
      <c r="BX53" s="171"/>
      <c r="BY53" s="171"/>
      <c r="BZ53" s="171"/>
      <c r="CA53" s="171"/>
      <c r="CB53" s="171"/>
      <c r="CC53" s="171"/>
      <c r="CD53" s="171"/>
      <c r="CE53" s="171"/>
      <c r="CF53" s="171"/>
      <c r="CG53" s="171"/>
      <c r="CH53" s="171"/>
      <c r="CI53" s="171"/>
      <c r="CJ53" s="171"/>
      <c r="CK53" s="171"/>
      <c r="CL53" s="171"/>
      <c r="CM53" s="171"/>
      <c r="CN53" s="171"/>
      <c r="CO53" s="171"/>
      <c r="CP53" s="171"/>
      <c r="CQ53" s="171"/>
      <c r="CR53" s="171"/>
      <c r="CS53" s="171"/>
      <c r="CT53" s="171"/>
      <c r="CU53" s="171"/>
      <c r="CV53" s="171"/>
      <c r="CW53" s="171"/>
      <c r="CX53" s="171"/>
      <c r="CY53" s="171"/>
      <c r="CZ53" s="171"/>
      <c r="DA53" s="171"/>
      <c r="DB53" s="171"/>
      <c r="DC53" s="171"/>
      <c r="DD53" s="171"/>
      <c r="DE53" s="171"/>
      <c r="DF53" s="171"/>
      <c r="DG53" s="171"/>
      <c r="DH53" s="171"/>
      <c r="DI53" s="171"/>
      <c r="DJ53" s="171"/>
      <c r="DK53" s="171"/>
      <c r="DL53" s="171"/>
      <c r="DM53" s="171"/>
      <c r="DN53" s="171"/>
      <c r="DO53" s="171"/>
      <c r="DP53" s="171"/>
      <c r="DQ53" s="171"/>
      <c r="DR53" s="171"/>
      <c r="DS53" s="171"/>
      <c r="DT53" s="171"/>
      <c r="DU53" s="171"/>
      <c r="DV53" s="171"/>
      <c r="DW53" s="171"/>
      <c r="DX53" s="171"/>
      <c r="DY53" s="171"/>
      <c r="DZ53" s="171"/>
      <c r="EA53" s="171"/>
      <c r="EB53" s="171"/>
      <c r="EC53" s="171"/>
      <c r="ED53" s="171"/>
      <c r="EE53" s="171"/>
      <c r="EF53" s="171"/>
      <c r="EG53" s="171"/>
      <c r="EI53" t="str">
        <f t="shared" si="8"/>
        <v/>
      </c>
      <c r="EL53" t="str">
        <f t="shared" si="9"/>
        <v/>
      </c>
      <c r="EM53" t="str">
        <f t="shared" si="7"/>
        <v/>
      </c>
    </row>
    <row r="54" spans="1:143" x14ac:dyDescent="0.3">
      <c r="A54" t="str">
        <f t="shared" si="10"/>
        <v/>
      </c>
      <c r="B54" s="169"/>
      <c r="C54" s="170"/>
      <c r="D54" s="170"/>
      <c r="E54" s="170"/>
      <c r="F54" s="170"/>
      <c r="G54" s="170"/>
      <c r="H54" s="170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/>
      <c r="BB54" s="171"/>
      <c r="BC54" s="171"/>
      <c r="BD54" s="171"/>
      <c r="BE54" s="171"/>
      <c r="BF54" s="171"/>
      <c r="BG54" s="171"/>
      <c r="BH54" s="171"/>
      <c r="BI54" s="171"/>
      <c r="BJ54" s="171"/>
      <c r="BK54" s="171"/>
      <c r="BL54" s="171"/>
      <c r="BM54" s="171"/>
      <c r="BN54" s="171"/>
      <c r="BO54" s="171"/>
      <c r="BP54" s="171"/>
      <c r="BQ54" s="171"/>
      <c r="BR54" s="171"/>
      <c r="BS54" s="171"/>
      <c r="BT54" s="171"/>
      <c r="BU54" s="171"/>
      <c r="BV54" s="171"/>
      <c r="BW54" s="171"/>
      <c r="BX54" s="171"/>
      <c r="BY54" s="171"/>
      <c r="BZ54" s="171"/>
      <c r="CA54" s="171"/>
      <c r="CB54" s="171"/>
      <c r="CC54" s="171"/>
      <c r="CD54" s="171"/>
      <c r="CE54" s="171"/>
      <c r="CF54" s="171"/>
      <c r="CG54" s="171"/>
      <c r="CH54" s="171"/>
      <c r="CI54" s="171"/>
      <c r="CJ54" s="171"/>
      <c r="CK54" s="171"/>
      <c r="CL54" s="171"/>
      <c r="CM54" s="171"/>
      <c r="CN54" s="171"/>
      <c r="CO54" s="171"/>
      <c r="CP54" s="171"/>
      <c r="CQ54" s="171"/>
      <c r="CR54" s="171"/>
      <c r="CS54" s="171"/>
      <c r="CT54" s="171"/>
      <c r="CU54" s="171"/>
      <c r="CV54" s="171"/>
      <c r="CW54" s="171"/>
      <c r="CX54" s="171"/>
      <c r="CY54" s="171"/>
      <c r="CZ54" s="171"/>
      <c r="DA54" s="171"/>
      <c r="DB54" s="171"/>
      <c r="DC54" s="171"/>
      <c r="DD54" s="171"/>
      <c r="DE54" s="171"/>
      <c r="DF54" s="171"/>
      <c r="DG54" s="171"/>
      <c r="DH54" s="171"/>
      <c r="DI54" s="171"/>
      <c r="DJ54" s="171"/>
      <c r="DK54" s="171"/>
      <c r="DL54" s="171"/>
      <c r="DM54" s="171"/>
      <c r="DN54" s="171"/>
      <c r="DO54" s="171"/>
      <c r="DP54" s="171"/>
      <c r="DQ54" s="171"/>
      <c r="DR54" s="171"/>
      <c r="DS54" s="171"/>
      <c r="DT54" s="171"/>
      <c r="DU54" s="171"/>
      <c r="DV54" s="171"/>
      <c r="DW54" s="171"/>
      <c r="DX54" s="171"/>
      <c r="DY54" s="171"/>
      <c r="DZ54" s="171"/>
      <c r="EA54" s="171"/>
      <c r="EB54" s="171"/>
      <c r="EC54" s="171"/>
      <c r="ED54" s="171"/>
      <c r="EE54" s="171"/>
      <c r="EF54" s="171"/>
      <c r="EG54" s="171"/>
      <c r="EI54" t="str">
        <f t="shared" si="8"/>
        <v/>
      </c>
      <c r="EL54" t="str">
        <f t="shared" si="9"/>
        <v/>
      </c>
      <c r="EM54" t="str">
        <f t="shared" si="7"/>
        <v/>
      </c>
    </row>
    <row r="55" spans="1:143" x14ac:dyDescent="0.3">
      <c r="A55" t="str">
        <f t="shared" si="10"/>
        <v/>
      </c>
      <c r="B55" s="169"/>
      <c r="C55" s="170"/>
      <c r="D55" s="170"/>
      <c r="E55" s="170"/>
      <c r="F55" s="170"/>
      <c r="G55" s="170"/>
      <c r="H55" s="170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1"/>
      <c r="BL55" s="171"/>
      <c r="BM55" s="171"/>
      <c r="BN55" s="171"/>
      <c r="BO55" s="171"/>
      <c r="BP55" s="171"/>
      <c r="BQ55" s="171"/>
      <c r="BR55" s="171"/>
      <c r="BS55" s="171"/>
      <c r="BT55" s="171"/>
      <c r="BU55" s="171"/>
      <c r="BV55" s="171"/>
      <c r="BW55" s="171"/>
      <c r="BX55" s="171"/>
      <c r="BY55" s="171"/>
      <c r="BZ55" s="171"/>
      <c r="CA55" s="171"/>
      <c r="CB55" s="171"/>
      <c r="CC55" s="171"/>
      <c r="CD55" s="171"/>
      <c r="CE55" s="171"/>
      <c r="CF55" s="171"/>
      <c r="CG55" s="171"/>
      <c r="CH55" s="171"/>
      <c r="CI55" s="171"/>
      <c r="CJ55" s="171"/>
      <c r="CK55" s="171"/>
      <c r="CL55" s="171"/>
      <c r="CM55" s="171"/>
      <c r="CN55" s="171"/>
      <c r="CO55" s="171"/>
      <c r="CP55" s="171"/>
      <c r="CQ55" s="171"/>
      <c r="CR55" s="171"/>
      <c r="CS55" s="171"/>
      <c r="CT55" s="171"/>
      <c r="CU55" s="171"/>
      <c r="CV55" s="171"/>
      <c r="CW55" s="171"/>
      <c r="CX55" s="171"/>
      <c r="CY55" s="171"/>
      <c r="CZ55" s="171"/>
      <c r="DA55" s="171"/>
      <c r="DB55" s="171"/>
      <c r="DC55" s="171"/>
      <c r="DD55" s="171"/>
      <c r="DE55" s="171"/>
      <c r="DF55" s="171"/>
      <c r="DG55" s="171"/>
      <c r="DH55" s="171"/>
      <c r="DI55" s="171"/>
      <c r="DJ55" s="171"/>
      <c r="DK55" s="171"/>
      <c r="DL55" s="171"/>
      <c r="DM55" s="171"/>
      <c r="DN55" s="171"/>
      <c r="DO55" s="171"/>
      <c r="DP55" s="171"/>
      <c r="DQ55" s="171"/>
      <c r="DR55" s="171"/>
      <c r="DS55" s="171"/>
      <c r="DT55" s="171"/>
      <c r="DU55" s="171"/>
      <c r="DV55" s="171"/>
      <c r="DW55" s="171"/>
      <c r="DX55" s="171"/>
      <c r="DY55" s="171"/>
      <c r="DZ55" s="171"/>
      <c r="EA55" s="171"/>
      <c r="EB55" s="171"/>
      <c r="EC55" s="171"/>
      <c r="ED55" s="171"/>
      <c r="EE55" s="171"/>
      <c r="EF55" s="171"/>
      <c r="EG55" s="171"/>
      <c r="EI55" t="str">
        <f t="shared" si="8"/>
        <v/>
      </c>
      <c r="EL55" t="str">
        <f t="shared" si="9"/>
        <v/>
      </c>
    </row>
    <row r="56" spans="1:143" x14ac:dyDescent="0.3">
      <c r="A56" t="str">
        <f t="shared" si="10"/>
        <v/>
      </c>
      <c r="B56" s="169"/>
      <c r="C56" s="170"/>
      <c r="D56" s="170"/>
      <c r="E56" s="170"/>
      <c r="F56" s="170"/>
      <c r="G56" s="170"/>
      <c r="H56" s="170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  <c r="BE56" s="171"/>
      <c r="BF56" s="171"/>
      <c r="BG56" s="171"/>
      <c r="BH56" s="171"/>
      <c r="BI56" s="171"/>
      <c r="BJ56" s="171"/>
      <c r="BK56" s="171"/>
      <c r="BL56" s="171"/>
      <c r="BM56" s="171"/>
      <c r="BN56" s="171"/>
      <c r="BO56" s="171"/>
      <c r="BP56" s="171"/>
      <c r="BQ56" s="171"/>
      <c r="BR56" s="171"/>
      <c r="BS56" s="171"/>
      <c r="BT56" s="171"/>
      <c r="BU56" s="171"/>
      <c r="BV56" s="171"/>
      <c r="BW56" s="171"/>
      <c r="BX56" s="171"/>
      <c r="BY56" s="171"/>
      <c r="BZ56" s="171"/>
      <c r="CA56" s="171"/>
      <c r="CB56" s="171"/>
      <c r="CC56" s="171"/>
      <c r="CD56" s="171"/>
      <c r="CE56" s="171"/>
      <c r="CF56" s="171"/>
      <c r="CG56" s="171"/>
      <c r="CH56" s="171"/>
      <c r="CI56" s="171"/>
      <c r="CJ56" s="171"/>
      <c r="CK56" s="171"/>
      <c r="CL56" s="171"/>
      <c r="CM56" s="171"/>
      <c r="CN56" s="171"/>
      <c r="CO56" s="171"/>
      <c r="CP56" s="171"/>
      <c r="CQ56" s="171"/>
      <c r="CR56" s="171"/>
      <c r="CS56" s="171"/>
      <c r="CT56" s="171"/>
      <c r="CU56" s="171"/>
      <c r="CV56" s="171"/>
      <c r="CW56" s="171"/>
      <c r="CX56" s="171"/>
      <c r="CY56" s="171"/>
      <c r="CZ56" s="171"/>
      <c r="DA56" s="171"/>
      <c r="DB56" s="171"/>
      <c r="DC56" s="171"/>
      <c r="DD56" s="171"/>
      <c r="DE56" s="171"/>
      <c r="DF56" s="171"/>
      <c r="DG56" s="171"/>
      <c r="DH56" s="171"/>
      <c r="DI56" s="171"/>
      <c r="DJ56" s="171"/>
      <c r="DK56" s="171"/>
      <c r="DL56" s="171"/>
      <c r="DM56" s="171"/>
      <c r="DN56" s="171"/>
      <c r="DO56" s="171"/>
      <c r="DP56" s="171"/>
      <c r="DQ56" s="171"/>
      <c r="DR56" s="171"/>
      <c r="DS56" s="171"/>
      <c r="DT56" s="171"/>
      <c r="DU56" s="171"/>
      <c r="DV56" s="171"/>
      <c r="DW56" s="171"/>
      <c r="DX56" s="171"/>
      <c r="DY56" s="171"/>
      <c r="DZ56" s="171"/>
      <c r="EA56" s="171"/>
      <c r="EB56" s="171"/>
      <c r="EC56" s="171"/>
      <c r="ED56" s="171"/>
      <c r="EE56" s="171"/>
      <c r="EF56" s="171"/>
      <c r="EG56" s="171"/>
      <c r="EH56" s="47"/>
      <c r="EI56" t="str">
        <f t="shared" si="8"/>
        <v/>
      </c>
      <c r="EL56" t="str">
        <f t="shared" si="9"/>
        <v/>
      </c>
    </row>
    <row r="57" spans="1:143" x14ac:dyDescent="0.3">
      <c r="B57" s="115"/>
      <c r="C57" s="115"/>
      <c r="D57" s="115"/>
      <c r="E57" s="115"/>
      <c r="F57" s="115"/>
      <c r="G57" s="115"/>
      <c r="H57" s="115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116"/>
      <c r="DA57" s="116"/>
      <c r="DB57" s="116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  <c r="DM57" s="116"/>
      <c r="DN57" s="116"/>
      <c r="DO57" s="116"/>
      <c r="DP57" s="116"/>
      <c r="DQ57" s="116"/>
      <c r="DR57" s="116"/>
      <c r="DS57" s="116"/>
      <c r="DT57" s="116"/>
      <c r="DU57" s="116"/>
      <c r="DV57" s="116"/>
      <c r="DW57" s="116"/>
      <c r="DX57" s="116"/>
      <c r="DY57" s="116"/>
      <c r="DZ57" s="116"/>
      <c r="EA57" s="116"/>
      <c r="EB57" s="116"/>
      <c r="EC57" s="116"/>
      <c r="ED57" s="116"/>
      <c r="EE57" s="116"/>
      <c r="EF57" s="116"/>
      <c r="EG57" s="116"/>
    </row>
    <row r="58" spans="1:143" x14ac:dyDescent="0.3">
      <c r="B58" s="115"/>
      <c r="C58" s="115"/>
      <c r="D58" s="115"/>
      <c r="E58" s="115"/>
      <c r="F58" s="115"/>
      <c r="G58" s="115"/>
      <c r="H58" s="115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  <c r="DM58" s="116"/>
      <c r="DN58" s="116"/>
      <c r="DO58" s="116"/>
      <c r="DP58" s="116"/>
      <c r="DQ58" s="116"/>
      <c r="DR58" s="116"/>
      <c r="DS58" s="116"/>
      <c r="DT58" s="116"/>
      <c r="DU58" s="116"/>
      <c r="DV58" s="116"/>
      <c r="DW58" s="116"/>
      <c r="DX58" s="116"/>
      <c r="DY58" s="116"/>
      <c r="DZ58" s="116"/>
      <c r="EA58" s="116"/>
      <c r="EB58" s="116"/>
      <c r="EC58" s="116"/>
      <c r="ED58" s="116"/>
      <c r="EE58" s="116"/>
      <c r="EF58" s="116"/>
      <c r="EG58" s="116"/>
    </row>
    <row r="59" spans="1:143" x14ac:dyDescent="0.3">
      <c r="B59" s="114"/>
      <c r="C59" s="114"/>
      <c r="D59" s="114"/>
      <c r="E59" s="114"/>
      <c r="F59" s="114"/>
      <c r="G59" s="114"/>
      <c r="H59" s="114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19"/>
      <c r="CP59" s="119"/>
      <c r="CQ59" s="119"/>
      <c r="CR59" s="119"/>
      <c r="CS59" s="119"/>
      <c r="CT59" s="119"/>
      <c r="CU59" s="119"/>
      <c r="CV59" s="119"/>
      <c r="CW59" s="119"/>
      <c r="CX59" s="119"/>
      <c r="CY59" s="119"/>
      <c r="CZ59" s="119"/>
      <c r="DA59" s="119"/>
      <c r="DB59" s="119"/>
      <c r="DC59" s="119"/>
      <c r="DD59" s="119"/>
      <c r="DE59" s="119"/>
      <c r="DF59" s="119"/>
      <c r="DG59" s="119"/>
      <c r="DH59" s="119"/>
      <c r="DI59" s="119"/>
      <c r="DJ59" s="119"/>
      <c r="DK59" s="119"/>
      <c r="DL59" s="119"/>
      <c r="DM59" s="119"/>
      <c r="DN59" s="119"/>
      <c r="DO59" s="119"/>
      <c r="DP59" s="119"/>
      <c r="DQ59" s="119"/>
      <c r="DR59" s="119"/>
      <c r="DS59" s="119"/>
      <c r="DT59" s="119"/>
      <c r="DU59" s="119"/>
      <c r="DV59" s="119"/>
      <c r="DW59" s="119"/>
      <c r="DX59" s="119"/>
      <c r="DY59" s="119"/>
      <c r="DZ59" s="119"/>
      <c r="EA59" s="119"/>
      <c r="EB59" s="119"/>
      <c r="EC59" s="119"/>
      <c r="ED59" s="119"/>
      <c r="EE59" s="119"/>
      <c r="EF59" s="119"/>
      <c r="EG59" s="119"/>
    </row>
    <row r="61" spans="1:143" x14ac:dyDescent="0.3">
      <c r="C61" s="14" t="s">
        <v>471</v>
      </c>
    </row>
    <row r="62" spans="1:143" x14ac:dyDescent="0.3">
      <c r="B62" s="14" t="s">
        <v>424</v>
      </c>
      <c r="C62" t="s">
        <v>340</v>
      </c>
      <c r="D62" t="s">
        <v>341</v>
      </c>
      <c r="E62" t="s">
        <v>342</v>
      </c>
      <c r="F62" t="s">
        <v>343</v>
      </c>
    </row>
    <row r="63" spans="1:143" x14ac:dyDescent="0.3">
      <c r="B63" s="15" t="s">
        <v>429</v>
      </c>
      <c r="C63">
        <v>299</v>
      </c>
      <c r="D63">
        <v>67</v>
      </c>
      <c r="E63">
        <v>0</v>
      </c>
      <c r="F63">
        <v>0</v>
      </c>
      <c r="H63" t="str">
        <f>VLOOKUP(B63,'By Plant'!$E$7:$E$57,1,0)</f>
        <v>86790-0K080BP</v>
      </c>
      <c r="I63" t="str">
        <f>VLOOKUP(B63,'By Plant'!$E$6:$E$57,1,0)</f>
        <v>86790-0K080BP</v>
      </c>
    </row>
    <row r="64" spans="1:143" x14ac:dyDescent="0.3">
      <c r="B64" s="15" t="s">
        <v>430</v>
      </c>
      <c r="C64">
        <v>676</v>
      </c>
      <c r="D64">
        <v>1170</v>
      </c>
      <c r="E64">
        <v>1084</v>
      </c>
      <c r="F64">
        <v>451</v>
      </c>
      <c r="H64" t="str">
        <f>VLOOKUP(B64,'By Plant'!$E$7:$E$57,1,0)</f>
        <v>86790-0K080SR</v>
      </c>
      <c r="I64" t="str">
        <f>VLOOKUP(B64,'By Plant'!$E$6:$E$57,1,0)</f>
        <v>86790-0K080SR</v>
      </c>
    </row>
    <row r="65" spans="2:9" x14ac:dyDescent="0.3">
      <c r="B65" s="15" t="s">
        <v>431</v>
      </c>
      <c r="C65">
        <v>1201</v>
      </c>
      <c r="D65">
        <v>958</v>
      </c>
      <c r="E65">
        <v>547</v>
      </c>
      <c r="F65">
        <v>1185</v>
      </c>
      <c r="H65" t="str">
        <f>VLOOKUP(B65,'By Plant'!$E$7:$E$57,1,0)</f>
        <v>86790-0K110BP</v>
      </c>
      <c r="I65" t="str">
        <f>VLOOKUP(B65,'By Plant'!$E$6:$E$57,1,0)</f>
        <v>86790-0K110BP</v>
      </c>
    </row>
    <row r="66" spans="2:9" x14ac:dyDescent="0.3">
      <c r="B66" s="15" t="s">
        <v>432</v>
      </c>
      <c r="C66">
        <v>6680</v>
      </c>
      <c r="D66">
        <v>6740</v>
      </c>
      <c r="E66">
        <v>5120</v>
      </c>
      <c r="F66">
        <v>4220</v>
      </c>
      <c r="H66" t="str">
        <f>VLOOKUP(B66,'By Plant'!$E$7:$E$57,1,0)</f>
        <v>86790-0K110BPK</v>
      </c>
      <c r="I66" t="str">
        <f>VLOOKUP(B66,'By Plant'!$E$6:$E$57,1,0)</f>
        <v>86790-0K110BPK</v>
      </c>
    </row>
    <row r="67" spans="2:9" x14ac:dyDescent="0.3">
      <c r="B67" s="15" t="s">
        <v>433</v>
      </c>
      <c r="C67">
        <v>240</v>
      </c>
      <c r="D67">
        <v>360</v>
      </c>
      <c r="E67">
        <v>200</v>
      </c>
      <c r="F67">
        <v>20</v>
      </c>
      <c r="H67" t="str">
        <f>VLOOKUP(B67,'By Plant'!$E$7:$E$57,1,0)</f>
        <v>86790-0K120BPK</v>
      </c>
      <c r="I67" t="str">
        <f>VLOOKUP(B67,'By Plant'!$E$6:$E$57,1,0)</f>
        <v>86790-0K120BPK</v>
      </c>
    </row>
    <row r="68" spans="2:9" x14ac:dyDescent="0.3">
      <c r="B68" s="15" t="s">
        <v>434</v>
      </c>
      <c r="C68">
        <v>232</v>
      </c>
      <c r="D68">
        <v>336</v>
      </c>
      <c r="E68">
        <v>59</v>
      </c>
      <c r="F68">
        <v>0</v>
      </c>
      <c r="H68" t="str">
        <f>VLOOKUP(B68,'By Plant'!$E$7:$E$57,1,0)</f>
        <v>86790-0K141BP</v>
      </c>
      <c r="I68" t="str">
        <f>VLOOKUP(B68,'By Plant'!$E$6:$E$57,1,0)</f>
        <v>86790-0K141BP</v>
      </c>
    </row>
    <row r="69" spans="2:9" x14ac:dyDescent="0.3">
      <c r="B69" s="15" t="s">
        <v>435</v>
      </c>
      <c r="C69">
        <v>1712</v>
      </c>
      <c r="D69">
        <v>2064</v>
      </c>
      <c r="E69">
        <v>1392</v>
      </c>
      <c r="F69">
        <v>912</v>
      </c>
      <c r="H69" t="str">
        <f>VLOOKUP(B69,'By Plant'!$E$7:$E$57,1,0)</f>
        <v>86790-0K141BPK</v>
      </c>
      <c r="I69" t="str">
        <f>VLOOKUP(B69,'By Plant'!$E$6:$E$57,1,0)</f>
        <v>86790-0K141BPK</v>
      </c>
    </row>
    <row r="70" spans="2:9" x14ac:dyDescent="0.3">
      <c r="B70" s="15" t="s">
        <v>436</v>
      </c>
      <c r="C70">
        <v>2</v>
      </c>
      <c r="D70">
        <v>4</v>
      </c>
      <c r="E70">
        <v>0</v>
      </c>
      <c r="F70">
        <v>0</v>
      </c>
      <c r="H70" t="str">
        <f>VLOOKUP(B70,'By Plant'!$E$7:$E$57,1,0)</f>
        <v>86790-0K141SR</v>
      </c>
      <c r="I70" t="str">
        <f>VLOOKUP(B70,'By Plant'!$E$6:$E$57,1,0)</f>
        <v>86790-0K141SR</v>
      </c>
    </row>
    <row r="71" spans="2:9" x14ac:dyDescent="0.3">
      <c r="B71" s="15" t="s">
        <v>437</v>
      </c>
      <c r="C71">
        <v>485</v>
      </c>
      <c r="D71">
        <v>402</v>
      </c>
      <c r="E71">
        <v>299</v>
      </c>
      <c r="F71">
        <v>0</v>
      </c>
      <c r="H71" t="str">
        <f>VLOOKUP(B71,'By Plant'!$E$7:$E$57,1,0)</f>
        <v>86790-0K171BP</v>
      </c>
      <c r="I71" t="str">
        <f>VLOOKUP(B71,'By Plant'!$E$6:$E$57,1,0)</f>
        <v>86790-0K171BP</v>
      </c>
    </row>
    <row r="72" spans="2:9" x14ac:dyDescent="0.3">
      <c r="B72" s="15" t="s">
        <v>438</v>
      </c>
      <c r="C72">
        <v>251</v>
      </c>
      <c r="D72">
        <v>285</v>
      </c>
      <c r="E72">
        <v>360</v>
      </c>
      <c r="F72">
        <v>0</v>
      </c>
      <c r="H72" t="str">
        <f>VLOOKUP(B72,'By Plant'!$E$7:$E$57,1,0)</f>
        <v>86790-0K171SR</v>
      </c>
      <c r="I72" t="str">
        <f>VLOOKUP(B72,'By Plant'!$E$6:$E$57,1,0)</f>
        <v>86790-0K171SR</v>
      </c>
    </row>
    <row r="73" spans="2:9" x14ac:dyDescent="0.3">
      <c r="B73" s="15" t="s">
        <v>439</v>
      </c>
      <c r="C73">
        <v>70</v>
      </c>
      <c r="D73">
        <v>4</v>
      </c>
      <c r="E73">
        <v>2</v>
      </c>
      <c r="F73">
        <v>15</v>
      </c>
      <c r="H73" t="str">
        <f>VLOOKUP(B73,'By Plant'!$E$7:$E$57,1,0)</f>
        <v>86790-0K181BP</v>
      </c>
      <c r="I73" t="str">
        <f>VLOOKUP(B73,'By Plant'!$E$6:$E$57,1,0)</f>
        <v>86790-0K181BP</v>
      </c>
    </row>
    <row r="74" spans="2:9" x14ac:dyDescent="0.3">
      <c r="B74" s="15" t="s">
        <v>440</v>
      </c>
      <c r="C74">
        <v>512</v>
      </c>
      <c r="D74">
        <v>384</v>
      </c>
      <c r="E74">
        <v>384</v>
      </c>
      <c r="F74">
        <v>352</v>
      </c>
      <c r="H74" t="str">
        <f>VLOOKUP(B74,'By Plant'!$E$7:$E$57,1,0)</f>
        <v>86790-0K181BPK</v>
      </c>
      <c r="I74" t="str">
        <f>VLOOKUP(B74,'By Plant'!$E$6:$E$57,1,0)</f>
        <v>86790-0K181BPK</v>
      </c>
    </row>
    <row r="75" spans="2:9" x14ac:dyDescent="0.3">
      <c r="B75" s="15" t="s">
        <v>441</v>
      </c>
      <c r="C75">
        <v>603</v>
      </c>
      <c r="D75">
        <v>699</v>
      </c>
      <c r="E75">
        <v>332</v>
      </c>
      <c r="F75">
        <v>728</v>
      </c>
      <c r="H75" t="str">
        <f>VLOOKUP(B75,'By Plant'!$E$7:$E$57,1,0)</f>
        <v>86790-0K190BP</v>
      </c>
      <c r="I75" t="str">
        <f>VLOOKUP(B75,'By Plant'!$E$6:$E$57,1,0)</f>
        <v>86790-0K190BP</v>
      </c>
    </row>
    <row r="76" spans="2:9" x14ac:dyDescent="0.3">
      <c r="B76" s="15" t="s">
        <v>442</v>
      </c>
      <c r="C76">
        <v>4032</v>
      </c>
      <c r="D76">
        <v>4284</v>
      </c>
      <c r="E76">
        <v>3066</v>
      </c>
      <c r="F76">
        <v>2436</v>
      </c>
      <c r="H76" t="str">
        <f>VLOOKUP(B76,'By Plant'!$E$7:$E$57,1,0)</f>
        <v>86790-0K190BPK</v>
      </c>
      <c r="I76" t="str">
        <f>VLOOKUP(B76,'By Plant'!$E$6:$E$57,1,0)</f>
        <v>86790-0K190BPK</v>
      </c>
    </row>
    <row r="77" spans="2:9" x14ac:dyDescent="0.3">
      <c r="B77" s="15" t="s">
        <v>443</v>
      </c>
      <c r="C77">
        <v>3020</v>
      </c>
      <c r="D77">
        <v>2820</v>
      </c>
      <c r="E77">
        <v>2880</v>
      </c>
      <c r="F77">
        <v>2620</v>
      </c>
      <c r="H77" t="str">
        <f>VLOOKUP(B77,'By Plant'!$E$7:$E$57,1,0)</f>
        <v>86790-0K200BPK</v>
      </c>
      <c r="I77" t="str">
        <f>VLOOKUP(B77,'By Plant'!$E$6:$E$57,1,0)</f>
        <v>86790-0K200BPK</v>
      </c>
    </row>
    <row r="78" spans="2:9" x14ac:dyDescent="0.3">
      <c r="B78" s="15" t="s">
        <v>444</v>
      </c>
      <c r="C78">
        <v>1160</v>
      </c>
      <c r="D78">
        <v>2100</v>
      </c>
      <c r="E78">
        <v>2040</v>
      </c>
      <c r="F78">
        <v>1040</v>
      </c>
      <c r="H78" t="str">
        <f>VLOOKUP(B78,'By Plant'!$E$7:$E$57,1,0)</f>
        <v>86790-0K220BPK</v>
      </c>
      <c r="I78" t="str">
        <f>VLOOKUP(B78,'By Plant'!$E$6:$E$57,1,0)</f>
        <v>86790-0K220BPK</v>
      </c>
    </row>
    <row r="79" spans="2:9" x14ac:dyDescent="0.3">
      <c r="B79" s="15" t="s">
        <v>445</v>
      </c>
      <c r="C79">
        <v>618</v>
      </c>
      <c r="D79">
        <v>733</v>
      </c>
      <c r="E79">
        <v>406</v>
      </c>
      <c r="F79">
        <v>0</v>
      </c>
      <c r="H79" t="str">
        <f>VLOOKUP(B79,'By Plant'!$E$7:$E$57,1,0)</f>
        <v>86790-0K230BP</v>
      </c>
      <c r="I79" t="str">
        <f>VLOOKUP(B79,'By Plant'!$E$6:$E$57,1,0)</f>
        <v>86790-0K230BP</v>
      </c>
    </row>
    <row r="80" spans="2:9" x14ac:dyDescent="0.3">
      <c r="B80" s="15" t="s">
        <v>446</v>
      </c>
      <c r="C80">
        <v>464</v>
      </c>
      <c r="D80">
        <v>576</v>
      </c>
      <c r="E80">
        <v>416</v>
      </c>
      <c r="F80">
        <v>288</v>
      </c>
      <c r="H80" t="str">
        <f>VLOOKUP(B80,'By Plant'!$E$7:$E$57,1,0)</f>
        <v>86790-0K230BPK</v>
      </c>
      <c r="I80" t="str">
        <f>VLOOKUP(B80,'By Plant'!$E$6:$E$57,1,0)</f>
        <v>86790-0K230BPK</v>
      </c>
    </row>
    <row r="81" spans="2:9" x14ac:dyDescent="0.3">
      <c r="B81" s="15" t="s">
        <v>447</v>
      </c>
      <c r="C81">
        <v>5651</v>
      </c>
      <c r="D81">
        <v>7044</v>
      </c>
      <c r="E81">
        <v>5224</v>
      </c>
      <c r="F81">
        <v>7912</v>
      </c>
      <c r="H81" t="str">
        <f>VLOOKUP(B81,'By Plant'!$E$7:$E$57,1,0)</f>
        <v>86790-BZ210GW</v>
      </c>
      <c r="I81" t="str">
        <f>VLOOKUP(B81,'By Plant'!$E$6:$E$57,1,0)</f>
        <v>86790-BZ210GW</v>
      </c>
    </row>
    <row r="82" spans="2:9" x14ac:dyDescent="0.3">
      <c r="B82" s="15" t="s">
        <v>448</v>
      </c>
      <c r="C82">
        <v>772</v>
      </c>
      <c r="D82">
        <v>1388</v>
      </c>
      <c r="E82">
        <v>733</v>
      </c>
      <c r="F82">
        <v>1353</v>
      </c>
      <c r="H82" t="str">
        <f>VLOOKUP(B82,'By Plant'!$E$7:$E$57,1,0)</f>
        <v>86790-BZ220GW</v>
      </c>
      <c r="I82" t="str">
        <f>VLOOKUP(B82,'By Plant'!$E$6:$E$57,1,0)</f>
        <v>86790-BZ220GW</v>
      </c>
    </row>
    <row r="83" spans="2:9" x14ac:dyDescent="0.3">
      <c r="B83" s="15" t="s">
        <v>449</v>
      </c>
      <c r="C83">
        <v>8210</v>
      </c>
      <c r="D83">
        <v>5430</v>
      </c>
      <c r="E83">
        <v>5520</v>
      </c>
      <c r="F83">
        <v>5170</v>
      </c>
      <c r="H83" t="str">
        <f>VLOOKUP(B83,'By Plant'!$E$7:$E$57,1,0)</f>
        <v>86790-BZ280GW</v>
      </c>
      <c r="I83" t="str">
        <f>VLOOKUP(B83,'By Plant'!$E$6:$E$57,1,0)</f>
        <v>86790-BZ280GW</v>
      </c>
    </row>
    <row r="84" spans="2:9" x14ac:dyDescent="0.3">
      <c r="B84" s="15" t="s">
        <v>450</v>
      </c>
      <c r="C84">
        <v>3303</v>
      </c>
      <c r="D84">
        <v>3505</v>
      </c>
      <c r="E84">
        <v>2626</v>
      </c>
      <c r="F84">
        <v>2831</v>
      </c>
      <c r="H84" t="str">
        <f>VLOOKUP(B84,'By Plant'!$E$7:$E$57,1,0)</f>
        <v>86790-BZ310GW</v>
      </c>
      <c r="I84" t="str">
        <f>VLOOKUP(B84,'By Plant'!$E$6:$E$57,1,0)</f>
        <v>86790-BZ310GW</v>
      </c>
    </row>
    <row r="85" spans="2:9" x14ac:dyDescent="0.3">
      <c r="B85" s="15" t="s">
        <v>451</v>
      </c>
      <c r="C85">
        <v>1891</v>
      </c>
      <c r="D85">
        <v>1677</v>
      </c>
      <c r="E85">
        <v>919</v>
      </c>
      <c r="F85">
        <v>0</v>
      </c>
      <c r="H85" t="str">
        <f>VLOOKUP(B85,'By Plant'!$E$7:$E$57,1,0)</f>
        <v>86790-0K051BP</v>
      </c>
      <c r="I85" t="str">
        <f>VLOOKUP(B85,'By Plant'!$E$6:$E$57,1,0)</f>
        <v>86790-0K051BP</v>
      </c>
    </row>
    <row r="86" spans="2:9" x14ac:dyDescent="0.3">
      <c r="B86" s="15" t="s">
        <v>452</v>
      </c>
      <c r="C86">
        <v>1352</v>
      </c>
      <c r="D86">
        <v>1787</v>
      </c>
      <c r="E86">
        <v>2037</v>
      </c>
      <c r="F86">
        <v>0</v>
      </c>
      <c r="H86" t="str">
        <f>VLOOKUP(B86,'By Plant'!$E$7:$E$57,1,0)</f>
        <v>86790-0K051SR</v>
      </c>
      <c r="I86" t="str">
        <f>VLOOKUP(B86,'By Plant'!$E$6:$E$57,1,0)</f>
        <v>86790-0K051SR</v>
      </c>
    </row>
    <row r="87" spans="2:9" x14ac:dyDescent="0.3">
      <c r="B87" s="15" t="s">
        <v>453</v>
      </c>
      <c r="C87">
        <v>170</v>
      </c>
      <c r="D87">
        <v>380</v>
      </c>
      <c r="E87">
        <v>130</v>
      </c>
      <c r="F87">
        <v>210</v>
      </c>
      <c r="H87" t="str">
        <f>VLOOKUP(B87,'By Plant'!$E$7:$E$57,1,0)</f>
        <v>86790-0K110BPKTP1</v>
      </c>
      <c r="I87" t="str">
        <f>VLOOKUP(B87,'By Plant'!$E$6:$E$57,1,0)</f>
        <v>86790-0K110BPKTP1</v>
      </c>
    </row>
    <row r="88" spans="2:9" x14ac:dyDescent="0.3">
      <c r="B88" s="15" t="s">
        <v>454</v>
      </c>
      <c r="C88">
        <v>640</v>
      </c>
      <c r="D88">
        <v>650</v>
      </c>
      <c r="E88">
        <v>460</v>
      </c>
      <c r="F88">
        <v>230</v>
      </c>
      <c r="H88" t="str">
        <f>VLOOKUP(B88,'By Plant'!$E$7:$E$57,1,0)</f>
        <v>86790-0K051BPKTP1</v>
      </c>
      <c r="I88" t="str">
        <f>VLOOKUP(B88,'By Plant'!$E$6:$E$57,1,0)</f>
        <v>86790-0K051BPKTP1</v>
      </c>
    </row>
    <row r="89" spans="2:9" x14ac:dyDescent="0.3">
      <c r="B89" s="15" t="s">
        <v>455</v>
      </c>
      <c r="C89">
        <v>5790</v>
      </c>
      <c r="D89">
        <v>7980</v>
      </c>
      <c r="E89">
        <v>5490</v>
      </c>
      <c r="F89">
        <v>3720</v>
      </c>
      <c r="H89" t="str">
        <f>VLOOKUP(B89,'By Plant'!$E$7:$E$57,1,0)</f>
        <v>86790-0K051BPKSN1</v>
      </c>
      <c r="I89" t="str">
        <f>VLOOKUP(B89,'By Plant'!$E$6:$E$57,1,0)</f>
        <v>86790-0K051BPKSN1</v>
      </c>
    </row>
    <row r="90" spans="2:9" x14ac:dyDescent="0.3">
      <c r="B90" s="15" t="s">
        <v>456</v>
      </c>
      <c r="C90">
        <v>2670</v>
      </c>
      <c r="D90">
        <v>2745</v>
      </c>
      <c r="E90">
        <v>3840</v>
      </c>
      <c r="F90">
        <v>2520</v>
      </c>
      <c r="H90" t="str">
        <f>VLOOKUP(B90,'By Plant'!$E$7:$E$57,1,0)</f>
        <v>86790-BZ310GWSN1</v>
      </c>
      <c r="I90" t="str">
        <f>VLOOKUP(B90,'By Plant'!$E$6:$E$57,1,0)</f>
        <v>86790-BZ310GWSN1</v>
      </c>
    </row>
    <row r="91" spans="2:9" x14ac:dyDescent="0.3">
      <c r="B91" s="15" t="s">
        <v>457</v>
      </c>
      <c r="C91">
        <v>290</v>
      </c>
      <c r="D91">
        <v>390</v>
      </c>
      <c r="E91">
        <v>360</v>
      </c>
      <c r="F91">
        <v>230</v>
      </c>
      <c r="H91" t="str">
        <f>VLOOKUP(B91,'By Plant'!$E$7:$E$57,1,0)</f>
        <v>86790-0K171BPKTP1</v>
      </c>
      <c r="I91" t="str">
        <f>VLOOKUP(B91,'By Plant'!$E$6:$E$57,1,0)</f>
        <v>86790-0K171BPKTP1</v>
      </c>
    </row>
    <row r="92" spans="2:9" x14ac:dyDescent="0.3">
      <c r="B92" s="15" t="s">
        <v>458</v>
      </c>
      <c r="C92">
        <v>1335</v>
      </c>
      <c r="D92">
        <v>1767</v>
      </c>
      <c r="E92">
        <v>1200</v>
      </c>
      <c r="F92">
        <v>1425</v>
      </c>
      <c r="H92" t="str">
        <f>VLOOKUP(B92,'By Plant'!$E$7:$E$57,1,0)</f>
        <v>86790-BZ321GW</v>
      </c>
      <c r="I92" t="str">
        <f>VLOOKUP(B92,'By Plant'!$E$6:$E$57,1,0)</f>
        <v>86790-BZ321GW</v>
      </c>
    </row>
    <row r="93" spans="2:9" x14ac:dyDescent="0.3">
      <c r="B93" s="15" t="s">
        <v>459</v>
      </c>
      <c r="C93">
        <v>0</v>
      </c>
      <c r="D93">
        <v>0</v>
      </c>
      <c r="E93">
        <v>0</v>
      </c>
      <c r="F93">
        <v>0</v>
      </c>
      <c r="H93" t="str">
        <f>VLOOKUP(B93,'By Plant'!$E$7:$E$57,1,0)</f>
        <v>86790-0K141BPKTP1</v>
      </c>
      <c r="I93" t="str">
        <f>VLOOKUP(B93,'By Plant'!$E$6:$E$57,1,0)</f>
        <v>86790-0K141BPKTP1</v>
      </c>
    </row>
    <row r="94" spans="2:9" x14ac:dyDescent="0.3">
      <c r="B94" s="15" t="s">
        <v>460</v>
      </c>
      <c r="C94">
        <v>0</v>
      </c>
      <c r="D94">
        <v>0</v>
      </c>
      <c r="E94">
        <v>0</v>
      </c>
      <c r="F94">
        <v>0</v>
      </c>
      <c r="H94" t="str">
        <f>VLOOKUP(B94,'By Plant'!$E$7:$E$57,1,0)</f>
        <v>86790-0K171BPK</v>
      </c>
      <c r="I94" t="str">
        <f>VLOOKUP(B94,'By Plant'!$E$6:$E$57,1,0)</f>
        <v>86790-0K171BPK</v>
      </c>
    </row>
    <row r="95" spans="2:9" x14ac:dyDescent="0.3">
      <c r="B95" s="15" t="s">
        <v>111</v>
      </c>
      <c r="C95">
        <v>2088</v>
      </c>
      <c r="D95">
        <v>1980</v>
      </c>
      <c r="E95">
        <v>1800</v>
      </c>
      <c r="F95">
        <v>1836</v>
      </c>
      <c r="H95" t="str">
        <f>VLOOKUP(B95,'By Plant'!$E$7:$E$57,1,0)</f>
        <v>86790-BZ271GW</v>
      </c>
      <c r="I95" t="str">
        <f>VLOOKUP(B95,'By Plant'!$E$6:$E$57,1,0)</f>
        <v>86790-BZ271GW</v>
      </c>
    </row>
    <row r="96" spans="2:9" x14ac:dyDescent="0.3">
      <c r="B96" s="15"/>
      <c r="H96" t="e">
        <f>VLOOKUP(B96,'By Plant'!$E$7:$E$57,1,0)</f>
        <v>#N/A</v>
      </c>
      <c r="I96" t="e">
        <f>VLOOKUP(B96,'By Plant'!$E$6:$E$57,1,0)</f>
        <v>#N/A</v>
      </c>
    </row>
    <row r="97" spans="2:9" x14ac:dyDescent="0.3">
      <c r="B97" s="15" t="s">
        <v>461</v>
      </c>
      <c r="C97">
        <v>6030</v>
      </c>
      <c r="D97">
        <v>5565</v>
      </c>
      <c r="E97">
        <v>5610</v>
      </c>
      <c r="F97">
        <v>4920</v>
      </c>
      <c r="H97" t="str">
        <f>VLOOKUP(B97,'By Plant'!$E$7:$E$57,1,0)</f>
        <v>86790-BZ310BPK</v>
      </c>
      <c r="I97" t="str">
        <f>VLOOKUP(B97,'By Plant'!$E$6:$E$57,1,0)</f>
        <v>86790-BZ310BPK</v>
      </c>
    </row>
    <row r="98" spans="2:9" x14ac:dyDescent="0.3">
      <c r="B98" s="15" t="s">
        <v>462</v>
      </c>
      <c r="C98">
        <v>873</v>
      </c>
      <c r="D98">
        <v>1134</v>
      </c>
      <c r="E98">
        <v>1356</v>
      </c>
      <c r="F98">
        <v>1468</v>
      </c>
      <c r="H98" t="str">
        <f>VLOOKUP(B98,'By Plant'!$E$7:$E$57,1,0)</f>
        <v>86790-BZ350GW</v>
      </c>
      <c r="I98" t="str">
        <f>VLOOKUP(B98,'By Plant'!$E$6:$E$57,1,0)</f>
        <v>86790-BZ350GW</v>
      </c>
    </row>
    <row r="99" spans="2:9" x14ac:dyDescent="0.3">
      <c r="B99" s="15" t="s">
        <v>463</v>
      </c>
      <c r="C99">
        <v>1840</v>
      </c>
      <c r="D99">
        <v>3460</v>
      </c>
      <c r="E99">
        <v>2262</v>
      </c>
      <c r="F99">
        <v>3508</v>
      </c>
      <c r="H99" t="str">
        <f>VLOOKUP(B99,'By Plant'!$E$7:$E$57,1,0)</f>
        <v>86790-0K310BP</v>
      </c>
      <c r="I99" t="str">
        <f>VLOOKUP(B99,'By Plant'!$E$6:$E$57,1,0)</f>
        <v>86790-0K310BP</v>
      </c>
    </row>
    <row r="100" spans="2:9" x14ac:dyDescent="0.3">
      <c r="B100" s="15" t="s">
        <v>464</v>
      </c>
      <c r="C100">
        <v>1840</v>
      </c>
      <c r="D100">
        <v>3460</v>
      </c>
      <c r="E100">
        <v>2262</v>
      </c>
      <c r="F100">
        <v>3508</v>
      </c>
      <c r="H100" t="str">
        <f>VLOOKUP(B100,'By Plant'!$E$7:$E$57,1,0)</f>
        <v>86790-0K400BP</v>
      </c>
      <c r="I100" t="str">
        <f>VLOOKUP(B100,'By Plant'!$E$6:$E$57,1,0)</f>
        <v>86790-0K400BP</v>
      </c>
    </row>
    <row r="101" spans="2:9" x14ac:dyDescent="0.3">
      <c r="B101" s="15" t="s">
        <v>465</v>
      </c>
      <c r="C101">
        <v>70</v>
      </c>
      <c r="D101">
        <v>103</v>
      </c>
      <c r="E101">
        <v>363</v>
      </c>
      <c r="F101">
        <v>58</v>
      </c>
      <c r="H101" t="str">
        <f>VLOOKUP(B101,'By Plant'!$E$7:$E$57,1,0)</f>
        <v>86790-0K310SR</v>
      </c>
      <c r="I101" t="str">
        <f>VLOOKUP(B101,'By Plant'!$E$6:$E$57,1,0)</f>
        <v>86790-0K310SR</v>
      </c>
    </row>
    <row r="102" spans="2:9" x14ac:dyDescent="0.3">
      <c r="B102" s="15" t="s">
        <v>466</v>
      </c>
      <c r="C102">
        <v>70</v>
      </c>
      <c r="D102">
        <v>103</v>
      </c>
      <c r="E102">
        <v>363</v>
      </c>
      <c r="F102">
        <v>58</v>
      </c>
      <c r="H102" t="str">
        <f>VLOOKUP(B102,'By Plant'!$E$7:$E$57,1,0)</f>
        <v>86790-0K400SR</v>
      </c>
      <c r="I102" t="str">
        <f>VLOOKUP(B102,'By Plant'!$E$6:$E$57,1,0)</f>
        <v>86790-0K400SR</v>
      </c>
    </row>
    <row r="103" spans="2:9" x14ac:dyDescent="0.3">
      <c r="B103" s="15" t="s">
        <v>467</v>
      </c>
      <c r="C103">
        <v>110</v>
      </c>
      <c r="D103">
        <v>260</v>
      </c>
      <c r="E103">
        <v>70</v>
      </c>
      <c r="F103">
        <v>120</v>
      </c>
      <c r="H103" t="str">
        <f>VLOOKUP(B103,'By Plant'!$E$7:$E$57,1,0)</f>
        <v>86790-0K190BPKTP1</v>
      </c>
      <c r="I103" t="str">
        <f>VLOOKUP(B103,'By Plant'!$E$6:$E$57,1,0)</f>
        <v>86790-0K190BPKTP1</v>
      </c>
    </row>
    <row r="104" spans="2:9" x14ac:dyDescent="0.3">
      <c r="B104" s="15" t="s">
        <v>468</v>
      </c>
      <c r="C104">
        <v>0</v>
      </c>
      <c r="D104">
        <v>2340</v>
      </c>
      <c r="E104">
        <v>2760</v>
      </c>
      <c r="F104">
        <v>2400</v>
      </c>
      <c r="H104" t="str">
        <f>VLOOKUP(B104,'By Plant'!$E$7:$E$57,1,0)</f>
        <v>86790-0K310BPK</v>
      </c>
      <c r="I104" t="str">
        <f>VLOOKUP(B104,'By Plant'!$E$6:$E$57,1,0)</f>
        <v>86790-0K310BPK</v>
      </c>
    </row>
    <row r="105" spans="2:9" x14ac:dyDescent="0.3">
      <c r="B105" s="15" t="s">
        <v>469</v>
      </c>
      <c r="C105">
        <v>0</v>
      </c>
      <c r="D105">
        <v>2352</v>
      </c>
      <c r="E105">
        <v>2772</v>
      </c>
      <c r="F105">
        <v>2436</v>
      </c>
      <c r="H105" t="str">
        <f>VLOOKUP(B105,'By Plant'!$E$7:$E$57,1,0)</f>
        <v>86790-0K400BPK</v>
      </c>
      <c r="I105" t="str">
        <f>VLOOKUP(B105,'By Plant'!$E$6:$E$57,1,0)</f>
        <v>86790-0K400BPK</v>
      </c>
    </row>
    <row r="106" spans="2:9" x14ac:dyDescent="0.3">
      <c r="B106" s="15" t="s">
        <v>346</v>
      </c>
      <c r="C106">
        <v>67252</v>
      </c>
      <c r="D106">
        <v>79486</v>
      </c>
      <c r="E106">
        <v>66744</v>
      </c>
      <c r="F106">
        <v>60180</v>
      </c>
      <c r="G106" s="104">
        <f>SUM(C106:F106)</f>
        <v>273662</v>
      </c>
    </row>
  </sheetData>
  <autoFilter ref="A2:FA56" xr:uid="{00000000-0009-0000-0000-00000A000000}"/>
  <conditionalFormatting sqref="A1 A3:A1048576 B59">
    <cfRule type="duplicateValues" dxfId="2" priority="537"/>
  </conditionalFormatting>
  <conditionalFormatting sqref="H62:H105">
    <cfRule type="duplicateValues" dxfId="1" priority="1"/>
    <cfRule type="duplicateValues" dxfId="0" priority="2"/>
  </conditionalFormatting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By Plant</vt:lpstr>
      <vt:lpstr>Monthly FC (Don't use)</vt:lpstr>
      <vt:lpstr>BP Daily</vt:lpstr>
      <vt:lpstr>BPK Daily</vt:lpstr>
      <vt:lpstr>GW Daily</vt:lpstr>
      <vt:lpstr>SR Daily</vt:lpstr>
      <vt:lpstr>Total</vt:lpstr>
      <vt:lpstr>Sheet1</vt:lpstr>
      <vt:lpstr>Sheet2</vt:lpstr>
      <vt:lpstr>Analyze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Kanyapa Promdee</dc:creator>
  <cp:lastModifiedBy>NARDHATHAI NIPHITAKUL</cp:lastModifiedBy>
  <dcterms:created xsi:type="dcterms:W3CDTF">2020-01-29T11:14:50Z</dcterms:created>
  <dcterms:modified xsi:type="dcterms:W3CDTF">2026-02-03T01:25:05Z</dcterms:modified>
</cp:coreProperties>
</file>