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hidden" r:id="rId4"/>
    <sheet sheetId="2" name="By Plant" state="visible" r:id="rId5"/>
    <sheet sheetId="3" name="Monthly FC (Dont use)" state="hidden" r:id="rId6"/>
    <sheet sheetId="4" name="BP Daily" state="visible" r:id="rId7"/>
    <sheet sheetId="5" name="BPK Daily" state="visible" r:id="rId8"/>
    <sheet sheetId="6" name="GW Daily" state="visible" r:id="rId9"/>
    <sheet sheetId="7" name="SR Daily" state="visible" r:id="rId10"/>
    <sheet sheetId="8" name="Total" state="visible" r:id="rId11"/>
    <sheet sheetId="9" name="Sheet1" state="visible" r:id="rId12"/>
    <sheet sheetId="10" name="Sheet2" state="visible" r:id="rId13"/>
    <sheet sheetId="11" name="Analyze" state="visible" r:id="rId14"/>
  </sheets>
  <definedNames>
    <definedName name="_xlnm._FilterDatabase">Analyze!$A$2:$FA$56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/>
    </comment>
    <comment ref="A50" authorId="0">
      <text/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5" authorId="0">
      <text/>
    </comment>
    <comment ref="A30" authorId="0">
      <text/>
    </comment>
    <comment ref="A31" authorId="0">
      <text/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EF16" authorId="0">
      <text/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B34" authorId="0">
      <text/>
    </comment>
    <comment ref="B35" authorId="0">
      <text/>
    </comment>
  </commentList>
</comments>
</file>

<file path=xl/sharedStrings.xml><?xml version="1.0" encoding="utf-8"?>
<sst xmlns="http://schemas.openxmlformats.org/spreadsheetml/2006/main" count="2809" uniqueCount="421">
  <si>
    <t>TMT Camera production plan summary by part</t>
  </si>
  <si>
    <t>Upadte</t>
  </si>
  <si>
    <t>Production Month</t>
  </si>
  <si>
    <t>NETH Doc</t>
  </si>
  <si>
    <t>Part No.</t>
  </si>
  <si>
    <t>Model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</si>
  <si>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</si>
  <si>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</si>
  <si>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</si>
  <si>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</si>
  <si>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</si>
  <si>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</si>
  <si>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</si>
  <si>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</si>
  <si>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</si>
  <si>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</si>
  <si>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Feb</t>
  </si>
  <si>
    <t>Oct</t>
  </si>
  <si>
    <t>86790-0K050-00</t>
  </si>
  <si>
    <t>867B</t>
  </si>
  <si>
    <t>Last FC</t>
  </si>
  <si>
    <t>Diff</t>
  </si>
  <si>
    <t>86790-0K080-00</t>
  </si>
  <si>
    <t>86790-0K110-00</t>
  </si>
  <si>
    <t>86790-0K130-00</t>
  </si>
  <si>
    <t>86790-0K140-A</t>
  </si>
  <si>
    <t>86790-0K170-A</t>
  </si>
  <si>
    <t>86790-0K180-A</t>
  </si>
  <si>
    <t>86790-0K190-B</t>
  </si>
  <si>
    <t>86790-0K120</t>
  </si>
  <si>
    <t>867B (BIS TKM)</t>
  </si>
  <si>
    <t>86790-0K200</t>
  </si>
  <si>
    <t>86790-0K220</t>
  </si>
  <si>
    <t>86790-BZ270-J</t>
  </si>
  <si>
    <t>D33H (D26A)</t>
  </si>
  <si>
    <t>86790-BZ280-J</t>
  </si>
  <si>
    <t>86790-BZ210-J</t>
  </si>
  <si>
    <t>D41H (D92A)</t>
  </si>
  <si>
    <t>86790-BZ220-J</t>
  </si>
  <si>
    <t>86790-0K141</t>
  </si>
  <si>
    <t>188D (ECI)</t>
  </si>
  <si>
    <t>86790-0K171</t>
  </si>
  <si>
    <t>86790-0K181</t>
  </si>
  <si>
    <t>By Plant</t>
  </si>
  <si>
    <t>Update</t>
  </si>
  <si>
    <t>Dec'25</t>
  </si>
  <si>
    <t>Firm-0</t>
  </si>
  <si>
    <t>PO Dec</t>
  </si>
  <si>
    <t>P/n</t>
  </si>
  <si>
    <t>Part Type</t>
  </si>
  <si>
    <t>Plant</t>
  </si>
  <si>
    <t>Packing Type</t>
  </si>
  <si>
    <t xml:space="preserve">Packing Size </t>
  </si>
  <si>
    <t>Remark to follow TDEM</t>
  </si>
  <si>
    <t>86790-0K050</t>
  </si>
  <si>
    <t>Back</t>
  </si>
  <si>
    <t>SR</t>
  </si>
  <si>
    <t>TP341</t>
  </si>
  <si>
    <t xml:space="preserve">	86790-0K080-B</t>
  </si>
  <si>
    <t>86790-0K080</t>
  </si>
  <si>
    <t>86790-0K141-A TP</t>
  </si>
  <si>
    <t>Front</t>
  </si>
  <si>
    <t>BPK</t>
  </si>
  <si>
    <t>TP1</t>
  </si>
  <si>
    <t>86790-0K141 TP</t>
  </si>
  <si>
    <t>BP</t>
  </si>
  <si>
    <t>86790-0K110-B</t>
  </si>
  <si>
    <t>86790-0K110</t>
  </si>
  <si>
    <t>86790-0K141-A</t>
  </si>
  <si>
    <t xml:space="preserve">86790-0K141-A SN1 </t>
  </si>
  <si>
    <t>SN1</t>
  </si>
  <si>
    <t>86790-0K171 TP</t>
  </si>
  <si>
    <t>86790-0K230-A</t>
  </si>
  <si>
    <t>86790-0K230</t>
  </si>
  <si>
    <t>86790-0K050 SN1</t>
  </si>
  <si>
    <t xml:space="preserve">86790-0K050 TP </t>
  </si>
  <si>
    <t>86790-0K110-B SN1</t>
  </si>
  <si>
    <t>86790-0K110-B TP</t>
  </si>
  <si>
    <t>86790-0K130</t>
  </si>
  <si>
    <t>86790-0K171-A</t>
  </si>
  <si>
    <t xml:space="preserve">86790-0K171-A SN1 </t>
  </si>
  <si>
    <t>86790-0K171-A TP</t>
  </si>
  <si>
    <t>86790-0K120-A</t>
  </si>
  <si>
    <t>BIS TKM</t>
  </si>
  <si>
    <t xml:space="preserve">	86790-0K200-A</t>
  </si>
  <si>
    <t>86790-0K220-A</t>
  </si>
  <si>
    <t>86790-0K230-A SN1</t>
  </si>
  <si>
    <t>86790-BZ270-J FC1</t>
  </si>
  <si>
    <t>86790-BZ270</t>
  </si>
  <si>
    <t>GW</t>
  </si>
  <si>
    <t>FC1</t>
  </si>
  <si>
    <t>86790-BZ280-L SN1</t>
  </si>
  <si>
    <t>86790-BZ280</t>
  </si>
  <si>
    <t>86790-BZ210-L</t>
  </si>
  <si>
    <t>86790-BZ210</t>
  </si>
  <si>
    <t>86790-BZ220-K</t>
  </si>
  <si>
    <t>86790-BZ220</t>
  </si>
  <si>
    <t>86790-BZ310-L SN1</t>
  </si>
  <si>
    <t>86790-BZ310</t>
  </si>
  <si>
    <t>86790-BZ310-L</t>
  </si>
  <si>
    <t xml:space="preserve">	86790-0K051-A</t>
  </si>
  <si>
    <t>86790-0K051</t>
  </si>
  <si>
    <t>86790-0K051-A SN1</t>
  </si>
  <si>
    <t>86790-0K051-A TP</t>
  </si>
  <si>
    <t>86790-BZ320-K</t>
  </si>
  <si>
    <t>86790-BZ320</t>
  </si>
  <si>
    <t>86790-BZ321-J</t>
  </si>
  <si>
    <t>86790-BZ321</t>
  </si>
  <si>
    <t>86790-0K181-A</t>
  </si>
  <si>
    <t xml:space="preserve">86790-0K181-A SN1 </t>
  </si>
  <si>
    <t>86790-BZ271-J FC1</t>
  </si>
  <si>
    <t>86790-BZ271</t>
  </si>
  <si>
    <t>86790-BZ271GW</t>
  </si>
  <si>
    <t>86790-0K190-C TP</t>
  </si>
  <si>
    <t>86790-0K190</t>
  </si>
  <si>
    <t xml:space="preserve">86790-0K190-C FC1 </t>
  </si>
  <si>
    <t>86790-BZ350-M</t>
  </si>
  <si>
    <t>86790-BZ350</t>
  </si>
  <si>
    <t>86790-0K310</t>
  </si>
  <si>
    <t>86790-0K400</t>
  </si>
  <si>
    <t>SUM</t>
  </si>
  <si>
    <t>Remark</t>
  </si>
  <si>
    <t>Used TP Box same as domestic</t>
  </si>
  <si>
    <t>86790-0K051-A TP1</t>
  </si>
  <si>
    <t>86790-0K190-C</t>
  </si>
  <si>
    <t>SCP Update</t>
  </si>
  <si>
    <t>change to 024J model</t>
  </si>
  <si>
    <t>Sum Qty</t>
  </si>
  <si>
    <t>Check</t>
  </si>
  <si>
    <t>SAMRONG</t>
  </si>
  <si>
    <t>Quantity</t>
  </si>
  <si>
    <t>Forecast Quantity</t>
  </si>
  <si>
    <t>Last Forecast</t>
  </si>
  <si>
    <t>Compare FC</t>
  </si>
  <si>
    <t>Sl. No.</t>
  </si>
  <si>
    <t>Part Code</t>
  </si>
  <si>
    <t>Part Description</t>
  </si>
  <si>
    <t>Dock Code</t>
  </si>
  <si>
    <t>Shipping Dock</t>
  </si>
  <si>
    <t>Packing Size</t>
  </si>
  <si>
    <t>(N)</t>
  </si>
  <si>
    <t>N+1</t>
  </si>
  <si>
    <t>N+2</t>
  </si>
  <si>
    <t>N+3</t>
  </si>
  <si>
    <t>TDEM PIC</t>
  </si>
  <si>
    <t>E-mail</t>
  </si>
  <si>
    <t>Request</t>
  </si>
  <si>
    <t>Reason feed back from TDEM</t>
  </si>
  <si>
    <t>Veh</t>
  </si>
  <si>
    <t>438D&gt; 481D</t>
  </si>
  <si>
    <t>86790-0K051-00</t>
  </si>
  <si>
    <t>L342</t>
  </si>
  <si>
    <t>CAMERA ASSY TELEVISION</t>
  </si>
  <si>
    <t>S1</t>
  </si>
  <si>
    <t>024J</t>
  </si>
  <si>
    <t>x</t>
  </si>
  <si>
    <t>Kittipod Trirattanavanich</t>
  </si>
  <si>
    <t>ktriratt@toyota.co.th</t>
  </si>
  <si>
    <t>demand sudden decrease in Dec 20%</t>
  </si>
  <si>
    <t>G871</t>
  </si>
  <si>
    <t>demand sudden increase in Dec and Jan 40%</t>
  </si>
  <si>
    <t>86790-0K141-00</t>
  </si>
  <si>
    <t>J788</t>
  </si>
  <si>
    <t>86790-0K171-00</t>
  </si>
  <si>
    <t>J789</t>
  </si>
  <si>
    <t>demand sudden decrease in Dec 40%</t>
  </si>
  <si>
    <t>581D</t>
  </si>
  <si>
    <t>86790-0K310-00</t>
  </si>
  <si>
    <t>N748</t>
  </si>
  <si>
    <t>86790-0K400-00</t>
  </si>
  <si>
    <t>N749</t>
  </si>
  <si>
    <t xml:space="preserve">Banpho </t>
  </si>
  <si>
    <t>I338</t>
  </si>
  <si>
    <t>CAMERA ASSY  TELEVISION</t>
  </si>
  <si>
    <t>P1</t>
  </si>
  <si>
    <r>
      <rPr>
        <color rgb="FFFF0000"/>
        <sz val="10"/>
        <rFont val="Calibri"/>
      </rPr>
      <t xml:space="preserve">975W/ 438D&gt;&gt;&gt; </t>
    </r>
    <r>
      <rPr>
        <color rgb="FF00B0F0"/>
        <sz val="10"/>
        <rFont val="Calibri"/>
      </rPr>
      <t>024J</t>
    </r>
  </si>
  <si>
    <t>Pongsakorn Meesuk</t>
  </si>
  <si>
    <t>pmeesuk@toyota.co.th</t>
  </si>
  <si>
    <t>A369</t>
  </si>
  <si>
    <t>demand sudden increase in Dec 30%</t>
  </si>
  <si>
    <t>A370</t>
  </si>
  <si>
    <t>F165</t>
  </si>
  <si>
    <t>demand sudden increase in Dec and Jan &gt;50%</t>
  </si>
  <si>
    <t>F320</t>
  </si>
  <si>
    <t>86790-0K181-00</t>
  </si>
  <si>
    <t>F323</t>
  </si>
  <si>
    <t>86790-0K190-00</t>
  </si>
  <si>
    <t>D331</t>
  </si>
  <si>
    <t>86790-0K230-00</t>
  </si>
  <si>
    <t>F530</t>
  </si>
  <si>
    <t>AU19</t>
  </si>
  <si>
    <t>E1,P1</t>
  </si>
  <si>
    <t>025J</t>
  </si>
  <si>
    <t>AU20</t>
  </si>
  <si>
    <t>Packing</t>
  </si>
  <si>
    <t>M666</t>
  </si>
  <si>
    <t>B2</t>
  </si>
  <si>
    <t>889W</t>
  </si>
  <si>
    <t>Ms. Pattarawan Leangwattana/ Ms. Teeraporn Siritaweewat</t>
  </si>
  <si>
    <t>pattarawan_lea@tdem.toyota-asia.com</t>
  </si>
  <si>
    <t>86790-0K220-00</t>
  </si>
  <si>
    <t>T742</t>
  </si>
  <si>
    <t>D1</t>
  </si>
  <si>
    <t>758W</t>
  </si>
  <si>
    <t>BIS EOL</t>
  </si>
  <si>
    <t>demand sudden decrease in Nov -22% and sudden double increase in Feb</t>
  </si>
  <si>
    <t>W036</t>
  </si>
  <si>
    <t>BN</t>
  </si>
  <si>
    <r>
      <rPr>
        <color rgb="FFFF0000"/>
        <sz val="10"/>
        <rFont val="Calibri"/>
      </rPr>
      <t>975W &gt;&gt;&gt;</t>
    </r>
    <r>
      <rPr>
        <color rgb="FF2E75B5"/>
        <sz val="10"/>
        <rFont val="Calibri"/>
      </rPr>
      <t>024J</t>
    </r>
  </si>
  <si>
    <t xml:space="preserve">demand sudden increase in Jan </t>
  </si>
  <si>
    <t>M523</t>
  </si>
  <si>
    <t xml:space="preserve">demand sudden increase in Feb </t>
  </si>
  <si>
    <t>86790-0K120-00</t>
  </si>
  <si>
    <t>T962</t>
  </si>
  <si>
    <t>BIS</t>
  </si>
  <si>
    <t>U324</t>
  </si>
  <si>
    <t>demand sudden decrease in Nov -33% and sudden increase in Jan 19%</t>
  </si>
  <si>
    <t>U325</t>
  </si>
  <si>
    <t>U326</t>
  </si>
  <si>
    <t>T023</t>
  </si>
  <si>
    <t>demand sudden increase in Feb</t>
  </si>
  <si>
    <t>86790-0K200-00</t>
  </si>
  <si>
    <t>T741</t>
  </si>
  <si>
    <t>U750</t>
  </si>
  <si>
    <t>demand sudden decrease in Nov -48% and sudden increase in Jan 35% and Feb</t>
  </si>
  <si>
    <t>86790-BZ310-00</t>
  </si>
  <si>
    <t>W976</t>
  </si>
  <si>
    <t>O401</t>
  </si>
  <si>
    <t>D54H</t>
  </si>
  <si>
    <t>sum</t>
  </si>
  <si>
    <t>B-MPV</t>
  </si>
  <si>
    <t>J</t>
  </si>
  <si>
    <t>86790-BZ270-00</t>
  </si>
  <si>
    <t>V641</t>
  </si>
  <si>
    <t>Z1</t>
  </si>
  <si>
    <t>D33H</t>
  </si>
  <si>
    <t>B-SUV</t>
  </si>
  <si>
    <t>86790-BZ320-00</t>
  </si>
  <si>
    <t>B801</t>
  </si>
  <si>
    <t>G2</t>
  </si>
  <si>
    <t>D46H</t>
  </si>
  <si>
    <t>Tanasan Krittopakarn</t>
  </si>
  <si>
    <t>tkrittop@toyota.co.th</t>
  </si>
  <si>
    <t>H</t>
  </si>
  <si>
    <t>86790-BZ271-00</t>
  </si>
  <si>
    <t>A055</t>
  </si>
  <si>
    <t>demand sudden decrease in Dec -20% and sudden increase in Feb</t>
  </si>
  <si>
    <t>86790-BZ280-00</t>
  </si>
  <si>
    <t>V642</t>
  </si>
  <si>
    <t>teeraporn_sir@tdem.toyota-asia.com</t>
  </si>
  <si>
    <t>DG7</t>
  </si>
  <si>
    <t>86790-BZ210-00</t>
  </si>
  <si>
    <t>5U62</t>
  </si>
  <si>
    <t>D41H</t>
  </si>
  <si>
    <t>Ittipat Wongchaikul</t>
  </si>
  <si>
    <t>iwongcha@toyota.co.th</t>
  </si>
  <si>
    <t>86790-BZ220-00</t>
  </si>
  <si>
    <t>5U63</t>
  </si>
  <si>
    <t>J- SN1</t>
  </si>
  <si>
    <t>W611</t>
  </si>
  <si>
    <t>B800</t>
  </si>
  <si>
    <t>demand sudden decrease in Dec -20% and sudden increase in Jan 30%</t>
  </si>
  <si>
    <t>add</t>
  </si>
  <si>
    <t>86790-BZ321-00</t>
  </si>
  <si>
    <t>B901</t>
  </si>
  <si>
    <t>86790-BZ350-00</t>
  </si>
  <si>
    <t>17U2</t>
  </si>
  <si>
    <t>HEADER</t>
  </si>
  <si>
    <t>Part name</t>
  </si>
  <si>
    <t>Kanban No.</t>
  </si>
  <si>
    <r>
      <rPr>
        <b/>
        <u/>
        <color rgb="FF0000CC"/>
        <sz val="10"/>
        <rFont val="Arial"/>
      </rPr>
      <t xml:space="preserve">Start From
</t>
    </r>
    <r>
      <rPr>
        <b/>
        <color rgb="FF0000CC"/>
        <sz val="10"/>
        <rFont val="Arial"/>
      </rPr>
      <t>#Order No.</t>
    </r>
  </si>
  <si>
    <t>Remain Order Q'ty (Pcs.)</t>
  </si>
  <si>
    <t>pending PO Dec</t>
  </si>
  <si>
    <t>Actual</t>
  </si>
  <si>
    <t>PLANT CODE</t>
  </si>
  <si>
    <t>867900K05100</t>
  </si>
  <si>
    <t>PART TYPE</t>
  </si>
  <si>
    <t>867900K14100</t>
  </si>
  <si>
    <t>PRODUCTION MONTH</t>
  </si>
  <si>
    <t>867900K17100</t>
  </si>
  <si>
    <t>REVISION TYPE</t>
  </si>
  <si>
    <t>867900K23000</t>
  </si>
  <si>
    <t>FORECAST TYPE</t>
  </si>
  <si>
    <t>F</t>
  </si>
  <si>
    <t>WOC WEEK</t>
  </si>
  <si>
    <t>00-00</t>
  </si>
  <si>
    <t>REVISION NUMBER</t>
  </si>
  <si>
    <t>0</t>
  </si>
  <si>
    <t>ISSUE DATE</t>
  </si>
  <si>
    <t>23/05/2025</t>
  </si>
  <si>
    <t>REMARKS</t>
  </si>
  <si>
    <t>DETAILS</t>
  </si>
  <si>
    <t>N</t>
  </si>
  <si>
    <t>PART NUMBER</t>
  </si>
  <si>
    <t>PART CODE</t>
  </si>
  <si>
    <t>PART DESC</t>
  </si>
  <si>
    <t>SUPP CODE</t>
  </si>
  <si>
    <t>SHIPPING DOCK</t>
  </si>
  <si>
    <t>DOCK CODE</t>
  </si>
  <si>
    <t>CAR FAMILY</t>
  </si>
  <si>
    <t>PACKING SIZE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</si>
  <si>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</si>
  <si>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</si>
  <si>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</si>
  <si>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</si>
  <si>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</si>
  <si>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</si>
  <si>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</si>
  <si>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</si>
  <si>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</si>
  <si>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</si>
  <si>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</si>
  <si>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</si>
  <si>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</si>
  <si>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</si>
  <si>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</si>
  <si>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</si>
  <si>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</si>
  <si>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</si>
  <si>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</si>
  <si>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</si>
  <si>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</si>
  <si>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</si>
  <si>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</si>
  <si>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</si>
  <si>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</si>
  <si>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</si>
  <si>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</si>
  <si>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</si>
  <si>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</si>
  <si>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</si>
  <si>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</si>
  <si>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TTETA</t>
  </si>
  <si>
    <t>MS</t>
  </si>
  <si>
    <t>E1</t>
  </si>
  <si>
    <t>N2</t>
  </si>
  <si>
    <t>B</t>
  </si>
  <si>
    <t>P</t>
  </si>
  <si>
    <t>202503</t>
  </si>
  <si>
    <t>M</t>
  </si>
  <si>
    <t>X402</t>
  </si>
  <si>
    <t>X403</t>
  </si>
  <si>
    <t>G</t>
  </si>
  <si>
    <t>R1</t>
  </si>
  <si>
    <t>S</t>
  </si>
  <si>
    <t>V</t>
  </si>
  <si>
    <t>Part No</t>
  </si>
  <si>
    <t>Suffix</t>
  </si>
  <si>
    <t>Dock</t>
  </si>
  <si>
    <t>Supplier</t>
  </si>
  <si>
    <t>Splant</t>
  </si>
  <si>
    <t>Sdock</t>
  </si>
  <si>
    <t>Kbn No.</t>
  </si>
  <si>
    <t>Box Q'ty</t>
  </si>
  <si>
    <t>Start C/D OrderNo</t>
  </si>
  <si>
    <t>Remaining (pcs) from Standard</t>
  </si>
  <si>
    <t>867900K051</t>
  </si>
  <si>
    <t>00</t>
  </si>
  <si>
    <t>TTET</t>
  </si>
  <si>
    <t>A</t>
  </si>
  <si>
    <t>O1</t>
  </si>
  <si>
    <t>867900K141</t>
  </si>
  <si>
    <t>867900K171</t>
  </si>
  <si>
    <t>LT : 135 days.</t>
  </si>
  <si>
    <t>Jun's production</t>
  </si>
  <si>
    <t xml:space="preserve">Part </t>
  </si>
  <si>
    <t>for up forecast</t>
  </si>
  <si>
    <t>Customer code</t>
  </si>
  <si>
    <t>Remain June deli</t>
  </si>
  <si>
    <t>OH today</t>
  </si>
  <si>
    <t>OH Est end mth</t>
  </si>
  <si>
    <t>HILUX REVO D-CAB</t>
  </si>
  <si>
    <t>188D-D CAB</t>
  </si>
  <si>
    <t>HILUX REVO C-CAB</t>
  </si>
  <si>
    <t>188D-CAB</t>
  </si>
  <si>
    <t>188D-FORTUNER</t>
  </si>
  <si>
    <t>INOVA</t>
  </si>
  <si>
    <t>867B-INOVA</t>
  </si>
  <si>
    <t xml:space="preserve">86790-0K170-A </t>
  </si>
  <si>
    <t xml:space="preserve">86790-0K180-A </t>
  </si>
  <si>
    <t>86790-0K190-C FC1</t>
  </si>
  <si>
    <t>188D-INOVA</t>
  </si>
  <si>
    <t>VELOZ</t>
  </si>
  <si>
    <t>D28A</t>
  </si>
  <si>
    <t>867B (BIS)</t>
  </si>
  <si>
    <t>86790-0K200-A</t>
  </si>
  <si>
    <t>FORETUNER</t>
  </si>
  <si>
    <t>YARIS SEDAN</t>
  </si>
  <si>
    <t>D92A</t>
  </si>
  <si>
    <t>86790-0K141-A SN1</t>
  </si>
  <si>
    <t>86790-0K181-A SN1</t>
  </si>
  <si>
    <t>188D</t>
  </si>
  <si>
    <t>86790-BZ310-J</t>
  </si>
  <si>
    <t>B-Segment SUV</t>
  </si>
  <si>
    <t>D03B</t>
  </si>
  <si>
    <t>86790-0K051-A</t>
  </si>
  <si>
    <t>D54B</t>
  </si>
  <si>
    <t>Next IMV</t>
  </si>
  <si>
    <t>Grand Total</t>
  </si>
  <si>
    <t>86790-BZ280-J SN1</t>
  </si>
  <si>
    <t>86790-BZ310-J SN1</t>
  </si>
  <si>
    <t>Firm 0 (Production as of July'23)</t>
  </si>
  <si>
    <t>July</t>
  </si>
  <si>
    <t>August</t>
  </si>
  <si>
    <t>September</t>
  </si>
  <si>
    <t>October</t>
  </si>
  <si>
    <t>Data from K'Chaiyo</t>
  </si>
  <si>
    <t>Imp.CD</t>
  </si>
  <si>
    <t>CFC</t>
  </si>
  <si>
    <t>Jul'23</t>
  </si>
  <si>
    <t>Aug'23</t>
  </si>
  <si>
    <t>Sep'23</t>
  </si>
  <si>
    <t>Oct'23</t>
  </si>
  <si>
    <t>301B</t>
  </si>
  <si>
    <t>867900K050</t>
  </si>
  <si>
    <t>537B</t>
  </si>
  <si>
    <t>704B</t>
  </si>
  <si>
    <t>717C</t>
  </si>
  <si>
    <t>Sum</t>
  </si>
  <si>
    <t>Gap</t>
  </si>
  <si>
    <t>PART NUMBERPlant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</si>
</sst>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-* #,##0.00_-;_-* &quot;-&quot;??_-;_-@"/>
    <numFmt numFmtId="165" formatCode="###0"/>
    <numFmt numFmtId="166" formatCode="_-* #,##0_-;-* #,##0_-;_-* &quot;-&quot;??_-;_-@"/>
  </numFmts>
  <fonts count="39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/>
    <font>
      <b/>
      <color theme="1"/>
      <sz val="10"/>
      <name val="Tahoma"/>
    </font>
    <font>
      <color theme="1"/>
      <sz val="10"/>
      <name val="Tahoma"/>
    </font>
    <font>
      <b/>
      <color rgb="FF0000FF"/>
      <sz val="10"/>
      <name val="Calibri"/>
    </font>
    <font>
      <b/>
      <color rgb="FF0066FF"/>
      <sz val="10"/>
      <name val="Calibri"/>
    </font>
    <font>
      <color rgb="FFFF0000"/>
      <sz val="10"/>
      <name val="Calibri"/>
    </font>
    <font>
      <b/>
      <color theme="1"/>
      <sz val="14"/>
      <name val="Calibri"/>
    </font>
    <font>
      <b/>
      <color theme="1"/>
      <sz val="11"/>
      <name val="Calibri"/>
    </font>
    <font>
      <color theme="1"/>
      <sz val="11"/>
      <name val="Calibri"/>
    </font>
    <font>
      <color theme="0"/>
      <sz val="10"/>
      <name val="Calibri"/>
    </font>
    <font>
      <color rgb="FF9C0006"/>
      <sz val="11"/>
      <name val="Calibri"/>
    </font>
    <font>
      <u/>
      <color theme="1"/>
      <sz val="10"/>
      <name val="Calibri"/>
    </font>
    <font>
      <b/>
      <color theme="1"/>
      <sz val="12"/>
      <name val="Calibri"/>
    </font>
    <font>
      <b/>
      <color rgb="FF00B0F0"/>
      <sz val="10"/>
      <name val="Calibri"/>
    </font>
    <font>
      <b/>
      <color rgb="FFFF0000"/>
      <sz val="18"/>
      <name val="Calibri"/>
    </font>
    <font>
      <color rgb="FF00B0F0"/>
      <sz val="10"/>
      <name val="Calibri"/>
    </font>
    <font>
      <color rgb="FF2E75B5"/>
      <sz val="10"/>
      <name val="Calibri"/>
    </font>
    <font>
      <u/>
      <color theme="10"/>
      <sz val="11"/>
      <name val="Calibri"/>
    </font>
    <font>
      <color theme="1"/>
      <sz val="9"/>
      <name val="Arial"/>
    </font>
    <font>
      <color theme="1"/>
      <scheme val="minor"/>
      <name val="Calibri"/>
    </font>
    <font>
      <b/>
      <color theme="1"/>
      <sz val="9"/>
      <name val="Arial"/>
    </font>
    <font>
      <b/>
      <color theme="1"/>
      <sz val="8"/>
      <name val="Arial"/>
    </font>
    <font>
      <b/>
      <color rgb="FF0000CC"/>
      <sz val="10"/>
      <name val="Arial"/>
    </font>
    <font>
      <b/>
      <color theme="1"/>
      <sz val="10"/>
      <name val="Arial"/>
    </font>
    <font>
      <b/>
      <color rgb="FF0066FF"/>
      <sz val="10"/>
      <name val="Arial"/>
    </font>
    <font>
      <color theme="1"/>
      <sz val="10"/>
      <name val="Arial"/>
    </font>
    <font>
      <color theme="1"/>
      <sz val="8"/>
      <name val="Arial"/>
    </font>
    <font>
      <b/>
      <color rgb="FFFF0000"/>
      <sz val="12"/>
      <name val="Calibri"/>
    </font>
    <font>
      <b/>
      <color rgb="FFFF0000"/>
      <sz val="9"/>
      <name val="Arial"/>
    </font>
    <font>
      <color rgb="FFFF0000"/>
      <sz val="11"/>
      <name val="Calibri"/>
    </font>
    <font>
      <b/>
      <color rgb="FFFF0000"/>
      <sz val="10"/>
      <name val="Calibri"/>
    </font>
    <font>
      <b/>
      <color theme="1"/>
      <sz val="11"/>
      <name val="Tahoma"/>
    </font>
    <font>
      <color rgb="FFFFFFFF"/>
      <scheme val="minor"/>
      <name val="Calibri"/>
    </font>
    <font>
      <color theme="1"/>
      <sz val="18"/>
      <name val="Calibri"/>
    </font>
    <font>
      <color rgb="FF000000"/>
      <sz val="9"/>
      <name val="Calibri"/>
    </font>
    <font>
      <color rgb="FF000000"/>
      <sz val="11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9393"/>
        <bgColor rgb="FFFF9393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rgb="FF757070"/>
        <bgColor rgb="FF75707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FFFEF2CB"/>
        <bgColor rgb="FFFEF2CB"/>
      </patternFill>
    </fill>
    <fill>
      <patternFill patternType="solid">
        <fgColor rgb="FFFF8184"/>
        <bgColor rgb="FFFF8184"/>
      </patternFill>
    </fill>
    <fill>
      <patternFill patternType="solid">
        <fgColor rgb="FFFFE598"/>
        <bgColor rgb="FFFFE598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FFC6C6"/>
        <bgColor rgb="FFFFC6C6"/>
      </patternFill>
    </fill>
    <fill>
      <patternFill patternType="solid">
        <fgColor rgb="FFFFD965"/>
        <bgColor rgb="FFFFD965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E6F7FF"/>
      </patternFill>
    </fill>
    <fill>
      <patternFill patternType="solid">
        <fgColor rgb="FFFF7C80"/>
        <bgColor rgb="FFFF7C80"/>
      </patternFill>
    </fill>
    <fill>
      <patternFill patternType="solid">
        <fgColor rgb="FF9900FF"/>
        <bgColor rgb="FF9900FF"/>
      </patternFill>
    </fill>
    <fill>
      <patternFill patternType="solid">
        <fgColor rgb="FFC5E0B3"/>
        <bgColor rgb="FFC5E0B3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5" fontId="1" fillId="0" borderId="0" xfId="0" applyNumberFormat="1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0" xfId="0" applyFont="1" applyFill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3" fontId="4" fillId="3" borderId="5" xfId="0" applyNumberFormat="1" applyFont="1" applyFill="1" applyBorder="1" applyAlignment="1">
      <alignment horizontal="center"/>
    </xf>
    <xf numFmtId="3" fontId="4" fillId="3" borderId="6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/>
    </xf>
    <xf numFmtId="3" fontId="2" fillId="0" borderId="12" xfId="0" applyNumberFormat="1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3" fontId="2" fillId="0" borderId="15" xfId="0" applyNumberFormat="1" applyFont="1" applyBorder="1"/>
    <xf numFmtId="0" fontId="3" fillId="0" borderId="16" xfId="0" applyFont="1" applyBorder="1"/>
    <xf numFmtId="0" fontId="3" fillId="0" borderId="17" xfId="0" applyFont="1" applyBorder="1"/>
    <xf numFmtId="3" fontId="5" fillId="4" borderId="18" xfId="0" applyNumberFormat="1" applyFont="1" applyFill="1" applyBorder="1" applyAlignment="1">
      <alignment horizontal="center"/>
    </xf>
    <xf numFmtId="3" fontId="2" fillId="4" borderId="19" xfId="0" applyNumberFormat="1" applyFont="1" applyFill="1" applyBorder="1"/>
    <xf numFmtId="3" fontId="2" fillId="4" borderId="20" xfId="0" applyNumberFormat="1" applyFont="1" applyFill="1" applyBorder="1"/>
    <xf numFmtId="3" fontId="2" fillId="4" borderId="1" xfId="0" applyNumberFormat="1" applyFont="1" applyFill="1" applyBorder="1"/>
    <xf numFmtId="3" fontId="2" fillId="4" borderId="21" xfId="0" applyNumberFormat="1" applyFont="1" applyFill="1" applyBorder="1"/>
    <xf numFmtId="3" fontId="2" fillId="0" borderId="0" xfId="0" applyNumberFormat="1" applyFont="1"/>
    <xf numFmtId="0" fontId="3" fillId="0" borderId="22" xfId="0" applyFont="1" applyBorder="1"/>
    <xf numFmtId="0" fontId="3" fillId="0" borderId="23" xfId="0" applyFont="1" applyBorder="1"/>
    <xf numFmtId="3" fontId="5" fillId="0" borderId="24" xfId="0" applyNumberFormat="1" applyFont="1" applyBorder="1" applyAlignment="1">
      <alignment horizontal="center"/>
    </xf>
    <xf numFmtId="9" fontId="6" fillId="0" borderId="24" xfId="0" applyNumberFormat="1" applyFont="1" applyBorder="1" applyAlignment="1">
      <alignment horizontal="center"/>
    </xf>
    <xf numFmtId="9" fontId="6" fillId="0" borderId="25" xfId="0" applyNumberFormat="1" applyFont="1" applyBorder="1" applyAlignment="1">
      <alignment horizontal="center"/>
    </xf>
    <xf numFmtId="9" fontId="6" fillId="0" borderId="26" xfId="0" applyNumberFormat="1" applyFont="1" applyBorder="1" applyAlignment="1">
      <alignment horizontal="center"/>
    </xf>
    <xf numFmtId="9" fontId="7" fillId="0" borderId="26" xfId="0" applyNumberFormat="1" applyFont="1" applyBorder="1" applyAlignment="1">
      <alignment horizontal="center"/>
    </xf>
    <xf numFmtId="3" fontId="8" fillId="4" borderId="21" xfId="0" applyNumberFormat="1" applyFont="1" applyFill="1" applyBorder="1"/>
    <xf numFmtId="3" fontId="2" fillId="0" borderId="15" xfId="0" applyNumberFormat="1" applyFont="1" applyBorder="1" applyAlignment="1">
      <alignment horizontal="right"/>
    </xf>
    <xf numFmtId="9" fontId="6" fillId="4" borderId="27" xfId="0" applyNumberFormat="1" applyFont="1" applyFill="1" applyBorder="1" applyAlignment="1">
      <alignment horizontal="center"/>
    </xf>
    <xf numFmtId="9" fontId="6" fillId="4" borderId="28" xfId="0" applyNumberFormat="1" applyFont="1" applyFill="1" applyBorder="1" applyAlignment="1">
      <alignment horizontal="center"/>
    </xf>
    <xf numFmtId="3" fontId="6" fillId="4" borderId="29" xfId="0" applyNumberFormat="1" applyFont="1" applyFill="1" applyBorder="1" applyAlignment="1">
      <alignment horizontal="center"/>
    </xf>
    <xf numFmtId="3" fontId="2" fillId="4" borderId="29" xfId="0" applyNumberFormat="1" applyFont="1" applyFill="1" applyBorder="1" applyAlignment="1">
      <alignment horizontal="right"/>
    </xf>
    <xf numFmtId="3" fontId="8" fillId="4" borderId="29" xfId="0" applyNumberFormat="1" applyFont="1" applyFill="1" applyBorder="1" applyAlignment="1">
      <alignment horizontal="right"/>
    </xf>
    <xf numFmtId="0" fontId="9" fillId="0" borderId="0" xfId="0" applyFont="1"/>
    <xf numFmtId="15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0" fillId="5" borderId="0" xfId="0" applyFont="1" applyFill="1" applyAlignment="1">
      <alignment horizontal="center"/>
    </xf>
    <xf numFmtId="164" fontId="11" fillId="5" borderId="0" xfId="0" applyNumberFormat="1" applyFont="1" applyFill="1" applyAlignment="1">
      <alignment vertical="center"/>
    </xf>
    <xf numFmtId="164" fontId="11" fillId="4" borderId="0" xfId="0" applyNumberFormat="1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49" fontId="2" fillId="8" borderId="0" xfId="0" applyNumberFormat="1" applyFont="1" applyFill="1"/>
    <xf numFmtId="0" fontId="2" fillId="8" borderId="0" xfId="0" applyFont="1" applyFill="1"/>
    <xf numFmtId="3" fontId="2" fillId="5" borderId="0" xfId="0" applyNumberFormat="1" applyFont="1" applyFill="1"/>
    <xf numFmtId="3" fontId="2" fillId="8" borderId="0" xfId="0" applyNumberFormat="1" applyFont="1" applyFill="1"/>
    <xf numFmtId="3" fontId="12" fillId="8" borderId="0" xfId="0" applyNumberFormat="1" applyFont="1" applyFill="1"/>
    <xf numFmtId="9" fontId="2" fillId="9" borderId="0" xfId="0" applyNumberFormat="1" applyFont="1" applyFill="1"/>
    <xf numFmtId="9" fontId="2" fillId="8" borderId="0" xfId="0" applyNumberFormat="1" applyFont="1" applyFill="1"/>
    <xf numFmtId="49" fontId="2" fillId="10" borderId="0" xfId="0" applyNumberFormat="1" applyFont="1" applyFill="1"/>
    <xf numFmtId="49" fontId="2" fillId="0" borderId="0" xfId="0" applyNumberFormat="1" applyFont="1"/>
    <xf numFmtId="3" fontId="12" fillId="0" borderId="0" xfId="0" applyNumberFormat="1" applyFont="1"/>
    <xf numFmtId="3" fontId="2" fillId="4" borderId="0" xfId="0" applyNumberFormat="1" applyFont="1" applyFill="1"/>
    <xf numFmtId="3" fontId="2" fillId="11" borderId="0" xfId="0" applyNumberFormat="1" applyFont="1" applyFill="1"/>
    <xf numFmtId="9" fontId="2" fillId="0" borderId="0" xfId="0" applyNumberFormat="1" applyFont="1"/>
    <xf numFmtId="49" fontId="8" fillId="7" borderId="0" xfId="0" applyNumberFormat="1" applyFont="1" applyFill="1"/>
    <xf numFmtId="0" fontId="2" fillId="12" borderId="0" xfId="0" applyFont="1" applyFill="1"/>
    <xf numFmtId="49" fontId="8" fillId="0" borderId="0" xfId="0" applyNumberFormat="1" applyFont="1"/>
    <xf numFmtId="49" fontId="2" fillId="7" borderId="0" xfId="0" applyNumberFormat="1" applyFont="1" applyFill="1"/>
    <xf numFmtId="3" fontId="13" fillId="13" borderId="0" xfId="0" applyNumberFormat="1" applyFont="1" applyFill="1"/>
    <xf numFmtId="49" fontId="11" fillId="8" borderId="0" xfId="0" applyNumberFormat="1" applyFont="1" applyFill="1"/>
    <xf numFmtId="3" fontId="2" fillId="6" borderId="0" xfId="0" applyNumberFormat="1" applyFont="1" applyFill="1"/>
    <xf numFmtId="0" fontId="2" fillId="11" borderId="0" xfId="0" applyFont="1" applyFill="1"/>
    <xf numFmtId="49" fontId="2" fillId="10" borderId="0" xfId="0" applyNumberFormat="1" applyFont="1" applyFill="1" applyAlignment="1">
      <alignment horizontal="left"/>
    </xf>
    <xf numFmtId="49" fontId="11" fillId="4" borderId="0" xfId="0" applyNumberFormat="1" applyFont="1" applyFill="1"/>
    <xf numFmtId="49" fontId="2" fillId="8" borderId="0" xfId="0" applyNumberFormat="1" applyFont="1" applyFill="1" applyAlignment="1">
      <alignment horizontal="left"/>
    </xf>
    <xf numFmtId="15" fontId="2" fillId="8" borderId="0" xfId="0" applyNumberFormat="1" applyFont="1" applyFill="1" applyAlignment="1">
      <alignment horizontal="left"/>
    </xf>
    <xf numFmtId="49" fontId="2" fillId="7" borderId="0" xfId="0" applyNumberFormat="1" applyFont="1" applyFill="1" applyAlignment="1">
      <alignment horizontal="left"/>
    </xf>
    <xf numFmtId="0" fontId="2" fillId="10" borderId="0" xfId="0" applyFont="1" applyFill="1" applyAlignment="1">
      <alignment horizontal="left"/>
    </xf>
    <xf numFmtId="3" fontId="8" fillId="0" borderId="0" xfId="0" applyNumberFormat="1" applyFont="1"/>
    <xf numFmtId="49" fontId="2" fillId="6" borderId="0" xfId="0" applyNumberFormat="1" applyFont="1" applyFill="1"/>
    <xf numFmtId="0" fontId="14" fillId="0" borderId="30" xfId="0" applyFont="1" applyBorder="1" applyAlignment="1">
      <alignment horizontal="right"/>
    </xf>
    <xf numFmtId="3" fontId="2" fillId="0" borderId="31" xfId="0" applyNumberFormat="1" applyFont="1" applyBorder="1"/>
    <xf numFmtId="3" fontId="2" fillId="7" borderId="32" xfId="0" applyNumberFormat="1" applyFont="1" applyFill="1" applyBorder="1"/>
    <xf numFmtId="0" fontId="2" fillId="10" borderId="0" xfId="0" applyFont="1" applyFill="1"/>
    <xf numFmtId="49" fontId="2" fillId="9" borderId="0" xfId="0" applyNumberFormat="1" applyFont="1" applyFill="1"/>
    <xf numFmtId="0" fontId="2" fillId="9" borderId="0" xfId="0" applyFont="1" applyFill="1"/>
    <xf numFmtId="3" fontId="12" fillId="9" borderId="0" xfId="0" applyNumberFormat="1" applyFont="1" applyFill="1"/>
    <xf numFmtId="3" fontId="2" fillId="9" borderId="0" xfId="0" applyNumberFormat="1" applyFont="1" applyFill="1"/>
    <xf numFmtId="0" fontId="15" fillId="0" borderId="0" xfId="0" applyFont="1"/>
    <xf numFmtId="15" fontId="1" fillId="14" borderId="0" xfId="0" applyNumberFormat="1" applyFont="1" applyFill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/>
    <xf numFmtId="0" fontId="16" fillId="0" borderId="0" xfId="0" applyFont="1" applyAlignment="1">
      <alignment wrapText="1"/>
    </xf>
    <xf numFmtId="0" fontId="1" fillId="15" borderId="2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/>
    <xf numFmtId="3" fontId="2" fillId="7" borderId="23" xfId="0" applyNumberFormat="1" applyFont="1" applyFill="1" applyBorder="1" applyAlignment="1">
      <alignment horizontal="center" vertical="top"/>
    </xf>
    <xf numFmtId="3" fontId="2" fillId="2" borderId="0" xfId="0" applyNumberFormat="1" applyFont="1" applyFill="1"/>
    <xf numFmtId="0" fontId="15" fillId="4" borderId="0" xfId="0" applyFont="1" applyFill="1"/>
    <xf numFmtId="15" fontId="2" fillId="14" borderId="0" xfId="0" applyNumberFormat="1" applyFont="1" applyFill="1"/>
    <xf numFmtId="0" fontId="3" fillId="0" borderId="0" xfId="0" applyFont="1"/>
    <xf numFmtId="0" fontId="2" fillId="2" borderId="20" xfId="0" applyFont="1" applyFill="1" applyBorder="1"/>
    <xf numFmtId="0" fontId="2" fillId="6" borderId="20" xfId="0" applyFont="1" applyFill="1" applyBorder="1"/>
    <xf numFmtId="0" fontId="2" fillId="2" borderId="20" xfId="0" applyFont="1" applyFill="1" applyBorder="1" applyAlignment="1">
      <alignment horizontal="center"/>
    </xf>
    <xf numFmtId="0" fontId="2" fillId="0" borderId="20" xfId="0" applyFont="1" applyBorder="1"/>
    <xf numFmtId="0" fontId="17" fillId="0" borderId="0" xfId="0" applyFont="1"/>
    <xf numFmtId="0" fontId="2" fillId="6" borderId="0" xfId="0" applyFont="1" applyFill="1"/>
    <xf numFmtId="0" fontId="2" fillId="16" borderId="0" xfId="0" applyFont="1" applyFill="1"/>
    <xf numFmtId="0" fontId="18" fillId="16" borderId="0" xfId="0" applyFont="1" applyFill="1"/>
    <xf numFmtId="3" fontId="2" fillId="16" borderId="0" xfId="0" applyNumberFormat="1" applyFont="1" applyFill="1"/>
    <xf numFmtId="3" fontId="19" fillId="16" borderId="0" xfId="0" applyNumberFormat="1" applyFont="1" applyFill="1"/>
    <xf numFmtId="3" fontId="2" fillId="7" borderId="0" xfId="0" applyNumberFormat="1" applyFont="1" applyFill="1" applyAlignment="1">
      <alignment horizontal="center"/>
    </xf>
    <xf numFmtId="3" fontId="2" fillId="17" borderId="0" xfId="0" applyNumberFormat="1" applyFont="1" applyFill="1"/>
    <xf numFmtId="9" fontId="2" fillId="18" borderId="0" xfId="0" applyNumberFormat="1" applyFont="1" applyFill="1"/>
    <xf numFmtId="9" fontId="2" fillId="17" borderId="0" xfId="0" applyNumberFormat="1" applyFont="1" applyFill="1"/>
    <xf numFmtId="0" fontId="20" fillId="0" borderId="0" xfId="0" applyFont="1"/>
    <xf numFmtId="0" fontId="2" fillId="18" borderId="0" xfId="0" applyFont="1" applyFill="1"/>
    <xf numFmtId="3" fontId="2" fillId="0" borderId="0" xfId="0" applyNumberFormat="1" applyFont="1" applyAlignment="1">
      <alignment horizontal="center"/>
    </xf>
    <xf numFmtId="0" fontId="8" fillId="0" borderId="0" xfId="0" applyFont="1"/>
    <xf numFmtId="0" fontId="16" fillId="0" borderId="0" xfId="0" applyFont="1"/>
    <xf numFmtId="0" fontId="21" fillId="4" borderId="20" xfId="0" applyFont="1" applyFill="1" applyBorder="1" applyAlignment="1">
      <alignment horizontal="left" vertical="top"/>
    </xf>
    <xf numFmtId="0" fontId="21" fillId="4" borderId="0" xfId="0" applyFont="1" applyFill="1" applyAlignment="1">
      <alignment horizontal="left" vertical="top"/>
    </xf>
    <xf numFmtId="0" fontId="8" fillId="16" borderId="0" xfId="0" applyFont="1" applyFill="1"/>
    <xf numFmtId="0" fontId="21" fillId="0" borderId="0" xfId="0" applyFont="1" applyAlignment="1">
      <alignment horizontal="left" vertical="top"/>
    </xf>
    <xf numFmtId="0" fontId="11" fillId="18" borderId="0" xfId="0" applyFont="1" applyFill="1"/>
    <xf numFmtId="0" fontId="21" fillId="0" borderId="20" xfId="0" applyFont="1" applyBorder="1" applyAlignment="1">
      <alignment horizontal="left" vertical="top"/>
    </xf>
    <xf numFmtId="0" fontId="22" fillId="0" borderId="0" xfId="0" applyFont="1"/>
    <xf numFmtId="3" fontId="2" fillId="19" borderId="0" xfId="0" applyNumberFormat="1" applyFont="1" applyFill="1"/>
    <xf numFmtId="0" fontId="11" fillId="16" borderId="0" xfId="0" applyFont="1" applyFill="1"/>
    <xf numFmtId="0" fontId="11" fillId="20" borderId="0" xfId="0" applyFont="1" applyFill="1"/>
    <xf numFmtId="0" fontId="2" fillId="20" borderId="0" xfId="0" applyFont="1" applyFill="1"/>
    <xf numFmtId="0" fontId="11" fillId="12" borderId="0" xfId="0" applyFont="1" applyFill="1"/>
    <xf numFmtId="0" fontId="21" fillId="12" borderId="20" xfId="0" applyFont="1" applyFill="1" applyBorder="1" applyAlignment="1">
      <alignment horizontal="left" vertical="top"/>
    </xf>
    <xf numFmtId="0" fontId="21" fillId="6" borderId="0" xfId="0" applyFont="1" applyFill="1" applyAlignment="1">
      <alignment horizontal="left" vertical="top"/>
    </xf>
    <xf numFmtId="0" fontId="11" fillId="6" borderId="0" xfId="0" applyFont="1" applyFill="1"/>
    <xf numFmtId="0" fontId="11" fillId="8" borderId="0" xfId="0" applyFont="1" applyFill="1"/>
    <xf numFmtId="0" fontId="21" fillId="8" borderId="20" xfId="0" applyFont="1" applyFill="1" applyBorder="1" applyAlignment="1">
      <alignment horizontal="left" vertical="top"/>
    </xf>
    <xf numFmtId="0" fontId="21" fillId="8" borderId="0" xfId="0" applyFont="1" applyFill="1" applyAlignment="1">
      <alignment horizontal="left" vertical="top"/>
    </xf>
    <xf numFmtId="3" fontId="2" fillId="8" borderId="0" xfId="0" applyNumberFormat="1" applyFont="1" applyFill="1" applyAlignment="1">
      <alignment horizontal="center"/>
    </xf>
    <xf numFmtId="3" fontId="2" fillId="18" borderId="0" xfId="0" applyNumberFormat="1" applyFont="1" applyFill="1"/>
    <xf numFmtId="3" fontId="11" fillId="17" borderId="0" xfId="0" applyNumberFormat="1" applyFont="1" applyFill="1"/>
    <xf numFmtId="0" fontId="2" fillId="17" borderId="0" xfId="0" applyFont="1" applyFill="1"/>
    <xf numFmtId="3" fontId="2" fillId="2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right"/>
    </xf>
    <xf numFmtId="3" fontId="11" fillId="7" borderId="0" xfId="0" applyNumberFormat="1" applyFont="1" applyFill="1" applyAlignment="1">
      <alignment horizontal="center"/>
    </xf>
    <xf numFmtId="3" fontId="11" fillId="8" borderId="0" xfId="0" applyNumberFormat="1" applyFont="1" applyFill="1"/>
    <xf numFmtId="0" fontId="2" fillId="0" borderId="0" xfId="0" applyFont="1" applyAlignment="1">
      <alignment horizontal="right"/>
    </xf>
    <xf numFmtId="0" fontId="11" fillId="4" borderId="0" xfId="0" applyFont="1" applyFill="1"/>
    <xf numFmtId="0" fontId="11" fillId="0" borderId="0" xfId="0" applyFont="1" applyAlignment="1">
      <alignment horizontal="right"/>
    </xf>
    <xf numFmtId="0" fontId="23" fillId="21" borderId="0" xfId="0" applyFont="1" applyFill="1" applyAlignment="1">
      <alignment horizontal="left" vertical="top"/>
    </xf>
    <xf numFmtId="49" fontId="24" fillId="0" borderId="20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3" fontId="25" fillId="22" borderId="20" xfId="0" applyNumberFormat="1" applyFont="1" applyFill="1" applyBorder="1" applyAlignment="1">
      <alignment horizontal="center" vertical="center" wrapText="1"/>
    </xf>
    <xf numFmtId="3" fontId="24" fillId="22" borderId="20" xfId="0" applyNumberFormat="1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16" fontId="28" fillId="0" borderId="0" xfId="0" applyNumberFormat="1" applyFont="1"/>
    <xf numFmtId="0" fontId="28" fillId="0" borderId="0" xfId="0" applyFont="1"/>
    <xf numFmtId="0" fontId="23" fillId="0" borderId="0" xfId="0" applyFont="1" applyAlignment="1">
      <alignment horizontal="left" vertical="top"/>
    </xf>
    <xf numFmtId="0" fontId="11" fillId="23" borderId="20" xfId="0" applyFont="1" applyFill="1" applyBorder="1" applyAlignment="1">
      <alignment horizontal="center"/>
    </xf>
    <xf numFmtId="0" fontId="29" fillId="23" borderId="20" xfId="0" applyFont="1" applyFill="1" applyBorder="1" applyAlignment="1">
      <alignment vertical="center"/>
    </xf>
    <xf numFmtId="0" fontId="11" fillId="23" borderId="20" xfId="0" applyFont="1" applyFill="1" applyBorder="1" applyAlignment="1">
      <alignment horizontal="center" vertical="center"/>
    </xf>
    <xf numFmtId="0" fontId="2" fillId="23" borderId="20" xfId="0" applyFont="1" applyFill="1" applyBorder="1" applyAlignment="1">
      <alignment horizontal="center"/>
    </xf>
    <xf numFmtId="3" fontId="30" fillId="23" borderId="20" xfId="0" applyNumberFormat="1" applyFont="1" applyFill="1" applyBorder="1" applyAlignment="1">
      <alignment horizontal="center"/>
    </xf>
    <xf numFmtId="3" fontId="26" fillId="4" borderId="0" xfId="0" applyNumberFormat="1" applyFont="1" applyFill="1"/>
    <xf numFmtId="0" fontId="11" fillId="0" borderId="0" xfId="0" applyFont="1" applyAlignment="1">
      <alignment vertical="center"/>
    </xf>
    <xf numFmtId="0" fontId="23" fillId="0" borderId="20" xfId="0" applyFont="1" applyBorder="1" applyAlignment="1">
      <alignment horizontal="left" vertical="top"/>
    </xf>
    <xf numFmtId="0" fontId="21" fillId="24" borderId="33" xfId="0" applyFont="1" applyFill="1" applyBorder="1" applyAlignment="1">
      <alignment horizontal="left" vertical="top"/>
    </xf>
    <xf numFmtId="165" fontId="21" fillId="24" borderId="33" xfId="0" applyNumberFormat="1" applyFont="1" applyFill="1" applyBorder="1" applyAlignment="1">
      <alignment horizontal="left" vertical="top" wrapText="1"/>
    </xf>
    <xf numFmtId="165" fontId="31" fillId="24" borderId="33" xfId="0" applyNumberFormat="1" applyFont="1" applyFill="1" applyBorder="1" applyAlignment="1">
      <alignment horizontal="left" vertical="top" wrapText="1"/>
    </xf>
    <xf numFmtId="166" fontId="28" fillId="0" borderId="0" xfId="0" applyNumberFormat="1" applyFont="1"/>
    <xf numFmtId="166" fontId="11" fillId="7" borderId="0" xfId="0" applyNumberFormat="1" applyFont="1" applyFill="1"/>
    <xf numFmtId="165" fontId="28" fillId="0" borderId="0" xfId="0" applyNumberFormat="1" applyFont="1"/>
    <xf numFmtId="165" fontId="21" fillId="0" borderId="20" xfId="0" applyNumberFormat="1" applyFont="1" applyBorder="1" applyAlignment="1">
      <alignment horizontal="left" vertical="top" wrapText="1"/>
    </xf>
    <xf numFmtId="0" fontId="21" fillId="6" borderId="20" xfId="0" applyFont="1" applyFill="1" applyBorder="1" applyAlignment="1">
      <alignment horizontal="left" vertical="top"/>
    </xf>
    <xf numFmtId="165" fontId="11" fillId="0" borderId="0" xfId="0" applyNumberFormat="1" applyFont="1"/>
    <xf numFmtId="165" fontId="11" fillId="7" borderId="0" xfId="0" applyNumberFormat="1" applyFont="1" applyFill="1"/>
    <xf numFmtId="0" fontId="21" fillId="25" borderId="20" xfId="0" applyFont="1" applyFill="1" applyBorder="1" applyAlignment="1">
      <alignment horizontal="left" vertical="top"/>
    </xf>
    <xf numFmtId="165" fontId="21" fillId="0" borderId="0" xfId="0" applyNumberFormat="1" applyFont="1" applyAlignment="1">
      <alignment horizontal="left" vertical="top" wrapText="1"/>
    </xf>
    <xf numFmtId="166" fontId="11" fillId="0" borderId="0" xfId="0" applyNumberFormat="1" applyFont="1"/>
    <xf numFmtId="165" fontId="32" fillId="0" borderId="0" xfId="0" applyNumberFormat="1" applyFont="1"/>
    <xf numFmtId="0" fontId="32" fillId="0" borderId="0" xfId="0" applyFont="1"/>
    <xf numFmtId="49" fontId="5" fillId="22" borderId="20" xfId="0" applyNumberFormat="1" applyFont="1" applyFill="1" applyBorder="1" applyAlignment="1">
      <alignment horizontal="center" vertical="center" wrapText="1"/>
    </xf>
    <xf numFmtId="49" fontId="4" fillId="22" borderId="20" xfId="0" applyNumberFormat="1" applyFont="1" applyFill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/>
    </xf>
    <xf numFmtId="0" fontId="33" fillId="0" borderId="20" xfId="0" applyFont="1" applyBorder="1" applyAlignment="1">
      <alignment horizontal="center" vertical="center"/>
    </xf>
    <xf numFmtId="0" fontId="26" fillId="4" borderId="0" xfId="0" applyFont="1" applyFill="1"/>
    <xf numFmtId="0" fontId="11" fillId="0" borderId="20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22" fillId="26" borderId="0" xfId="0" applyFont="1" applyFill="1"/>
    <xf numFmtId="0" fontId="22" fillId="13" borderId="0" xfId="0" applyFont="1" applyFill="1"/>
    <xf numFmtId="0" fontId="35" fillId="26" borderId="0" xfId="0" applyFont="1" applyFill="1"/>
    <xf numFmtId="0" fontId="21" fillId="26" borderId="20" xfId="0" applyFont="1" applyFill="1" applyBorder="1" applyAlignment="1">
      <alignment horizontal="left" vertical="top"/>
    </xf>
    <xf numFmtId="0" fontId="1" fillId="4" borderId="0" xfId="0" applyFont="1" applyFill="1"/>
    <xf numFmtId="15" fontId="2" fillId="4" borderId="0" xfId="0" applyNumberFormat="1" applyFont="1" applyFill="1"/>
    <xf numFmtId="0" fontId="36" fillId="7" borderId="0" xfId="0" applyFont="1" applyFill="1"/>
    <xf numFmtId="0" fontId="2" fillId="7" borderId="0" xfId="0" applyFont="1" applyFill="1"/>
    <xf numFmtId="0" fontId="1" fillId="27" borderId="20" xfId="0" applyFont="1" applyFill="1" applyBorder="1" applyAlignment="1">
      <alignment horizontal="center" vertical="center"/>
    </xf>
    <xf numFmtId="0" fontId="9" fillId="27" borderId="20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 wrapText="1"/>
    </xf>
    <xf numFmtId="0" fontId="1" fillId="7" borderId="2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2" fillId="18" borderId="20" xfId="0" applyFont="1" applyFill="1" applyBorder="1"/>
    <xf numFmtId="0" fontId="2" fillId="4" borderId="20" xfId="0" applyFont="1" applyFill="1" applyBorder="1"/>
    <xf numFmtId="3" fontId="2" fillId="14" borderId="20" xfId="0" applyNumberFormat="1" applyFont="1" applyFill="1" applyBorder="1"/>
    <xf numFmtId="2" fontId="2" fillId="0" borderId="0" xfId="0" applyNumberFormat="1" applyFont="1"/>
    <xf numFmtId="3" fontId="2" fillId="8" borderId="20" xfId="0" applyNumberFormat="1" applyFont="1" applyFill="1" applyBorder="1"/>
    <xf numFmtId="3" fontId="2" fillId="0" borderId="20" xfId="0" applyNumberFormat="1" applyFont="1" applyBorder="1"/>
    <xf numFmtId="9" fontId="2" fillId="0" borderId="20" xfId="0" applyNumberFormat="1" applyFont="1" applyBorder="1" applyAlignment="1">
      <alignment horizontal="center"/>
    </xf>
    <xf numFmtId="9" fontId="2" fillId="8" borderId="20" xfId="0" applyNumberFormat="1" applyFont="1" applyFill="1" applyBorder="1" applyAlignment="1">
      <alignment horizontal="center"/>
    </xf>
    <xf numFmtId="0" fontId="2" fillId="10" borderId="20" xfId="0" applyFont="1" applyFill="1" applyBorder="1"/>
    <xf numFmtId="3" fontId="2" fillId="27" borderId="20" xfId="0" applyNumberFormat="1" applyFont="1" applyFill="1" applyBorder="1"/>
    <xf numFmtId="9" fontId="2" fillId="6" borderId="20" xfId="0" applyNumberFormat="1" applyFont="1" applyFill="1" applyBorder="1" applyAlignment="1">
      <alignment horizontal="center"/>
    </xf>
    <xf numFmtId="3" fontId="2" fillId="19" borderId="20" xfId="0" applyNumberFormat="1" applyFont="1" applyFill="1" applyBorder="1"/>
    <xf numFmtId="0" fontId="2" fillId="8" borderId="20" xfId="0" applyFont="1" applyFill="1" applyBorder="1"/>
    <xf numFmtId="0" fontId="2" fillId="7" borderId="20" xfId="0" applyFont="1" applyFill="1" applyBorder="1"/>
    <xf numFmtId="3" fontId="2" fillId="5" borderId="20" xfId="0" applyNumberFormat="1" applyFont="1" applyFill="1" applyBorder="1"/>
    <xf numFmtId="9" fontId="2" fillId="8" borderId="0" xfId="0" applyNumberFormat="1" applyFont="1" applyFill="1" applyAlignment="1">
      <alignment horizontal="center"/>
    </xf>
    <xf numFmtId="3" fontId="2" fillId="0" borderId="34" xfId="0" applyNumberFormat="1" applyFont="1" applyBorder="1"/>
    <xf numFmtId="166" fontId="2" fillId="7" borderId="32" xfId="0" applyNumberFormat="1" applyFont="1" applyFill="1" applyBorder="1"/>
    <xf numFmtId="166" fontId="2" fillId="0" borderId="0" xfId="0" applyNumberFormat="1" applyFont="1"/>
    <xf numFmtId="10" fontId="2" fillId="0" borderId="0" xfId="0" applyNumberFormat="1" applyFont="1"/>
    <xf numFmtId="0" fontId="11" fillId="0" borderId="0" xfId="0" applyFont="1" applyAlignment="1">
      <alignment horizontal="left"/>
    </xf>
    <xf numFmtId="0" fontId="9" fillId="4" borderId="20" xfId="0" applyFont="1" applyFill="1" applyBorder="1" applyAlignment="1">
      <alignment horizontal="center"/>
    </xf>
    <xf numFmtId="3" fontId="11" fillId="0" borderId="0" xfId="0" applyNumberFormat="1" applyFont="1"/>
    <xf numFmtId="0" fontId="2" fillId="4" borderId="20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37" fillId="0" borderId="20" xfId="0" applyFont="1" applyBorder="1" applyAlignment="1">
      <alignment horizontal="center" vertical="center" textRotation="90"/>
    </xf>
    <xf numFmtId="0" fontId="37" fillId="0" borderId="20" xfId="0" applyFont="1" applyBorder="1" applyAlignment="1">
      <alignment vertical="center"/>
    </xf>
    <xf numFmtId="0" fontId="38" fillId="0" borderId="20" xfId="0" applyFont="1" applyBorder="1" applyAlignment="1">
      <alignment horizontal="right" vertical="center"/>
    </xf>
    <xf numFmtId="0" fontId="37" fillId="0" borderId="35" xfId="0" applyFont="1" applyBorder="1" applyAlignment="1">
      <alignment vertical="center"/>
    </xf>
    <xf numFmtId="166" fontId="11" fillId="14" borderId="35" xfId="0" applyNumberFormat="1" applyFont="1" applyFill="1" applyBorder="1"/>
    <xf numFmtId="166" fontId="32" fillId="0" borderId="20" xfId="0" applyNumberFormat="1" applyFont="1" applyBorder="1"/>
    <xf numFmtId="0" fontId="0" fillId="24" borderId="33" xfId="0" applyFill="1" applyBorder="1"/>
    <xf numFmtId="0" fontId="23" fillId="4" borderId="20" xfId="0" applyFont="1" applyFill="1" applyBorder="1" applyAlignment="1">
      <alignment horizontal="left" vertical="top"/>
    </xf>
    <xf numFmtId="0" fontId="22" fillId="24" borderId="33" xfId="0" applyFont="1" applyFill="1" applyBorder="1"/>
    <xf numFmtId="49" fontId="11" fillId="0" borderId="0" xfId="0" applyNumberFormat="1" applyFont="1"/>
    <xf numFmtId="0" fontId="11" fillId="24" borderId="33" xfId="0" applyFont="1" applyFill="1" applyBorder="1"/>
    <xf numFmtId="165" fontId="22" fillId="0" borderId="0" xfId="0" applyNumberFormat="1" applyFont="1"/>
  </cellXfs>
  <cellStyles count="1">
    <cellStyle name="Normal" xfId="0" builtinId="0"/>
  </cellStyles>
  <dxfs count="50"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theme="1"/>
      </font>
      <fill>
        <patternFill patternType="solid">
          <fgColor rgb="FFE2EFD9"/>
          <bgColor rgb="FFE2EFD9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/>
      <fill>
        <patternFill patternType="solid">
          <fgColor rgb="FF00B050"/>
          <bgColor rgb="FF00B050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/>
      <fill>
        <patternFill patternType="solid">
          <fgColor rgb="FF00B050"/>
          <bgColor rgb="FF00B050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/>
      <fill>
        <patternFill patternType="solid">
          <fgColor rgb="FF00B050"/>
          <bgColor rgb="FF00B050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5700"/>
      </font>
      <fill>
        <patternFill patternType="solid">
          <fgColor rgb="FFFFEB9C"/>
          <bgColor rgb="FFFFEB9C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ktriratt@toyota.co.th" TargetMode="External"/><Relationship Id="rId2" Type="http://schemas.openxmlformats.org/officeDocument/2006/relationships/hyperlink" Target="mailto:ktriratt@toyota.co.th" TargetMode="External"/><Relationship Id="rId3" Type="http://schemas.openxmlformats.org/officeDocument/2006/relationships/hyperlink" Target="mailto:ktriratt@toyota.co.th" TargetMode="External"/><Relationship Id="rId4" Type="http://schemas.openxmlformats.org/officeDocument/2006/relationships/hyperlink" Target="mailto:ktriratt@toyota.co.th" TargetMode="External"/><Relationship Id="rId5" Type="http://schemas.openxmlformats.org/officeDocument/2006/relationships/hyperlink" Target="mailto:pmeesuk@toyota.co.th" TargetMode="External"/><Relationship Id="rId6" Type="http://schemas.openxmlformats.org/officeDocument/2006/relationships/hyperlink" Target="mailto:pmeesuk@toyota.co.th" TargetMode="External"/><Relationship Id="rId7" Type="http://schemas.openxmlformats.org/officeDocument/2006/relationships/hyperlink" Target="mailto:pmeesuk@toyota.co.th" TargetMode="External"/><Relationship Id="rId8" Type="http://schemas.openxmlformats.org/officeDocument/2006/relationships/hyperlink" Target="mailto:pmeesuk@toyota.co.th" TargetMode="External"/><Relationship Id="rId9" Type="http://schemas.openxmlformats.org/officeDocument/2006/relationships/hyperlink" Target="mailto:pmeesuk@toyota.co.th" TargetMode="External"/><Relationship Id="rId10" Type="http://schemas.openxmlformats.org/officeDocument/2006/relationships/hyperlink" Target="mailto:pmeesuk@toyota.co.th" TargetMode="External"/><Relationship Id="rId11" Type="http://schemas.openxmlformats.org/officeDocument/2006/relationships/hyperlink" Target="mailto:pmeesuk@toyota.co.th" TargetMode="External"/><Relationship Id="rId12" Type="http://schemas.openxmlformats.org/officeDocument/2006/relationships/hyperlink" Target="mailto:pmeesuk@toyota.co.th" TargetMode="External"/><Relationship Id="rId13" Type="http://schemas.openxmlformats.org/officeDocument/2006/relationships/hyperlink" Target="mailto:pattarawan_lea@tdem.toyota-asia.com" TargetMode="External"/><Relationship Id="rId14" Type="http://schemas.openxmlformats.org/officeDocument/2006/relationships/hyperlink" Target="mailto:pattarawan_lea@tdem.toyota-asia.com" TargetMode="External"/><Relationship Id="rId15" Type="http://schemas.openxmlformats.org/officeDocument/2006/relationships/hyperlink" Target="mailto:pattarawan_lea@tdem.toyota-asia.com" TargetMode="External"/><Relationship Id="rId16" Type="http://schemas.openxmlformats.org/officeDocument/2006/relationships/hyperlink" Target="mailto:pattarawan_lea@tdem.toyota-asia.com" TargetMode="External"/><Relationship Id="rId17" Type="http://schemas.openxmlformats.org/officeDocument/2006/relationships/hyperlink" Target="mailto:pattarawan_lea@tdem.toyota-asia.com" TargetMode="External"/><Relationship Id="rId18" Type="http://schemas.openxmlformats.org/officeDocument/2006/relationships/hyperlink" Target="mailto:pattarawan_lea@tdem.toyota-asia.com" TargetMode="External"/><Relationship Id="rId19" Type="http://schemas.openxmlformats.org/officeDocument/2006/relationships/hyperlink" Target="mailto:pattarawan_lea@tdem.toyota-asia.com" TargetMode="External"/><Relationship Id="rId20" Type="http://schemas.openxmlformats.org/officeDocument/2006/relationships/hyperlink" Target="mailto:pattarawan_lea@tdem.toyota-asia.com" TargetMode="External"/><Relationship Id="rId21" Type="http://schemas.openxmlformats.org/officeDocument/2006/relationships/hyperlink" Target="mailto:pattarawan_lea@tdem.toyota-asia.com" TargetMode="External"/><Relationship Id="rId22" Type="http://schemas.openxmlformats.org/officeDocument/2006/relationships/hyperlink" Target="mailto:pattarawan_lea@tdem.toyota-asia.com" TargetMode="External"/><Relationship Id="rId23" Type="http://schemas.openxmlformats.org/officeDocument/2006/relationships/hyperlink" Target="mailto:pattarawan_lea@tdem.toyota-asia.com" TargetMode="External"/><Relationship Id="rId24" Type="http://schemas.openxmlformats.org/officeDocument/2006/relationships/hyperlink" Target="mailto:pattarawan_lea@tdem.toyota-asia.com" TargetMode="External"/><Relationship Id="rId25" Type="http://schemas.openxmlformats.org/officeDocument/2006/relationships/hyperlink" Target="mailto:pattarawan_lea@tdem.toyota-asia.com" TargetMode="External"/><Relationship Id="rId26" Type="http://schemas.openxmlformats.org/officeDocument/2006/relationships/hyperlink" Target="mailto:pattarawan_lea@tdem.toyota-asia.com" TargetMode="External"/><Relationship Id="rId27" Type="http://schemas.openxmlformats.org/officeDocument/2006/relationships/hyperlink" Target="mailto:pattarawan_lea@tdem.toyota-asia.com" TargetMode="External"/><Relationship Id="rId28" Type="http://schemas.openxmlformats.org/officeDocument/2006/relationships/hyperlink" Target="mailto:pattarawan_lea@tdem.toyota-asia.com" TargetMode="External"/><Relationship Id="rId29" Type="http://schemas.openxmlformats.org/officeDocument/2006/relationships/hyperlink" Target="mailto:pattarawan_lea@tdem.toyota-asia.com" TargetMode="External"/><Relationship Id="rId30" Type="http://schemas.openxmlformats.org/officeDocument/2006/relationships/hyperlink" Target="mailto:pattarawan_lea@tdem.toyota-asia.com" TargetMode="External"/><Relationship Id="rId31" Type="http://schemas.openxmlformats.org/officeDocument/2006/relationships/hyperlink" Target="mailto:tkrittop@toyota.co.th" TargetMode="External"/><Relationship Id="rId32" Type="http://schemas.openxmlformats.org/officeDocument/2006/relationships/hyperlink" Target="mailto:teeraporn_sir@tdem.toyota-asia.com" TargetMode="External"/><Relationship Id="rId33" Type="http://schemas.openxmlformats.org/officeDocument/2006/relationships/hyperlink" Target="mailto:iwongcha@toyota.co.th" TargetMode="External"/><Relationship Id="rId34" Type="http://schemas.openxmlformats.org/officeDocument/2006/relationships/hyperlink" Target="mailto:iwongcha@toyota.co.th" TargetMode="External"/><Relationship Id="rId35" Type="http://schemas.openxmlformats.org/officeDocument/2006/relationships/hyperlink" Target="mailto:tkrittop@toyota.co.th" TargetMode="External"/><Relationship Id="rId36" Type="http://schemas.openxmlformats.org/officeDocument/2006/relationships/hyperlink" Target="mailto:tkrittop@toyota.co.th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8" customWidth="1"/>
    <col min="3" max="3" width="15" customWidth="1"/>
    <col min="4" max="37" width="9.29" customWidth="1"/>
    <col min="38" max="38" width="13.71" customWidth="1"/>
  </cols>
  <sheetData>
    <row r="1" ht="19.5" customHeight="1" spans="1:38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9.5" customHeight="1" spans="1:38" x14ac:dyDescent="0.25">
      <c r="A2" s="3" t="s">
        <v>1</v>
      </c>
      <c r="B2" s="4">
        <f>'Monthly FC (Dont use)'!E1</f>
        <v>46010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9.5" customHeight="1" spans="1:38" x14ac:dyDescent="0.25">
      <c r="A3" s="1" t="s">
        <v>2</v>
      </c>
      <c r="B3" s="5" t="str">
        <f>'Monthly FC (Dont use)'!I1</f>
        <v>Production Month:Dec'25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9.5" customHeight="1" spans="1:38" x14ac:dyDescent="0.25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9.5" customHeight="1" spans="1:38" x14ac:dyDescent="0.25">
      <c r="A5" s="2"/>
      <c r="B5" s="2"/>
      <c r="C5" s="2"/>
      <c r="D5" s="7">
        <v>2021</v>
      </c>
      <c r="E5" s="8"/>
      <c r="F5" s="8"/>
      <c r="G5" s="8"/>
      <c r="H5" s="8"/>
      <c r="I5" s="8"/>
      <c r="J5" s="8"/>
      <c r="K5" s="8"/>
      <c r="L5" s="9"/>
      <c r="M5" s="7">
        <v>2022</v>
      </c>
      <c r="N5" s="8"/>
      <c r="O5" s="8"/>
      <c r="P5" s="8"/>
      <c r="Q5" s="8"/>
      <c r="R5" s="8"/>
      <c r="S5" s="8"/>
      <c r="T5" s="8"/>
      <c r="U5" s="8"/>
      <c r="V5" s="8"/>
      <c r="W5" s="9"/>
      <c r="X5" s="7"/>
      <c r="Y5" s="8"/>
      <c r="Z5" s="8"/>
      <c r="AA5" s="8"/>
      <c r="AB5" s="8"/>
      <c r="AC5" s="8"/>
      <c r="AD5" s="9"/>
      <c r="AE5" s="10"/>
      <c r="AF5" s="10"/>
      <c r="AG5" s="10"/>
      <c r="AH5" s="10"/>
      <c r="AI5" s="10"/>
      <c r="AJ5" s="2"/>
      <c r="AK5" s="2"/>
      <c r="AL5" s="2"/>
    </row>
    <row r="6" ht="19.5" customHeight="1" spans="1:38" x14ac:dyDescent="0.25">
      <c r="A6" s="11" t="s">
        <v>4</v>
      </c>
      <c r="B6" s="12" t="s">
        <v>5</v>
      </c>
      <c r="C6" s="13"/>
      <c r="D6" s="14" t="s">
        <v>6</v>
      </c>
      <c r="E6" s="14" t="s">
        <v>7</v>
      </c>
      <c r="F6" s="14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  <c r="N6" s="15" t="s">
        <v>16</v>
      </c>
      <c r="O6" s="15" t="s">
        <v>7</v>
      </c>
      <c r="P6" s="15" t="s">
        <v>8</v>
      </c>
      <c r="Q6" s="15" t="s">
        <v>9</v>
      </c>
      <c r="R6" s="15" t="s">
        <v>10</v>
      </c>
      <c r="S6" s="15" t="s">
        <v>11</v>
      </c>
      <c r="T6" s="15" t="s">
        <v>12</v>
      </c>
      <c r="U6" s="15" t="s">
        <v>17</v>
      </c>
      <c r="V6" s="15" t="s">
        <v>13</v>
      </c>
      <c r="W6" s="15" t="s">
        <v>14</v>
      </c>
      <c r="X6" s="15" t="s">
        <v>15</v>
      </c>
      <c r="Y6" s="15" t="s">
        <v>16</v>
      </c>
      <c r="Z6" s="15" t="s">
        <v>6</v>
      </c>
      <c r="AA6" s="15" t="s">
        <v>7</v>
      </c>
      <c r="AB6" s="15" t="s">
        <v>8</v>
      </c>
      <c r="AC6" s="15" t="s">
        <v>9</v>
      </c>
      <c r="AD6" s="15" t="s">
        <v>10</v>
      </c>
      <c r="AE6" s="15" t="s">
        <v>11</v>
      </c>
      <c r="AF6" s="15" t="s">
        <v>12</v>
      </c>
      <c r="AG6" s="15" t="s">
        <v>17</v>
      </c>
      <c r="AH6" s="15" t="s">
        <v>13</v>
      </c>
      <c r="AI6" s="15" t="s">
        <v>13</v>
      </c>
      <c r="AJ6" s="2"/>
      <c r="AK6" s="2"/>
      <c r="AL6" s="2"/>
    </row>
    <row r="7" ht="19.5" customHeight="1" spans="1:38" x14ac:dyDescent="0.25">
      <c r="A7" s="16" t="s">
        <v>18</v>
      </c>
      <c r="B7" s="17" t="s">
        <v>19</v>
      </c>
      <c r="C7" s="18" t="s">
        <v>20</v>
      </c>
      <c r="D7" s="19">
        <v>0</v>
      </c>
      <c r="E7" s="20">
        <v>34</v>
      </c>
      <c r="F7" s="21">
        <v>43</v>
      </c>
      <c r="G7" s="22">
        <v>8396</v>
      </c>
      <c r="H7" s="22">
        <v>8314</v>
      </c>
      <c r="I7" s="22">
        <v>13430</v>
      </c>
      <c r="J7" s="22">
        <v>22698</v>
      </c>
      <c r="K7" s="22">
        <v>13644</v>
      </c>
      <c r="L7" s="22">
        <v>17349</v>
      </c>
      <c r="M7" s="22">
        <v>19123</v>
      </c>
      <c r="N7" s="22">
        <v>18580</v>
      </c>
      <c r="O7" s="22"/>
      <c r="P7" s="22">
        <v>18029</v>
      </c>
      <c r="Q7" s="22">
        <v>16437</v>
      </c>
      <c r="R7" s="22">
        <v>22295</v>
      </c>
      <c r="S7" s="22">
        <v>24394</v>
      </c>
      <c r="T7" s="22">
        <v>28530</v>
      </c>
      <c r="U7" s="22">
        <v>25510</v>
      </c>
      <c r="V7" s="22">
        <v>26808</v>
      </c>
      <c r="W7" s="22">
        <v>22098</v>
      </c>
      <c r="X7" s="22">
        <v>22011</v>
      </c>
      <c r="Y7" s="22">
        <v>25986</v>
      </c>
      <c r="Z7" s="22">
        <v>28830</v>
      </c>
      <c r="AA7" s="22">
        <v>21378</v>
      </c>
      <c r="AB7" s="22">
        <v>24514</v>
      </c>
      <c r="AC7" s="22">
        <v>23357</v>
      </c>
      <c r="AD7" s="22">
        <v>14462</v>
      </c>
      <c r="AE7" s="22">
        <v>25100</v>
      </c>
      <c r="AF7" s="22"/>
      <c r="AG7" s="22"/>
      <c r="AH7" s="22"/>
      <c r="AI7" s="22"/>
      <c r="AJ7" s="2"/>
      <c r="AK7" s="2"/>
      <c r="AL7" s="2"/>
    </row>
    <row r="8" ht="19.5" customHeight="1" spans="1:38" x14ac:dyDescent="0.25">
      <c r="A8" s="23"/>
      <c r="B8" s="24"/>
      <c r="C8" s="25" t="s">
        <v>1</v>
      </c>
      <c r="D8" s="26">
        <v>0</v>
      </c>
      <c r="E8" s="27"/>
      <c r="F8" s="28">
        <v>43</v>
      </c>
      <c r="G8" s="29">
        <v>7380</v>
      </c>
      <c r="H8" s="29">
        <v>8373</v>
      </c>
      <c r="I8" s="29">
        <v>13277</v>
      </c>
      <c r="J8" s="29">
        <v>22558</v>
      </c>
      <c r="K8" s="29">
        <v>15740</v>
      </c>
      <c r="L8" s="29">
        <v>17349</v>
      </c>
      <c r="M8" s="29">
        <v>18652</v>
      </c>
      <c r="N8" s="29">
        <v>18126</v>
      </c>
      <c r="O8" s="29">
        <v>18474</v>
      </c>
      <c r="P8" s="29">
        <v>17226</v>
      </c>
      <c r="Q8" s="29">
        <v>15356</v>
      </c>
      <c r="R8" s="29">
        <v>19810</v>
      </c>
      <c r="S8" s="29">
        <v>24394</v>
      </c>
      <c r="T8" s="29">
        <v>27645</v>
      </c>
      <c r="U8" s="29">
        <v>25823</v>
      </c>
      <c r="V8" s="29">
        <v>23620</v>
      </c>
      <c r="W8" s="29">
        <v>21338</v>
      </c>
      <c r="X8" s="29">
        <v>22121</v>
      </c>
      <c r="Y8" s="29">
        <v>25812</v>
      </c>
      <c r="Z8" s="29">
        <v>29257</v>
      </c>
      <c r="AA8" s="29">
        <v>20054</v>
      </c>
      <c r="AB8" s="29">
        <v>17934</v>
      </c>
      <c r="AC8" s="29">
        <v>23167</v>
      </c>
      <c r="AD8" s="29">
        <v>14023</v>
      </c>
      <c r="AE8" s="29">
        <v>21562</v>
      </c>
      <c r="AF8" s="29"/>
      <c r="AG8" s="29"/>
      <c r="AH8" s="29"/>
      <c r="AI8" s="29"/>
      <c r="AJ8" s="2"/>
      <c r="AK8" s="2"/>
      <c r="AL8" s="30"/>
    </row>
    <row r="9" ht="19.5" customHeight="1" spans="1:38" x14ac:dyDescent="0.25">
      <c r="A9" s="31"/>
      <c r="B9" s="32"/>
      <c r="C9" s="33" t="s">
        <v>21</v>
      </c>
      <c r="D9" s="34" t="str">
        <f t="shared" ref="D9:F9" si="0">(D8-D7)/D8</f>
        <v>#DIV/0!</v>
      </c>
      <c r="E9" s="35" t="str">
        <f t="shared" si="0"/>
        <v>#DIV/0!</v>
      </c>
      <c r="F9" s="35">
        <f t="shared" si="0"/>
        <v>0</v>
      </c>
      <c r="G9" s="36">
        <f t="shared" ref="G9:AI9" si="1">(G8-G7)/G7</f>
        <v>-0.1210100048</v>
      </c>
      <c r="H9" s="36">
        <f t="shared" si="1"/>
        <v>0.007096463796</v>
      </c>
      <c r="I9" s="36">
        <f t="shared" si="1"/>
        <v>-0.01139240506</v>
      </c>
      <c r="J9" s="36">
        <f t="shared" si="1"/>
        <v>-0.006167944312</v>
      </c>
      <c r="K9" s="37">
        <f t="shared" si="1"/>
        <v>0.1536206391</v>
      </c>
      <c r="L9" s="36">
        <f t="shared" si="1"/>
        <v>0</v>
      </c>
      <c r="M9" s="36">
        <f t="shared" si="1"/>
        <v>-0.02463002667</v>
      </c>
      <c r="N9" s="36">
        <f t="shared" si="1"/>
        <v>-0.02443487621</v>
      </c>
      <c r="O9" s="36" t="str">
        <f t="shared" si="1"/>
        <v>#DIV/0!</v>
      </c>
      <c r="P9" s="37">
        <f t="shared" si="1"/>
        <v>-0.04453935326</v>
      </c>
      <c r="Q9" s="36">
        <f t="shared" si="1"/>
        <v>-0.06576625905</v>
      </c>
      <c r="R9" s="36">
        <f t="shared" si="1"/>
        <v>-0.1114599686</v>
      </c>
      <c r="S9" s="36">
        <f t="shared" si="1"/>
        <v>0</v>
      </c>
      <c r="T9" s="36">
        <f t="shared" si="1"/>
        <v>-0.03101997897</v>
      </c>
      <c r="U9" s="36">
        <f t="shared" si="1"/>
        <v>0.01226969816</v>
      </c>
      <c r="V9" s="36">
        <f t="shared" si="1"/>
        <v>-0.1189197255</v>
      </c>
      <c r="W9" s="36">
        <f t="shared" si="1"/>
        <v>-0.03439225269</v>
      </c>
      <c r="X9" s="36">
        <f t="shared" si="1"/>
        <v>0.004997501249</v>
      </c>
      <c r="Y9" s="36">
        <f t="shared" si="1"/>
        <v>-0.006695913184</v>
      </c>
      <c r="Z9" s="36">
        <f t="shared" si="1"/>
        <v>0.0148109608</v>
      </c>
      <c r="AA9" s="36">
        <f t="shared" si="1"/>
        <v>-0.06193282814</v>
      </c>
      <c r="AB9" s="36">
        <f t="shared" si="1"/>
        <v>-0.2684180468</v>
      </c>
      <c r="AC9" s="36">
        <f t="shared" si="1"/>
        <v>-0.008134606328</v>
      </c>
      <c r="AD9" s="36">
        <f t="shared" si="1"/>
        <v>-0.03035541419</v>
      </c>
      <c r="AE9" s="36">
        <f t="shared" si="1"/>
        <v>-0.1409561753</v>
      </c>
      <c r="AF9" s="36" t="str">
        <f t="shared" si="1"/>
        <v>#DIV/0!</v>
      </c>
      <c r="AG9" s="36" t="str">
        <f t="shared" si="1"/>
        <v>#DIV/0!</v>
      </c>
      <c r="AH9" s="36" t="str">
        <f t="shared" si="1"/>
        <v>#DIV/0!</v>
      </c>
      <c r="AI9" s="36" t="str">
        <f t="shared" si="1"/>
        <v>#DIV/0!</v>
      </c>
      <c r="AJ9" s="2"/>
      <c r="AK9" s="2"/>
      <c r="AL9" s="2"/>
    </row>
    <row r="10" ht="19.5" customHeight="1" spans="1:38" x14ac:dyDescent="0.25">
      <c r="A10" s="16" t="s">
        <v>22</v>
      </c>
      <c r="B10" s="17" t="s">
        <v>19</v>
      </c>
      <c r="C10" s="18" t="s">
        <v>20</v>
      </c>
      <c r="D10" s="19">
        <v>0</v>
      </c>
      <c r="E10" s="20">
        <v>5</v>
      </c>
      <c r="F10" s="21">
        <v>1414</v>
      </c>
      <c r="G10" s="22">
        <v>1640</v>
      </c>
      <c r="H10" s="22">
        <v>895</v>
      </c>
      <c r="I10" s="22">
        <v>1432</v>
      </c>
      <c r="J10" s="22">
        <v>2000</v>
      </c>
      <c r="K10" s="22">
        <v>1654</v>
      </c>
      <c r="L10" s="22">
        <v>1283</v>
      </c>
      <c r="M10" s="22">
        <v>1404</v>
      </c>
      <c r="N10" s="22">
        <v>1265</v>
      </c>
      <c r="O10" s="22"/>
      <c r="P10" s="22">
        <v>2545</v>
      </c>
      <c r="Q10" s="22">
        <v>2189</v>
      </c>
      <c r="R10" s="22">
        <v>2115</v>
      </c>
      <c r="S10" s="22">
        <v>1436</v>
      </c>
      <c r="T10" s="22">
        <v>1305</v>
      </c>
      <c r="U10" s="22">
        <v>1652</v>
      </c>
      <c r="V10" s="22">
        <v>1293</v>
      </c>
      <c r="W10" s="22">
        <v>1974</v>
      </c>
      <c r="X10" s="22">
        <v>1769</v>
      </c>
      <c r="Y10" s="22">
        <v>2102</v>
      </c>
      <c r="Z10" s="22">
        <v>2823</v>
      </c>
      <c r="AA10" s="22">
        <v>2320</v>
      </c>
      <c r="AB10" s="22">
        <v>3658</v>
      </c>
      <c r="AC10" s="22">
        <v>2551</v>
      </c>
      <c r="AD10" s="22">
        <v>2215</v>
      </c>
      <c r="AE10" s="22">
        <v>2147</v>
      </c>
      <c r="AF10" s="22"/>
      <c r="AG10" s="22"/>
      <c r="AH10" s="22"/>
      <c r="AI10" s="22"/>
      <c r="AJ10" s="2"/>
      <c r="AK10" s="2"/>
      <c r="AL10" s="2"/>
    </row>
    <row r="11" ht="19.5" customHeight="1" spans="1:38" x14ac:dyDescent="0.25">
      <c r="A11" s="23"/>
      <c r="B11" s="24"/>
      <c r="C11" s="25" t="s">
        <v>1</v>
      </c>
      <c r="D11" s="26">
        <v>0</v>
      </c>
      <c r="E11" s="27"/>
      <c r="F11" s="28">
        <v>5</v>
      </c>
      <c r="G11" s="29">
        <v>1294</v>
      </c>
      <c r="H11" s="29">
        <v>919</v>
      </c>
      <c r="I11" s="29">
        <v>1436</v>
      </c>
      <c r="J11" s="29">
        <v>2000</v>
      </c>
      <c r="K11" s="29">
        <v>1661</v>
      </c>
      <c r="L11" s="29">
        <v>1283</v>
      </c>
      <c r="M11" s="29">
        <v>1404</v>
      </c>
      <c r="N11" s="29">
        <v>1265</v>
      </c>
      <c r="O11" s="29">
        <v>1317</v>
      </c>
      <c r="P11" s="29">
        <v>2543</v>
      </c>
      <c r="Q11" s="29">
        <v>2329</v>
      </c>
      <c r="R11" s="29">
        <v>2118</v>
      </c>
      <c r="S11" s="29">
        <v>1436</v>
      </c>
      <c r="T11" s="29">
        <v>1630</v>
      </c>
      <c r="U11" s="29">
        <v>1288</v>
      </c>
      <c r="V11" s="29">
        <v>991</v>
      </c>
      <c r="W11" s="29">
        <v>1974</v>
      </c>
      <c r="X11" s="29">
        <v>1769</v>
      </c>
      <c r="Y11" s="29">
        <v>2102</v>
      </c>
      <c r="Z11" s="29">
        <v>2788</v>
      </c>
      <c r="AA11" s="29">
        <v>1910</v>
      </c>
      <c r="AB11" s="29">
        <v>3658</v>
      </c>
      <c r="AC11" s="29">
        <v>2542</v>
      </c>
      <c r="AD11" s="29">
        <v>1961</v>
      </c>
      <c r="AE11" s="29">
        <v>2147</v>
      </c>
      <c r="AF11" s="29"/>
      <c r="AG11" s="29"/>
      <c r="AH11" s="29"/>
      <c r="AI11" s="29"/>
      <c r="AJ11" s="2"/>
      <c r="AK11" s="2"/>
      <c r="AL11" s="2"/>
    </row>
    <row r="12" ht="19.5" customHeight="1" spans="1:38" x14ac:dyDescent="0.25">
      <c r="A12" s="31"/>
      <c r="B12" s="32"/>
      <c r="C12" s="33" t="s">
        <v>21</v>
      </c>
      <c r="D12" s="34" t="str">
        <f t="shared" ref="D12:F12" si="2">(D11-D10)/D11</f>
        <v>#DIV/0!</v>
      </c>
      <c r="E12" s="35" t="str">
        <f t="shared" si="2"/>
        <v>#DIV/0!</v>
      </c>
      <c r="F12" s="35">
        <f t="shared" si="2"/>
        <v>-281.8</v>
      </c>
      <c r="G12" s="36">
        <f t="shared" ref="G12:AI12" si="3">(G11-G10)/G10</f>
        <v>-0.2109756098</v>
      </c>
      <c r="H12" s="36">
        <f t="shared" si="3"/>
        <v>0.02681564246</v>
      </c>
      <c r="I12" s="36">
        <f t="shared" si="3"/>
        <v>0.002793296089</v>
      </c>
      <c r="J12" s="36">
        <f t="shared" si="3"/>
        <v>0</v>
      </c>
      <c r="K12" s="36">
        <f t="shared" si="3"/>
        <v>0.00423216445</v>
      </c>
      <c r="L12" s="37">
        <f t="shared" si="3"/>
        <v>0</v>
      </c>
      <c r="M12" s="37">
        <f t="shared" si="3"/>
        <v>0</v>
      </c>
      <c r="N12" s="36">
        <f t="shared" si="3"/>
        <v>0</v>
      </c>
      <c r="O12" s="36" t="str">
        <f t="shared" si="3"/>
        <v>#DIV/0!</v>
      </c>
      <c r="P12" s="36">
        <f t="shared" si="3"/>
        <v>-0.0007858546169</v>
      </c>
      <c r="Q12" s="36">
        <f t="shared" si="3"/>
        <v>0.06395614436</v>
      </c>
      <c r="R12" s="36">
        <f t="shared" si="3"/>
        <v>0.001418439716</v>
      </c>
      <c r="S12" s="36">
        <f t="shared" si="3"/>
        <v>0</v>
      </c>
      <c r="T12" s="36">
        <f t="shared" si="3"/>
        <v>0.2490421456</v>
      </c>
      <c r="U12" s="36">
        <f t="shared" si="3"/>
        <v>-0.2203389831</v>
      </c>
      <c r="V12" s="36">
        <f t="shared" si="3"/>
        <v>-0.2335653519</v>
      </c>
      <c r="W12" s="36">
        <f t="shared" si="3"/>
        <v>0</v>
      </c>
      <c r="X12" s="36">
        <f t="shared" si="3"/>
        <v>0</v>
      </c>
      <c r="Y12" s="36">
        <f t="shared" si="3"/>
        <v>0</v>
      </c>
      <c r="Z12" s="36">
        <f t="shared" si="3"/>
        <v>-0.01239815799</v>
      </c>
      <c r="AA12" s="36">
        <f t="shared" si="3"/>
        <v>-0.1767241379</v>
      </c>
      <c r="AB12" s="36">
        <f t="shared" si="3"/>
        <v>0</v>
      </c>
      <c r="AC12" s="36">
        <f t="shared" si="3"/>
        <v>-0.003528028224</v>
      </c>
      <c r="AD12" s="36">
        <f t="shared" si="3"/>
        <v>-0.1146726862</v>
      </c>
      <c r="AE12" s="36">
        <f t="shared" si="3"/>
        <v>0</v>
      </c>
      <c r="AF12" s="36" t="str">
        <f t="shared" si="3"/>
        <v>#DIV/0!</v>
      </c>
      <c r="AG12" s="36" t="str">
        <f t="shared" si="3"/>
        <v>#DIV/0!</v>
      </c>
      <c r="AH12" s="36" t="str">
        <f t="shared" si="3"/>
        <v>#DIV/0!</v>
      </c>
      <c r="AI12" s="36" t="str">
        <f t="shared" si="3"/>
        <v>#DIV/0!</v>
      </c>
      <c r="AJ12" s="2"/>
      <c r="AK12" s="2"/>
      <c r="AL12" s="2"/>
    </row>
    <row r="13" ht="19.5" customHeight="1" spans="1:38" x14ac:dyDescent="0.25">
      <c r="A13" s="16" t="s">
        <v>23</v>
      </c>
      <c r="B13" s="17" t="s">
        <v>19</v>
      </c>
      <c r="C13" s="18" t="s">
        <v>20</v>
      </c>
      <c r="D13" s="19">
        <v>0</v>
      </c>
      <c r="E13" s="20">
        <v>251</v>
      </c>
      <c r="F13" s="21">
        <v>11</v>
      </c>
      <c r="G13" s="22">
        <v>2088</v>
      </c>
      <c r="H13" s="22">
        <v>1071</v>
      </c>
      <c r="I13" s="22">
        <v>2336</v>
      </c>
      <c r="J13" s="22">
        <v>5312</v>
      </c>
      <c r="K13" s="22">
        <v>4274</v>
      </c>
      <c r="L13" s="22">
        <v>6041</v>
      </c>
      <c r="M13" s="22">
        <v>6987</v>
      </c>
      <c r="N13" s="22">
        <v>6243</v>
      </c>
      <c r="O13" s="22"/>
      <c r="P13" s="22">
        <v>5991</v>
      </c>
      <c r="Q13" s="22">
        <v>6083</v>
      </c>
      <c r="R13" s="22">
        <v>16356</v>
      </c>
      <c r="S13" s="22">
        <v>7371</v>
      </c>
      <c r="T13" s="22">
        <v>9924</v>
      </c>
      <c r="U13" s="22">
        <v>6485</v>
      </c>
      <c r="V13" s="22">
        <v>5680</v>
      </c>
      <c r="W13" s="22">
        <v>6739</v>
      </c>
      <c r="X13" s="22">
        <v>8709</v>
      </c>
      <c r="Y13" s="22">
        <v>7803</v>
      </c>
      <c r="Z13" s="22">
        <v>7753</v>
      </c>
      <c r="AA13" s="22">
        <v>5551</v>
      </c>
      <c r="AB13" s="22">
        <v>5968</v>
      </c>
      <c r="AC13" s="22">
        <v>5755</v>
      </c>
      <c r="AD13" s="22">
        <v>4407</v>
      </c>
      <c r="AE13" s="22">
        <v>8337</v>
      </c>
      <c r="AF13" s="22"/>
      <c r="AG13" s="22"/>
      <c r="AH13" s="22"/>
      <c r="AI13" s="22"/>
      <c r="AJ13" s="2"/>
      <c r="AK13" s="2"/>
      <c r="AL13" s="2"/>
    </row>
    <row r="14" ht="19.5" customHeight="1" spans="1:38" x14ac:dyDescent="0.25">
      <c r="A14" s="23"/>
      <c r="B14" s="24"/>
      <c r="C14" s="25" t="s">
        <v>1</v>
      </c>
      <c r="D14" s="26">
        <v>0</v>
      </c>
      <c r="E14" s="27"/>
      <c r="F14" s="28">
        <v>11</v>
      </c>
      <c r="G14" s="29">
        <v>1385</v>
      </c>
      <c r="H14" s="29">
        <v>1151</v>
      </c>
      <c r="I14" s="29">
        <v>2167</v>
      </c>
      <c r="J14" s="29">
        <v>5036</v>
      </c>
      <c r="K14" s="29">
        <v>4648</v>
      </c>
      <c r="L14" s="29">
        <v>6041</v>
      </c>
      <c r="M14" s="29">
        <v>7213</v>
      </c>
      <c r="N14" s="29">
        <v>6743</v>
      </c>
      <c r="O14" s="29">
        <v>4920</v>
      </c>
      <c r="P14" s="29">
        <v>5914</v>
      </c>
      <c r="Q14" s="29">
        <v>6089</v>
      </c>
      <c r="R14" s="29">
        <v>10891</v>
      </c>
      <c r="S14" s="29">
        <v>7371</v>
      </c>
      <c r="T14" s="29">
        <v>6356</v>
      </c>
      <c r="U14" s="29">
        <v>6774</v>
      </c>
      <c r="V14" s="29">
        <v>5886</v>
      </c>
      <c r="W14" s="38">
        <v>9919</v>
      </c>
      <c r="X14" s="29">
        <v>6299</v>
      </c>
      <c r="Y14" s="29">
        <v>7526</v>
      </c>
      <c r="Z14" s="29">
        <v>7661</v>
      </c>
      <c r="AA14" s="29">
        <v>5004</v>
      </c>
      <c r="AB14" s="29">
        <v>4188</v>
      </c>
      <c r="AC14" s="29">
        <v>5688</v>
      </c>
      <c r="AD14" s="29">
        <v>4349</v>
      </c>
      <c r="AE14" s="29">
        <v>7542</v>
      </c>
      <c r="AF14" s="29"/>
      <c r="AG14" s="29"/>
      <c r="AH14" s="29"/>
      <c r="AI14" s="29"/>
      <c r="AJ14" s="2"/>
      <c r="AK14" s="2"/>
      <c r="AL14" s="2"/>
    </row>
    <row r="15" ht="19.5" customHeight="1" spans="1:38" x14ac:dyDescent="0.25">
      <c r="A15" s="31"/>
      <c r="B15" s="32"/>
      <c r="C15" s="33" t="s">
        <v>21</v>
      </c>
      <c r="D15" s="34" t="str">
        <f t="shared" ref="D15:F15" si="4">(D14-D13)/D14</f>
        <v>#DIV/0!</v>
      </c>
      <c r="E15" s="35" t="str">
        <f t="shared" si="4"/>
        <v>#DIV/0!</v>
      </c>
      <c r="F15" s="35">
        <f t="shared" si="4"/>
        <v>0</v>
      </c>
      <c r="G15" s="36">
        <f t="shared" ref="G15:AI15" si="5">(G14-G13)/G13</f>
        <v>-0.3366858238</v>
      </c>
      <c r="H15" s="36">
        <f t="shared" si="5"/>
        <v>0.07469654528</v>
      </c>
      <c r="I15" s="36">
        <f t="shared" si="5"/>
        <v>-0.07234589041</v>
      </c>
      <c r="J15" s="36">
        <f t="shared" si="5"/>
        <v>-0.05195783133</v>
      </c>
      <c r="K15" s="37">
        <f t="shared" si="5"/>
        <v>0.08750584932</v>
      </c>
      <c r="L15" s="37">
        <f t="shared" si="5"/>
        <v>0</v>
      </c>
      <c r="M15" s="37">
        <f t="shared" si="5"/>
        <v>0.03234578503</v>
      </c>
      <c r="N15" s="37">
        <f t="shared" si="5"/>
        <v>0.08008970046</v>
      </c>
      <c r="O15" s="37" t="str">
        <f t="shared" si="5"/>
        <v>#DIV/0!</v>
      </c>
      <c r="P15" s="37">
        <f t="shared" si="5"/>
        <v>-0.01285261225</v>
      </c>
      <c r="Q15" s="37">
        <f t="shared" si="5"/>
        <v>0.0009863554167</v>
      </c>
      <c r="R15" s="37">
        <f t="shared" si="5"/>
        <v>-0.3341281487</v>
      </c>
      <c r="S15" s="37">
        <f t="shared" si="5"/>
        <v>0</v>
      </c>
      <c r="T15" s="37">
        <f t="shared" si="5"/>
        <v>-0.3595324466</v>
      </c>
      <c r="U15" s="37">
        <f t="shared" si="5"/>
        <v>0.04456437934</v>
      </c>
      <c r="V15" s="37">
        <f t="shared" si="5"/>
        <v>0.03626760563</v>
      </c>
      <c r="W15" s="37">
        <f t="shared" si="5"/>
        <v>0.4718801009</v>
      </c>
      <c r="X15" s="37">
        <f t="shared" si="5"/>
        <v>-0.2767252268</v>
      </c>
      <c r="Y15" s="37">
        <f t="shared" si="5"/>
        <v>-0.03549916699</v>
      </c>
      <c r="Z15" s="37">
        <f t="shared" si="5"/>
        <v>-0.01186637431</v>
      </c>
      <c r="AA15" s="37">
        <f t="shared" si="5"/>
        <v>-0.09854080346</v>
      </c>
      <c r="AB15" s="37">
        <f t="shared" si="5"/>
        <v>-0.2982573727</v>
      </c>
      <c r="AC15" s="37">
        <f t="shared" si="5"/>
        <v>-0.01164205039</v>
      </c>
      <c r="AD15" s="37">
        <f t="shared" si="5"/>
        <v>-0.01316088042</v>
      </c>
      <c r="AE15" s="37">
        <f t="shared" si="5"/>
        <v>-0.09535804246</v>
      </c>
      <c r="AF15" s="37" t="str">
        <f t="shared" si="5"/>
        <v>#DIV/0!</v>
      </c>
      <c r="AG15" s="37" t="str">
        <f t="shared" si="5"/>
        <v>#DIV/0!</v>
      </c>
      <c r="AH15" s="37" t="str">
        <f t="shared" si="5"/>
        <v>#DIV/0!</v>
      </c>
      <c r="AI15" s="37" t="str">
        <f t="shared" si="5"/>
        <v>#DIV/0!</v>
      </c>
      <c r="AJ15" s="2"/>
      <c r="AK15" s="2"/>
      <c r="AL15" s="2"/>
    </row>
    <row r="16" ht="19.5" customHeight="1" spans="1:38" x14ac:dyDescent="0.25">
      <c r="A16" s="16" t="s">
        <v>24</v>
      </c>
      <c r="B16" s="17" t="s">
        <v>19</v>
      </c>
      <c r="C16" s="18" t="s">
        <v>20</v>
      </c>
      <c r="D16" s="19"/>
      <c r="E16" s="20"/>
      <c r="F16" s="21"/>
      <c r="G16" s="22"/>
      <c r="H16" s="22">
        <v>0</v>
      </c>
      <c r="I16" s="22">
        <v>46</v>
      </c>
      <c r="J16" s="39">
        <v>280</v>
      </c>
      <c r="K16" s="39">
        <v>1485</v>
      </c>
      <c r="L16" s="39">
        <v>3192</v>
      </c>
      <c r="M16" s="39">
        <v>3178</v>
      </c>
      <c r="N16" s="39">
        <v>3642</v>
      </c>
      <c r="O16" s="39"/>
      <c r="P16" s="39">
        <v>2734</v>
      </c>
      <c r="Q16" s="39">
        <v>2519</v>
      </c>
      <c r="R16" s="39">
        <v>10223</v>
      </c>
      <c r="S16" s="39">
        <v>2740</v>
      </c>
      <c r="T16" s="39">
        <v>4120</v>
      </c>
      <c r="U16" s="39">
        <v>20</v>
      </c>
      <c r="V16" s="39">
        <v>0</v>
      </c>
      <c r="W16" s="39">
        <v>80</v>
      </c>
      <c r="X16" s="39">
        <v>0</v>
      </c>
      <c r="Y16" s="39">
        <v>60</v>
      </c>
      <c r="Z16" s="39">
        <v>120</v>
      </c>
      <c r="AA16" s="39">
        <v>40</v>
      </c>
      <c r="AB16" s="39">
        <v>80</v>
      </c>
      <c r="AC16" s="39">
        <v>120</v>
      </c>
      <c r="AD16" s="39">
        <v>60</v>
      </c>
      <c r="AE16" s="39">
        <v>60</v>
      </c>
      <c r="AF16" s="39"/>
      <c r="AG16" s="39"/>
      <c r="AH16" s="39"/>
      <c r="AI16" s="39"/>
      <c r="AJ16" s="2"/>
      <c r="AK16" s="2"/>
      <c r="AL16" s="2"/>
    </row>
    <row r="17" ht="19.5" customHeight="1" spans="1:38" x14ac:dyDescent="0.25">
      <c r="A17" s="23"/>
      <c r="B17" s="24"/>
      <c r="C17" s="25" t="s">
        <v>1</v>
      </c>
      <c r="D17" s="40"/>
      <c r="E17" s="41"/>
      <c r="F17" s="41"/>
      <c r="G17" s="42">
        <v>0</v>
      </c>
      <c r="H17" s="42">
        <v>0</v>
      </c>
      <c r="I17" s="43">
        <v>60</v>
      </c>
      <c r="J17" s="43">
        <v>300</v>
      </c>
      <c r="K17" s="43">
        <v>780</v>
      </c>
      <c r="L17" s="43">
        <v>3240</v>
      </c>
      <c r="M17" s="43">
        <v>3040</v>
      </c>
      <c r="N17" s="43">
        <v>3620</v>
      </c>
      <c r="O17" s="43">
        <v>2380</v>
      </c>
      <c r="P17" s="43">
        <v>2720</v>
      </c>
      <c r="Q17" s="43">
        <v>2620</v>
      </c>
      <c r="R17" s="43">
        <v>3300</v>
      </c>
      <c r="S17" s="43">
        <v>2740</v>
      </c>
      <c r="T17" s="43">
        <v>20</v>
      </c>
      <c r="U17" s="43">
        <v>0</v>
      </c>
      <c r="V17" s="43">
        <v>220</v>
      </c>
      <c r="W17" s="44">
        <v>3800</v>
      </c>
      <c r="X17" s="43">
        <v>3860</v>
      </c>
      <c r="Y17" s="29">
        <v>120</v>
      </c>
      <c r="Z17" s="29">
        <v>120</v>
      </c>
      <c r="AA17" s="29">
        <v>40</v>
      </c>
      <c r="AB17" s="29">
        <v>100</v>
      </c>
      <c r="AC17" s="29">
        <v>40</v>
      </c>
      <c r="AD17" s="29">
        <v>60</v>
      </c>
      <c r="AE17" s="29">
        <v>40</v>
      </c>
      <c r="AF17" s="29"/>
      <c r="AG17" s="29"/>
      <c r="AH17" s="29"/>
      <c r="AI17" s="29"/>
      <c r="AJ17" s="2"/>
      <c r="AK17" s="2"/>
      <c r="AL17" s="2"/>
    </row>
    <row r="18" ht="19.5" customHeight="1" spans="1:38" x14ac:dyDescent="0.25">
      <c r="A18" s="31"/>
      <c r="B18" s="32"/>
      <c r="C18" s="33" t="s">
        <v>21</v>
      </c>
      <c r="D18" s="34" t="str">
        <f t="shared" ref="D18:F18" si="6">(D17-D16)/D17</f>
        <v>#DIV/0!</v>
      </c>
      <c r="E18" s="35" t="str">
        <f t="shared" si="6"/>
        <v>#DIV/0!</v>
      </c>
      <c r="F18" s="35" t="str">
        <f t="shared" si="6"/>
        <v>#DIV/0!</v>
      </c>
      <c r="G18" s="36" t="str">
        <f t="shared" ref="G18:AI18" si="7">(G17-G16)/G16</f>
        <v>#DIV/0!</v>
      </c>
      <c r="H18" s="36" t="str">
        <f t="shared" si="7"/>
        <v>#DIV/0!</v>
      </c>
      <c r="I18" s="36">
        <f t="shared" si="7"/>
        <v>0.3043478261</v>
      </c>
      <c r="J18" s="36">
        <f t="shared" si="7"/>
        <v>0.07142857143</v>
      </c>
      <c r="K18" s="37">
        <f t="shared" si="7"/>
        <v>-0.4747474747</v>
      </c>
      <c r="L18" s="36">
        <f t="shared" si="7"/>
        <v>0.01503759398</v>
      </c>
      <c r="M18" s="37">
        <f t="shared" si="7"/>
        <v>-0.04342353682</v>
      </c>
      <c r="N18" s="37">
        <f t="shared" si="7"/>
        <v>-0.006040637013</v>
      </c>
      <c r="O18" s="37" t="str">
        <f t="shared" si="7"/>
        <v>#DIV/0!</v>
      </c>
      <c r="P18" s="37">
        <f t="shared" si="7"/>
        <v>-0.005120702268</v>
      </c>
      <c r="Q18" s="37">
        <f t="shared" si="7"/>
        <v>0.0400952759</v>
      </c>
      <c r="R18" s="37">
        <f t="shared" si="7"/>
        <v>-0.677198474</v>
      </c>
      <c r="S18" s="37">
        <f t="shared" si="7"/>
        <v>0</v>
      </c>
      <c r="T18" s="37">
        <f t="shared" si="7"/>
        <v>-0.9951456311</v>
      </c>
      <c r="U18" s="37">
        <f t="shared" si="7"/>
        <v>-1</v>
      </c>
      <c r="V18" s="37" t="str">
        <f t="shared" si="7"/>
        <v>#DIV/0!</v>
      </c>
      <c r="W18" s="37">
        <f t="shared" si="7"/>
        <v>46.5</v>
      </c>
      <c r="X18" s="37" t="str">
        <f t="shared" si="7"/>
        <v>#DIV/0!</v>
      </c>
      <c r="Y18" s="37">
        <f t="shared" si="7"/>
        <v>1</v>
      </c>
      <c r="Z18" s="37">
        <f t="shared" si="7"/>
        <v>0</v>
      </c>
      <c r="AA18" s="37">
        <f t="shared" si="7"/>
        <v>0</v>
      </c>
      <c r="AB18" s="37">
        <f t="shared" si="7"/>
        <v>0.25</v>
      </c>
      <c r="AC18" s="37">
        <f t="shared" si="7"/>
        <v>-0.6666666667</v>
      </c>
      <c r="AD18" s="37">
        <f t="shared" si="7"/>
        <v>0</v>
      </c>
      <c r="AE18" s="37">
        <f t="shared" si="7"/>
        <v>-0.3333333333</v>
      </c>
      <c r="AF18" s="37" t="str">
        <f t="shared" si="7"/>
        <v>#DIV/0!</v>
      </c>
      <c r="AG18" s="37" t="str">
        <f t="shared" si="7"/>
        <v>#DIV/0!</v>
      </c>
      <c r="AH18" s="37" t="str">
        <f t="shared" si="7"/>
        <v>#DIV/0!</v>
      </c>
      <c r="AI18" s="37" t="str">
        <f t="shared" si="7"/>
        <v>#DIV/0!</v>
      </c>
      <c r="AJ18" s="2"/>
      <c r="AK18" s="2"/>
      <c r="AL18" s="2"/>
    </row>
    <row r="19" ht="19.5" customHeight="1" spans="1:38" x14ac:dyDescent="0.25">
      <c r="A19" s="16" t="s">
        <v>25</v>
      </c>
      <c r="B19" s="17" t="s">
        <v>19</v>
      </c>
      <c r="C19" s="18" t="s">
        <v>20</v>
      </c>
      <c r="D19" s="19"/>
      <c r="E19" s="20"/>
      <c r="F19" s="21"/>
      <c r="G19" s="22"/>
      <c r="H19" s="22">
        <v>0</v>
      </c>
      <c r="I19" s="22">
        <v>46</v>
      </c>
      <c r="J19" s="39">
        <v>280</v>
      </c>
      <c r="K19" s="39">
        <v>1485</v>
      </c>
      <c r="L19" s="39">
        <v>3192</v>
      </c>
      <c r="M19" s="39">
        <v>3178</v>
      </c>
      <c r="N19" s="39">
        <v>3642</v>
      </c>
      <c r="O19" s="39"/>
      <c r="P19" s="39">
        <v>0</v>
      </c>
      <c r="Q19" s="39">
        <v>0</v>
      </c>
      <c r="R19" s="39">
        <v>14</v>
      </c>
      <c r="S19" s="39">
        <v>693</v>
      </c>
      <c r="T19" s="39">
        <v>5257</v>
      </c>
      <c r="U19" s="39">
        <v>3952</v>
      </c>
      <c r="V19" s="39">
        <v>3432</v>
      </c>
      <c r="W19" s="39">
        <v>3185</v>
      </c>
      <c r="X19" s="39">
        <v>3356</v>
      </c>
      <c r="Y19" s="39">
        <v>4026</v>
      </c>
      <c r="Z19" s="39">
        <v>5032</v>
      </c>
      <c r="AA19" s="39">
        <v>2977</v>
      </c>
      <c r="AB19" s="39">
        <v>3481</v>
      </c>
      <c r="AC19" s="39">
        <v>3263</v>
      </c>
      <c r="AD19" s="39">
        <v>236</v>
      </c>
      <c r="AE19" s="39">
        <v>41</v>
      </c>
      <c r="AF19" s="39"/>
      <c r="AG19" s="39"/>
      <c r="AH19" s="39"/>
      <c r="AI19" s="39"/>
      <c r="AJ19" s="2"/>
      <c r="AK19" s="2"/>
      <c r="AL19" s="2"/>
    </row>
    <row r="20" ht="19.5" customHeight="1" spans="1:38" x14ac:dyDescent="0.25">
      <c r="A20" s="23"/>
      <c r="B20" s="24"/>
      <c r="C20" s="25" t="s">
        <v>1</v>
      </c>
      <c r="D20" s="40"/>
      <c r="E20" s="41"/>
      <c r="F20" s="41"/>
      <c r="G20" s="42">
        <v>0</v>
      </c>
      <c r="H20" s="42">
        <v>0</v>
      </c>
      <c r="I20" s="43">
        <v>60</v>
      </c>
      <c r="J20" s="43">
        <v>300</v>
      </c>
      <c r="K20" s="43">
        <v>780</v>
      </c>
      <c r="L20" s="43">
        <v>3240</v>
      </c>
      <c r="M20" s="43">
        <v>3040</v>
      </c>
      <c r="N20" s="43">
        <v>3620</v>
      </c>
      <c r="O20" s="43">
        <v>0</v>
      </c>
      <c r="P20" s="43">
        <v>0</v>
      </c>
      <c r="Q20" s="43">
        <v>0</v>
      </c>
      <c r="R20" s="43">
        <v>52</v>
      </c>
      <c r="S20" s="43">
        <v>693</v>
      </c>
      <c r="T20" s="43">
        <v>3997</v>
      </c>
      <c r="U20" s="43">
        <v>3879</v>
      </c>
      <c r="V20" s="43">
        <v>3457</v>
      </c>
      <c r="W20" s="43">
        <v>3195</v>
      </c>
      <c r="X20" s="43">
        <v>3336</v>
      </c>
      <c r="Y20" s="29">
        <v>3816</v>
      </c>
      <c r="Z20" s="29">
        <v>5188</v>
      </c>
      <c r="AA20" s="29">
        <v>2723</v>
      </c>
      <c r="AB20" s="29">
        <v>3261</v>
      </c>
      <c r="AC20" s="29">
        <v>3630</v>
      </c>
      <c r="AD20" s="29">
        <v>113</v>
      </c>
      <c r="AE20" s="29">
        <v>917</v>
      </c>
      <c r="AF20" s="29"/>
      <c r="AG20" s="29"/>
      <c r="AH20" s="29"/>
      <c r="AI20" s="29"/>
      <c r="AJ20" s="2"/>
      <c r="AK20" s="2"/>
      <c r="AL20" s="2"/>
    </row>
    <row r="21" ht="19.5" customHeight="1" spans="1:38" x14ac:dyDescent="0.25">
      <c r="A21" s="31"/>
      <c r="B21" s="32"/>
      <c r="C21" s="33" t="s">
        <v>21</v>
      </c>
      <c r="D21" s="34" t="str">
        <f t="shared" ref="D21:F21" si="8">(D20-D19)/D20</f>
        <v>#DIV/0!</v>
      </c>
      <c r="E21" s="35" t="str">
        <f t="shared" si="8"/>
        <v>#DIV/0!</v>
      </c>
      <c r="F21" s="35" t="str">
        <f t="shared" si="8"/>
        <v>#DIV/0!</v>
      </c>
      <c r="G21" s="36" t="str">
        <f t="shared" ref="G21:AI21" si="9">(G20-G19)/G19</f>
        <v>#DIV/0!</v>
      </c>
      <c r="H21" s="36" t="str">
        <f t="shared" si="9"/>
        <v>#DIV/0!</v>
      </c>
      <c r="I21" s="36">
        <f t="shared" si="9"/>
        <v>0.3043478261</v>
      </c>
      <c r="J21" s="36">
        <f t="shared" si="9"/>
        <v>0.07142857143</v>
      </c>
      <c r="K21" s="37">
        <f t="shared" si="9"/>
        <v>-0.4747474747</v>
      </c>
      <c r="L21" s="36">
        <f t="shared" si="9"/>
        <v>0.01503759398</v>
      </c>
      <c r="M21" s="37">
        <f t="shared" si="9"/>
        <v>-0.04342353682</v>
      </c>
      <c r="N21" s="37">
        <f t="shared" si="9"/>
        <v>-0.006040637013</v>
      </c>
      <c r="O21" s="37" t="str">
        <f t="shared" si="9"/>
        <v>#DIV/0!</v>
      </c>
      <c r="P21" s="37" t="str">
        <f t="shared" si="9"/>
        <v>#DIV/0!</v>
      </c>
      <c r="Q21" s="37" t="str">
        <f t="shared" si="9"/>
        <v>#DIV/0!</v>
      </c>
      <c r="R21" s="37">
        <f t="shared" si="9"/>
        <v>2.714285714</v>
      </c>
      <c r="S21" s="37">
        <f t="shared" si="9"/>
        <v>0</v>
      </c>
      <c r="T21" s="37">
        <f t="shared" si="9"/>
        <v>-0.2396804261</v>
      </c>
      <c r="U21" s="37">
        <f t="shared" si="9"/>
        <v>-0.01847165992</v>
      </c>
      <c r="V21" s="37">
        <f t="shared" si="9"/>
        <v>0.007284382284</v>
      </c>
      <c r="W21" s="37">
        <f t="shared" si="9"/>
        <v>0.003139717425</v>
      </c>
      <c r="X21" s="37">
        <f t="shared" si="9"/>
        <v>-0.005959475566</v>
      </c>
      <c r="Y21" s="37">
        <f t="shared" si="9"/>
        <v>-0.0521609538</v>
      </c>
      <c r="Z21" s="37">
        <f t="shared" si="9"/>
        <v>0.03100158983</v>
      </c>
      <c r="AA21" s="37">
        <f t="shared" si="9"/>
        <v>-0.08532079274</v>
      </c>
      <c r="AB21" s="37">
        <f t="shared" si="9"/>
        <v>-0.06320022982</v>
      </c>
      <c r="AC21" s="37">
        <f t="shared" si="9"/>
        <v>0.1124731842</v>
      </c>
      <c r="AD21" s="37">
        <f t="shared" si="9"/>
        <v>-0.5211864407</v>
      </c>
      <c r="AE21" s="37">
        <f t="shared" si="9"/>
        <v>21.36585366</v>
      </c>
      <c r="AF21" s="37" t="str">
        <f t="shared" si="9"/>
        <v>#DIV/0!</v>
      </c>
      <c r="AG21" s="37" t="str">
        <f t="shared" si="9"/>
        <v>#DIV/0!</v>
      </c>
      <c r="AH21" s="37" t="str">
        <f t="shared" si="9"/>
        <v>#DIV/0!</v>
      </c>
      <c r="AI21" s="37" t="str">
        <f t="shared" si="9"/>
        <v>#DIV/0!</v>
      </c>
      <c r="AJ21" s="2"/>
      <c r="AK21" s="2"/>
      <c r="AL21" s="2"/>
    </row>
    <row r="22" ht="19.5" customHeight="1" spans="1:38" x14ac:dyDescent="0.25">
      <c r="A22" s="16" t="s">
        <v>26</v>
      </c>
      <c r="B22" s="17" t="s">
        <v>19</v>
      </c>
      <c r="C22" s="18" t="s">
        <v>20</v>
      </c>
      <c r="D22" s="19"/>
      <c r="E22" s="20"/>
      <c r="F22" s="21"/>
      <c r="G22" s="22"/>
      <c r="H22" s="22">
        <v>0</v>
      </c>
      <c r="I22" s="22">
        <v>46</v>
      </c>
      <c r="J22" s="39">
        <v>280</v>
      </c>
      <c r="K22" s="39">
        <v>1485</v>
      </c>
      <c r="L22" s="39">
        <v>3192</v>
      </c>
      <c r="M22" s="39">
        <v>3178</v>
      </c>
      <c r="N22" s="39">
        <v>3642</v>
      </c>
      <c r="O22" s="39"/>
      <c r="P22" s="39">
        <v>0</v>
      </c>
      <c r="Q22" s="39">
        <v>0</v>
      </c>
      <c r="R22" s="39">
        <v>522</v>
      </c>
      <c r="S22" s="39">
        <v>5278</v>
      </c>
      <c r="T22" s="39">
        <v>5486</v>
      </c>
      <c r="U22" s="39">
        <v>5003</v>
      </c>
      <c r="V22" s="39">
        <v>5576</v>
      </c>
      <c r="W22" s="39">
        <v>4873</v>
      </c>
      <c r="X22" s="39">
        <v>5183</v>
      </c>
      <c r="Y22" s="39">
        <v>5285</v>
      </c>
      <c r="Z22" s="39">
        <v>5945</v>
      </c>
      <c r="AA22" s="39">
        <v>5274</v>
      </c>
      <c r="AB22" s="39">
        <v>4756</v>
      </c>
      <c r="AC22" s="39">
        <v>4894</v>
      </c>
      <c r="AD22" s="39">
        <v>2703</v>
      </c>
      <c r="AE22" s="39">
        <v>28</v>
      </c>
      <c r="AF22" s="39"/>
      <c r="AG22" s="39"/>
      <c r="AH22" s="39"/>
      <c r="AI22" s="39"/>
      <c r="AJ22" s="2"/>
      <c r="AK22" s="2"/>
      <c r="AL22" s="2"/>
    </row>
    <row r="23" ht="19.5" customHeight="1" spans="1:38" x14ac:dyDescent="0.25">
      <c r="A23" s="23"/>
      <c r="B23" s="24"/>
      <c r="C23" s="25" t="s">
        <v>1</v>
      </c>
      <c r="D23" s="40"/>
      <c r="E23" s="41"/>
      <c r="F23" s="41"/>
      <c r="G23" s="42">
        <v>0</v>
      </c>
      <c r="H23" s="42">
        <v>0</v>
      </c>
      <c r="I23" s="43">
        <v>60</v>
      </c>
      <c r="J23" s="43">
        <v>300</v>
      </c>
      <c r="K23" s="43">
        <v>780</v>
      </c>
      <c r="L23" s="43">
        <v>3240</v>
      </c>
      <c r="M23" s="43">
        <v>3040</v>
      </c>
      <c r="N23" s="43">
        <v>3620</v>
      </c>
      <c r="O23" s="43">
        <v>0</v>
      </c>
      <c r="P23" s="43">
        <v>0</v>
      </c>
      <c r="Q23" s="43">
        <v>0</v>
      </c>
      <c r="R23" s="43">
        <v>925</v>
      </c>
      <c r="S23" s="43">
        <v>5278</v>
      </c>
      <c r="T23" s="43">
        <v>5679</v>
      </c>
      <c r="U23" s="43">
        <v>5653</v>
      </c>
      <c r="V23" s="43">
        <v>3997</v>
      </c>
      <c r="W23" s="43">
        <v>4653</v>
      </c>
      <c r="X23" s="43">
        <v>5243</v>
      </c>
      <c r="Y23" s="29">
        <v>5145</v>
      </c>
      <c r="Z23" s="29">
        <v>5853</v>
      </c>
      <c r="AA23" s="29">
        <v>4678</v>
      </c>
      <c r="AB23" s="29">
        <v>3816</v>
      </c>
      <c r="AC23" s="29">
        <v>4520</v>
      </c>
      <c r="AD23" s="29">
        <v>1336</v>
      </c>
      <c r="AE23" s="29">
        <v>586</v>
      </c>
      <c r="AF23" s="29"/>
      <c r="AG23" s="29"/>
      <c r="AH23" s="29"/>
      <c r="AI23" s="29"/>
      <c r="AJ23" s="2"/>
      <c r="AK23" s="2"/>
      <c r="AL23" s="2"/>
    </row>
    <row r="24" ht="19.5" customHeight="1" spans="1:38" x14ac:dyDescent="0.25">
      <c r="A24" s="31"/>
      <c r="B24" s="32"/>
      <c r="C24" s="33" t="s">
        <v>21</v>
      </c>
      <c r="D24" s="34" t="str">
        <f t="shared" ref="D24:F24" si="10">(D23-D22)/D23</f>
        <v>#DIV/0!</v>
      </c>
      <c r="E24" s="35" t="str">
        <f t="shared" si="10"/>
        <v>#DIV/0!</v>
      </c>
      <c r="F24" s="35" t="str">
        <f t="shared" si="10"/>
        <v>#DIV/0!</v>
      </c>
      <c r="G24" s="36" t="str">
        <f t="shared" ref="G24:AI24" si="11">(G23-G22)/G22</f>
        <v>#DIV/0!</v>
      </c>
      <c r="H24" s="36" t="str">
        <f t="shared" si="11"/>
        <v>#DIV/0!</v>
      </c>
      <c r="I24" s="36">
        <f t="shared" si="11"/>
        <v>0.3043478261</v>
      </c>
      <c r="J24" s="36">
        <f t="shared" si="11"/>
        <v>0.07142857143</v>
      </c>
      <c r="K24" s="37">
        <f t="shared" si="11"/>
        <v>-0.4747474747</v>
      </c>
      <c r="L24" s="36">
        <f t="shared" si="11"/>
        <v>0.01503759398</v>
      </c>
      <c r="M24" s="37">
        <f t="shared" si="11"/>
        <v>-0.04342353682</v>
      </c>
      <c r="N24" s="37">
        <f t="shared" si="11"/>
        <v>-0.006040637013</v>
      </c>
      <c r="O24" s="37" t="str">
        <f t="shared" si="11"/>
        <v>#DIV/0!</v>
      </c>
      <c r="P24" s="37" t="str">
        <f t="shared" si="11"/>
        <v>#DIV/0!</v>
      </c>
      <c r="Q24" s="37" t="str">
        <f t="shared" si="11"/>
        <v>#DIV/0!</v>
      </c>
      <c r="R24" s="37">
        <f t="shared" si="11"/>
        <v>0.7720306513</v>
      </c>
      <c r="S24" s="37">
        <f t="shared" si="11"/>
        <v>0</v>
      </c>
      <c r="T24" s="37">
        <f t="shared" si="11"/>
        <v>0.03518045935</v>
      </c>
      <c r="U24" s="37">
        <f t="shared" si="11"/>
        <v>0.1299220468</v>
      </c>
      <c r="V24" s="37">
        <f t="shared" si="11"/>
        <v>-0.2831779053</v>
      </c>
      <c r="W24" s="37">
        <f t="shared" si="11"/>
        <v>-0.04514672686</v>
      </c>
      <c r="X24" s="37">
        <f t="shared" si="11"/>
        <v>0.01157630716</v>
      </c>
      <c r="Y24" s="37">
        <f t="shared" si="11"/>
        <v>-0.02649006623</v>
      </c>
      <c r="Z24" s="37">
        <f t="shared" si="11"/>
        <v>-0.01547518923</v>
      </c>
      <c r="AA24" s="37">
        <f t="shared" si="11"/>
        <v>-0.1130072052</v>
      </c>
      <c r="AB24" s="37">
        <f t="shared" si="11"/>
        <v>-0.1976450799</v>
      </c>
      <c r="AC24" s="37">
        <f t="shared" si="11"/>
        <v>-0.07642010625</v>
      </c>
      <c r="AD24" s="37">
        <f t="shared" si="11"/>
        <v>-0.5057343692</v>
      </c>
      <c r="AE24" s="37">
        <f t="shared" si="11"/>
        <v>19.92857143</v>
      </c>
      <c r="AF24" s="37" t="str">
        <f t="shared" si="11"/>
        <v>#DIV/0!</v>
      </c>
      <c r="AG24" s="37" t="str">
        <f t="shared" si="11"/>
        <v>#DIV/0!</v>
      </c>
      <c r="AH24" s="37" t="str">
        <f t="shared" si="11"/>
        <v>#DIV/0!</v>
      </c>
      <c r="AI24" s="37" t="str">
        <f t="shared" si="11"/>
        <v>#DIV/0!</v>
      </c>
      <c r="AJ24" s="2"/>
      <c r="AK24" s="2"/>
      <c r="AL24" s="2"/>
    </row>
    <row r="25" ht="19.5" customHeight="1" spans="1:38" x14ac:dyDescent="0.25">
      <c r="A25" s="16" t="s">
        <v>27</v>
      </c>
      <c r="B25" s="17" t="s">
        <v>19</v>
      </c>
      <c r="C25" s="18" t="s">
        <v>20</v>
      </c>
      <c r="D25" s="19"/>
      <c r="E25" s="20"/>
      <c r="F25" s="21"/>
      <c r="G25" s="22"/>
      <c r="H25" s="22">
        <v>0</v>
      </c>
      <c r="I25" s="22">
        <v>46</v>
      </c>
      <c r="J25" s="39">
        <v>280</v>
      </c>
      <c r="K25" s="39">
        <v>1485</v>
      </c>
      <c r="L25" s="39">
        <v>3192</v>
      </c>
      <c r="M25" s="39">
        <v>3178</v>
      </c>
      <c r="N25" s="39">
        <v>3642</v>
      </c>
      <c r="O25" s="39"/>
      <c r="P25" s="39">
        <v>0</v>
      </c>
      <c r="Q25" s="39">
        <v>0</v>
      </c>
      <c r="R25" s="39">
        <v>474</v>
      </c>
      <c r="S25" s="39">
        <v>1127</v>
      </c>
      <c r="T25" s="39">
        <v>3372</v>
      </c>
      <c r="U25" s="39">
        <v>2452</v>
      </c>
      <c r="V25" s="39">
        <v>1884</v>
      </c>
      <c r="W25" s="39">
        <v>2064</v>
      </c>
      <c r="X25" s="39">
        <v>2373</v>
      </c>
      <c r="Y25" s="39">
        <v>3161</v>
      </c>
      <c r="Z25" s="39">
        <v>3144</v>
      </c>
      <c r="AA25" s="39">
        <v>2126</v>
      </c>
      <c r="AB25" s="39">
        <v>2451</v>
      </c>
      <c r="AC25" s="39">
        <v>2386</v>
      </c>
      <c r="AD25" s="39">
        <v>224</v>
      </c>
      <c r="AE25" s="39">
        <v>0</v>
      </c>
      <c r="AF25" s="39"/>
      <c r="AG25" s="39"/>
      <c r="AH25" s="39"/>
      <c r="AI25" s="39"/>
      <c r="AJ25" s="2"/>
      <c r="AK25" s="2"/>
      <c r="AL25" s="2"/>
    </row>
    <row r="26" ht="19.5" customHeight="1" spans="1:38" x14ac:dyDescent="0.25">
      <c r="A26" s="23"/>
      <c r="B26" s="24"/>
      <c r="C26" s="25" t="s">
        <v>1</v>
      </c>
      <c r="D26" s="40"/>
      <c r="E26" s="41"/>
      <c r="F26" s="41"/>
      <c r="G26" s="42">
        <v>0</v>
      </c>
      <c r="H26" s="42">
        <v>0</v>
      </c>
      <c r="I26" s="43">
        <v>60</v>
      </c>
      <c r="J26" s="43">
        <v>300</v>
      </c>
      <c r="K26" s="43">
        <v>780</v>
      </c>
      <c r="L26" s="43">
        <v>3240</v>
      </c>
      <c r="M26" s="43">
        <v>3040</v>
      </c>
      <c r="N26" s="43">
        <v>3620</v>
      </c>
      <c r="O26" s="43">
        <v>0</v>
      </c>
      <c r="P26" s="43">
        <v>0</v>
      </c>
      <c r="Q26" s="43">
        <v>0</v>
      </c>
      <c r="R26" s="43">
        <v>492</v>
      </c>
      <c r="S26" s="43">
        <v>1127</v>
      </c>
      <c r="T26" s="43">
        <v>2848</v>
      </c>
      <c r="U26" s="43">
        <v>2544</v>
      </c>
      <c r="V26" s="43">
        <v>2137</v>
      </c>
      <c r="W26" s="43">
        <v>1944</v>
      </c>
      <c r="X26" s="43">
        <v>2143</v>
      </c>
      <c r="Y26" s="29">
        <v>3071</v>
      </c>
      <c r="Z26" s="29">
        <v>3240</v>
      </c>
      <c r="AA26" s="29">
        <v>1963</v>
      </c>
      <c r="AB26" s="29">
        <v>2251</v>
      </c>
      <c r="AC26" s="29">
        <v>2245</v>
      </c>
      <c r="AD26" s="29">
        <v>82</v>
      </c>
      <c r="AE26" s="29">
        <v>0</v>
      </c>
      <c r="AF26" s="29"/>
      <c r="AG26" s="29"/>
      <c r="AH26" s="29"/>
      <c r="AI26" s="29"/>
      <c r="AJ26" s="2"/>
      <c r="AK26" s="2"/>
      <c r="AL26" s="2"/>
    </row>
    <row r="27" ht="19.5" customHeight="1" spans="1:38" x14ac:dyDescent="0.25">
      <c r="A27" s="31"/>
      <c r="B27" s="32"/>
      <c r="C27" s="33" t="s">
        <v>21</v>
      </c>
      <c r="D27" s="34" t="str">
        <f t="shared" ref="D27:F27" si="12">(D26-D25)/D26</f>
        <v>#DIV/0!</v>
      </c>
      <c r="E27" s="35" t="str">
        <f t="shared" si="12"/>
        <v>#DIV/0!</v>
      </c>
      <c r="F27" s="35" t="str">
        <f t="shared" si="12"/>
        <v>#DIV/0!</v>
      </c>
      <c r="G27" s="36" t="str">
        <f t="shared" ref="G27:AI27" si="13">(G26-G25)/G25</f>
        <v>#DIV/0!</v>
      </c>
      <c r="H27" s="36" t="str">
        <f t="shared" si="13"/>
        <v>#DIV/0!</v>
      </c>
      <c r="I27" s="36">
        <f t="shared" si="13"/>
        <v>0.3043478261</v>
      </c>
      <c r="J27" s="36">
        <f t="shared" si="13"/>
        <v>0.07142857143</v>
      </c>
      <c r="K27" s="37">
        <f t="shared" si="13"/>
        <v>-0.4747474747</v>
      </c>
      <c r="L27" s="36">
        <f t="shared" si="13"/>
        <v>0.01503759398</v>
      </c>
      <c r="M27" s="37">
        <f t="shared" si="13"/>
        <v>-0.04342353682</v>
      </c>
      <c r="N27" s="37">
        <f t="shared" si="13"/>
        <v>-0.006040637013</v>
      </c>
      <c r="O27" s="37" t="str">
        <f t="shared" si="13"/>
        <v>#DIV/0!</v>
      </c>
      <c r="P27" s="37" t="str">
        <f t="shared" si="13"/>
        <v>#DIV/0!</v>
      </c>
      <c r="Q27" s="37" t="str">
        <f t="shared" si="13"/>
        <v>#DIV/0!</v>
      </c>
      <c r="R27" s="37">
        <f t="shared" si="13"/>
        <v>0.03797468354</v>
      </c>
      <c r="S27" s="37">
        <f t="shared" si="13"/>
        <v>0</v>
      </c>
      <c r="T27" s="37">
        <f t="shared" si="13"/>
        <v>-0.1553973903</v>
      </c>
      <c r="U27" s="37">
        <f t="shared" si="13"/>
        <v>0.03752039152</v>
      </c>
      <c r="V27" s="37">
        <f t="shared" si="13"/>
        <v>0.1342887473</v>
      </c>
      <c r="W27" s="37">
        <f t="shared" si="13"/>
        <v>-0.05813953488</v>
      </c>
      <c r="X27" s="37">
        <f t="shared" si="13"/>
        <v>-0.09692372524</v>
      </c>
      <c r="Y27" s="37">
        <f t="shared" si="13"/>
        <v>-0.02847200253</v>
      </c>
      <c r="Z27" s="37">
        <f t="shared" si="13"/>
        <v>0.03053435115</v>
      </c>
      <c r="AA27" s="37">
        <f t="shared" si="13"/>
        <v>-0.07666980245</v>
      </c>
      <c r="AB27" s="37">
        <f t="shared" si="13"/>
        <v>-0.08159934721</v>
      </c>
      <c r="AC27" s="37">
        <f t="shared" si="13"/>
        <v>-0.0590947192</v>
      </c>
      <c r="AD27" s="37">
        <f t="shared" si="13"/>
        <v>-0.6339285714</v>
      </c>
      <c r="AE27" s="37" t="str">
        <f t="shared" si="13"/>
        <v>#DIV/0!</v>
      </c>
      <c r="AF27" s="37" t="str">
        <f t="shared" si="13"/>
        <v>#DIV/0!</v>
      </c>
      <c r="AG27" s="37" t="str">
        <f t="shared" si="13"/>
        <v>#DIV/0!</v>
      </c>
      <c r="AH27" s="37" t="str">
        <f t="shared" si="13"/>
        <v>#DIV/0!</v>
      </c>
      <c r="AI27" s="37" t="str">
        <f t="shared" si="13"/>
        <v>#DIV/0!</v>
      </c>
      <c r="AJ27" s="2"/>
      <c r="AK27" s="2"/>
      <c r="AL27" s="2"/>
    </row>
    <row r="28" ht="19.5" customHeight="1" spans="1:38" x14ac:dyDescent="0.25">
      <c r="A28" s="16" t="s">
        <v>28</v>
      </c>
      <c r="B28" s="17" t="s">
        <v>19</v>
      </c>
      <c r="C28" s="18" t="s">
        <v>20</v>
      </c>
      <c r="D28" s="19"/>
      <c r="E28" s="20"/>
      <c r="F28" s="21"/>
      <c r="G28" s="22"/>
      <c r="H28" s="22">
        <v>0</v>
      </c>
      <c r="I28" s="22">
        <v>46</v>
      </c>
      <c r="J28" s="39">
        <v>280</v>
      </c>
      <c r="K28" s="39">
        <v>1485</v>
      </c>
      <c r="L28" s="39">
        <v>3192</v>
      </c>
      <c r="M28" s="39">
        <v>3178</v>
      </c>
      <c r="N28" s="39">
        <v>3642</v>
      </c>
      <c r="O28" s="39"/>
      <c r="P28" s="39">
        <v>0</v>
      </c>
      <c r="Q28" s="39">
        <v>0</v>
      </c>
      <c r="R28" s="39">
        <v>527</v>
      </c>
      <c r="S28" s="39">
        <v>551</v>
      </c>
      <c r="T28" s="39">
        <v>1101</v>
      </c>
      <c r="U28" s="39">
        <v>1288</v>
      </c>
      <c r="V28" s="39">
        <v>1214</v>
      </c>
      <c r="W28" s="39">
        <v>989</v>
      </c>
      <c r="X28" s="39">
        <v>793</v>
      </c>
      <c r="Y28" s="39">
        <v>1041</v>
      </c>
      <c r="Z28" s="39">
        <v>1137</v>
      </c>
      <c r="AA28" s="39">
        <v>1006</v>
      </c>
      <c r="AB28" s="39">
        <v>1008</v>
      </c>
      <c r="AC28" s="39">
        <v>1008</v>
      </c>
      <c r="AD28" s="39">
        <v>1262</v>
      </c>
      <c r="AE28" s="39">
        <v>2026</v>
      </c>
      <c r="AF28" s="39"/>
      <c r="AG28" s="39"/>
      <c r="AH28" s="39"/>
      <c r="AI28" s="39"/>
      <c r="AJ28" s="2"/>
      <c r="AK28" s="2"/>
      <c r="AL28" s="2"/>
    </row>
    <row r="29" ht="19.5" customHeight="1" spans="1:38" x14ac:dyDescent="0.25">
      <c r="A29" s="23"/>
      <c r="B29" s="24"/>
      <c r="C29" s="25" t="s">
        <v>1</v>
      </c>
      <c r="D29" s="40"/>
      <c r="E29" s="41"/>
      <c r="F29" s="41"/>
      <c r="G29" s="42">
        <v>0</v>
      </c>
      <c r="H29" s="42">
        <v>0</v>
      </c>
      <c r="I29" s="43">
        <v>60</v>
      </c>
      <c r="J29" s="43">
        <v>300</v>
      </c>
      <c r="K29" s="43">
        <v>780</v>
      </c>
      <c r="L29" s="43">
        <v>3240</v>
      </c>
      <c r="M29" s="43">
        <v>3040</v>
      </c>
      <c r="N29" s="43">
        <v>3620</v>
      </c>
      <c r="O29" s="43">
        <v>0</v>
      </c>
      <c r="P29" s="43">
        <v>0</v>
      </c>
      <c r="Q29" s="43">
        <v>0</v>
      </c>
      <c r="R29" s="43">
        <v>546</v>
      </c>
      <c r="S29" s="43">
        <v>551</v>
      </c>
      <c r="T29" s="43">
        <v>852</v>
      </c>
      <c r="U29" s="43">
        <v>1399</v>
      </c>
      <c r="V29" s="43">
        <v>1154</v>
      </c>
      <c r="W29" s="43">
        <v>569</v>
      </c>
      <c r="X29" s="43">
        <v>834</v>
      </c>
      <c r="Y29" s="29">
        <v>999</v>
      </c>
      <c r="Z29" s="29">
        <v>1220</v>
      </c>
      <c r="AA29" s="29">
        <v>882</v>
      </c>
      <c r="AB29" s="29">
        <v>798</v>
      </c>
      <c r="AC29" s="29">
        <v>1134</v>
      </c>
      <c r="AD29" s="29">
        <v>1178</v>
      </c>
      <c r="AE29" s="29">
        <v>2110</v>
      </c>
      <c r="AF29" s="29"/>
      <c r="AG29" s="29"/>
      <c r="AH29" s="29"/>
      <c r="AI29" s="29"/>
      <c r="AJ29" s="2"/>
      <c r="AK29" s="2"/>
      <c r="AL29" s="2"/>
    </row>
    <row r="30" ht="19.5" customHeight="1" spans="1:38" x14ac:dyDescent="0.25">
      <c r="A30" s="31"/>
      <c r="B30" s="32"/>
      <c r="C30" s="33" t="s">
        <v>21</v>
      </c>
      <c r="D30" s="34" t="str">
        <f t="shared" ref="D30:F30" si="14">(D29-D28)/D29</f>
        <v>#DIV/0!</v>
      </c>
      <c r="E30" s="35" t="str">
        <f t="shared" si="14"/>
        <v>#DIV/0!</v>
      </c>
      <c r="F30" s="35" t="str">
        <f t="shared" si="14"/>
        <v>#DIV/0!</v>
      </c>
      <c r="G30" s="36" t="str">
        <f t="shared" ref="G30:AI30" si="15">(G29-G28)/G28</f>
        <v>#DIV/0!</v>
      </c>
      <c r="H30" s="36" t="str">
        <f t="shared" si="15"/>
        <v>#DIV/0!</v>
      </c>
      <c r="I30" s="36">
        <f t="shared" si="15"/>
        <v>0.3043478261</v>
      </c>
      <c r="J30" s="36">
        <f t="shared" si="15"/>
        <v>0.07142857143</v>
      </c>
      <c r="K30" s="37">
        <f t="shared" si="15"/>
        <v>-0.4747474747</v>
      </c>
      <c r="L30" s="36">
        <f t="shared" si="15"/>
        <v>0.01503759398</v>
      </c>
      <c r="M30" s="37">
        <f t="shared" si="15"/>
        <v>-0.04342353682</v>
      </c>
      <c r="N30" s="37">
        <f t="shared" si="15"/>
        <v>-0.006040637013</v>
      </c>
      <c r="O30" s="37" t="str">
        <f t="shared" si="15"/>
        <v>#DIV/0!</v>
      </c>
      <c r="P30" s="37" t="str">
        <f t="shared" si="15"/>
        <v>#DIV/0!</v>
      </c>
      <c r="Q30" s="37" t="str">
        <f t="shared" si="15"/>
        <v>#DIV/0!</v>
      </c>
      <c r="R30" s="37">
        <f t="shared" si="15"/>
        <v>0.03605313093</v>
      </c>
      <c r="S30" s="37">
        <f t="shared" si="15"/>
        <v>0</v>
      </c>
      <c r="T30" s="37">
        <f t="shared" si="15"/>
        <v>-0.2261580381</v>
      </c>
      <c r="U30" s="37">
        <f t="shared" si="15"/>
        <v>0.08618012422</v>
      </c>
      <c r="V30" s="37">
        <f t="shared" si="15"/>
        <v>-0.04942339374</v>
      </c>
      <c r="W30" s="37">
        <f t="shared" si="15"/>
        <v>-0.4246713852</v>
      </c>
      <c r="X30" s="37">
        <f t="shared" si="15"/>
        <v>0.05170239596</v>
      </c>
      <c r="Y30" s="37">
        <f t="shared" si="15"/>
        <v>-0.04034582133</v>
      </c>
      <c r="Z30" s="37">
        <f t="shared" si="15"/>
        <v>0.07299912049</v>
      </c>
      <c r="AA30" s="37">
        <f t="shared" si="15"/>
        <v>-0.1232604374</v>
      </c>
      <c r="AB30" s="37">
        <f t="shared" si="15"/>
        <v>-0.2083333333</v>
      </c>
      <c r="AC30" s="37">
        <f t="shared" si="15"/>
        <v>0.125</v>
      </c>
      <c r="AD30" s="37">
        <f t="shared" si="15"/>
        <v>-0.06656101426</v>
      </c>
      <c r="AE30" s="37">
        <f t="shared" si="15"/>
        <v>0.04146100691</v>
      </c>
      <c r="AF30" s="37" t="str">
        <f t="shared" si="15"/>
        <v>#DIV/0!</v>
      </c>
      <c r="AG30" s="37" t="str">
        <f t="shared" si="15"/>
        <v>#DIV/0!</v>
      </c>
      <c r="AH30" s="37" t="str">
        <f t="shared" si="15"/>
        <v>#DIV/0!</v>
      </c>
      <c r="AI30" s="37" t="str">
        <f t="shared" si="15"/>
        <v>#DIV/0!</v>
      </c>
      <c r="AJ30" s="2"/>
      <c r="AK30" s="2"/>
      <c r="AL30" s="2"/>
    </row>
    <row r="31" ht="19.5" customHeight="1" spans="1:38" x14ac:dyDescent="0.25">
      <c r="A31" s="16" t="s">
        <v>29</v>
      </c>
      <c r="B31" s="17" t="s">
        <v>30</v>
      </c>
      <c r="C31" s="18" t="s">
        <v>20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9"/>
      <c r="X31" s="39">
        <v>0</v>
      </c>
      <c r="Y31" s="39">
        <v>500</v>
      </c>
      <c r="Z31" s="39">
        <v>378</v>
      </c>
      <c r="AA31" s="39">
        <v>0</v>
      </c>
      <c r="AB31" s="39">
        <v>0</v>
      </c>
      <c r="AC31" s="39">
        <v>320</v>
      </c>
      <c r="AD31" s="39">
        <v>0</v>
      </c>
      <c r="AE31" s="39">
        <v>240</v>
      </c>
      <c r="AF31" s="39"/>
      <c r="AG31" s="39"/>
      <c r="AH31" s="39"/>
      <c r="AI31" s="39"/>
      <c r="AJ31" s="2"/>
      <c r="AK31" s="2"/>
      <c r="AL31" s="2"/>
    </row>
    <row r="32" ht="19.5" customHeight="1" spans="1:38" x14ac:dyDescent="0.25">
      <c r="A32" s="23"/>
      <c r="B32" s="24"/>
      <c r="C32" s="25" t="s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3">
        <v>0</v>
      </c>
      <c r="X32" s="43">
        <v>0</v>
      </c>
      <c r="Y32" s="29">
        <v>500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100</v>
      </c>
      <c r="AF32" s="29"/>
      <c r="AG32" s="29"/>
      <c r="AH32" s="29"/>
      <c r="AI32" s="29"/>
      <c r="AJ32" s="2"/>
      <c r="AK32" s="2"/>
      <c r="AL32" s="2"/>
    </row>
    <row r="33" ht="19.5" customHeight="1" spans="1:38" x14ac:dyDescent="0.25">
      <c r="A33" s="31"/>
      <c r="B33" s="32"/>
      <c r="C33" s="33" t="s">
        <v>21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7" t="str">
        <f t="shared" ref="W33:AI33" si="16">(W32-W31)/W31</f>
        <v>#DIV/0!</v>
      </c>
      <c r="X33" s="37" t="str">
        <f t="shared" si="16"/>
        <v>#DIV/0!</v>
      </c>
      <c r="Y33" s="37">
        <f t="shared" si="16"/>
        <v>0</v>
      </c>
      <c r="Z33" s="37">
        <f t="shared" si="16"/>
        <v>-1</v>
      </c>
      <c r="AA33" s="37" t="str">
        <f t="shared" si="16"/>
        <v>#DIV/0!</v>
      </c>
      <c r="AB33" s="37" t="str">
        <f t="shared" si="16"/>
        <v>#DIV/0!</v>
      </c>
      <c r="AC33" s="37">
        <f t="shared" si="16"/>
        <v>-1</v>
      </c>
      <c r="AD33" s="37" t="str">
        <f t="shared" si="16"/>
        <v>#DIV/0!</v>
      </c>
      <c r="AE33" s="37">
        <f t="shared" si="16"/>
        <v>-0.5833333333</v>
      </c>
      <c r="AF33" s="37" t="str">
        <f t="shared" si="16"/>
        <v>#DIV/0!</v>
      </c>
      <c r="AG33" s="37" t="str">
        <f t="shared" si="16"/>
        <v>#DIV/0!</v>
      </c>
      <c r="AH33" s="37" t="str">
        <f t="shared" si="16"/>
        <v>#DIV/0!</v>
      </c>
      <c r="AI33" s="37" t="str">
        <f t="shared" si="16"/>
        <v>#DIV/0!</v>
      </c>
      <c r="AJ33" s="2"/>
      <c r="AK33" s="2"/>
      <c r="AL33" s="2"/>
    </row>
    <row r="34" ht="19.5" customHeight="1" spans="1:38" x14ac:dyDescent="0.25">
      <c r="A34" s="16" t="s">
        <v>31</v>
      </c>
      <c r="B34" s="17" t="s">
        <v>30</v>
      </c>
      <c r="C34" s="18" t="s">
        <v>20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9"/>
      <c r="X34" s="39">
        <v>0</v>
      </c>
      <c r="Y34" s="39">
        <v>1760</v>
      </c>
      <c r="Z34" s="39">
        <v>1700</v>
      </c>
      <c r="AA34" s="39">
        <v>2800</v>
      </c>
      <c r="AB34" s="39">
        <v>2800</v>
      </c>
      <c r="AC34" s="39">
        <v>3200</v>
      </c>
      <c r="AD34" s="39">
        <v>2780</v>
      </c>
      <c r="AE34" s="39">
        <v>900</v>
      </c>
      <c r="AF34" s="39"/>
      <c r="AG34" s="39"/>
      <c r="AH34" s="39"/>
      <c r="AI34" s="39"/>
      <c r="AJ34" s="2"/>
      <c r="AK34" s="2"/>
      <c r="AL34" s="2"/>
    </row>
    <row r="35" ht="19.5" customHeight="1" spans="1:38" x14ac:dyDescent="0.25">
      <c r="A35" s="23"/>
      <c r="B35" s="24"/>
      <c r="C35" s="25" t="s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3">
        <v>0</v>
      </c>
      <c r="X35" s="43">
        <v>0</v>
      </c>
      <c r="Y35" s="29">
        <v>400</v>
      </c>
      <c r="Z35" s="29">
        <v>1700</v>
      </c>
      <c r="AA35" s="29">
        <v>2800</v>
      </c>
      <c r="AB35" s="29">
        <v>2800</v>
      </c>
      <c r="AC35" s="29">
        <v>3200</v>
      </c>
      <c r="AD35" s="29">
        <v>2780</v>
      </c>
      <c r="AE35" s="29">
        <v>1580</v>
      </c>
      <c r="AF35" s="29"/>
      <c r="AG35" s="29"/>
      <c r="AH35" s="29"/>
      <c r="AI35" s="29"/>
      <c r="AJ35" s="2"/>
      <c r="AK35" s="2"/>
      <c r="AL35" s="2"/>
    </row>
    <row r="36" ht="19.5" customHeight="1" spans="1:38" x14ac:dyDescent="0.25">
      <c r="A36" s="31"/>
      <c r="B36" s="32"/>
      <c r="C36" s="33" t="s">
        <v>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7" t="str">
        <f t="shared" ref="W36:AI36" si="17">(W35-W34)/W34</f>
        <v>#DIV/0!</v>
      </c>
      <c r="X36" s="37" t="str">
        <f t="shared" si="17"/>
        <v>#DIV/0!</v>
      </c>
      <c r="Y36" s="37">
        <f t="shared" si="17"/>
        <v>-0.7727272727</v>
      </c>
      <c r="Z36" s="37">
        <f t="shared" si="17"/>
        <v>0</v>
      </c>
      <c r="AA36" s="37">
        <f t="shared" si="17"/>
        <v>0</v>
      </c>
      <c r="AB36" s="37">
        <f t="shared" si="17"/>
        <v>0</v>
      </c>
      <c r="AC36" s="37">
        <f t="shared" si="17"/>
        <v>0</v>
      </c>
      <c r="AD36" s="37">
        <f t="shared" si="17"/>
        <v>0</v>
      </c>
      <c r="AE36" s="37">
        <f t="shared" si="17"/>
        <v>0.7555555556</v>
      </c>
      <c r="AF36" s="37" t="str">
        <f t="shared" si="17"/>
        <v>#DIV/0!</v>
      </c>
      <c r="AG36" s="37" t="str">
        <f t="shared" si="17"/>
        <v>#DIV/0!</v>
      </c>
      <c r="AH36" s="37" t="str">
        <f t="shared" si="17"/>
        <v>#DIV/0!</v>
      </c>
      <c r="AI36" s="37" t="str">
        <f t="shared" si="17"/>
        <v>#DIV/0!</v>
      </c>
      <c r="AJ36" s="2"/>
      <c r="AK36" s="2"/>
      <c r="AL36" s="2"/>
    </row>
    <row r="37" ht="19.5" customHeight="1" spans="1:38" x14ac:dyDescent="0.25">
      <c r="A37" s="16" t="s">
        <v>32</v>
      </c>
      <c r="B37" s="17" t="s">
        <v>30</v>
      </c>
      <c r="C37" s="18" t="s">
        <v>20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9"/>
      <c r="X37" s="39">
        <v>0</v>
      </c>
      <c r="Y37" s="39">
        <v>3260</v>
      </c>
      <c r="Z37" s="39">
        <v>2580</v>
      </c>
      <c r="AA37" s="39">
        <v>3160</v>
      </c>
      <c r="AB37" s="39">
        <v>4620</v>
      </c>
      <c r="AC37" s="39">
        <v>3760</v>
      </c>
      <c r="AD37" s="39">
        <v>3460</v>
      </c>
      <c r="AE37" s="39">
        <v>3600</v>
      </c>
      <c r="AF37" s="39"/>
      <c r="AG37" s="39"/>
      <c r="AH37" s="39"/>
      <c r="AI37" s="39"/>
      <c r="AJ37" s="2"/>
      <c r="AK37" s="2"/>
      <c r="AL37" s="2"/>
    </row>
    <row r="38" ht="19.5" customHeight="1" spans="1:38" x14ac:dyDescent="0.25">
      <c r="A38" s="23"/>
      <c r="B38" s="24"/>
      <c r="C38" s="25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3">
        <v>0</v>
      </c>
      <c r="X38" s="43">
        <v>0</v>
      </c>
      <c r="Y38" s="29">
        <v>1260</v>
      </c>
      <c r="Z38" s="29">
        <v>2640</v>
      </c>
      <c r="AA38" s="29">
        <v>3180</v>
      </c>
      <c r="AB38" s="29">
        <v>4120</v>
      </c>
      <c r="AC38" s="29">
        <v>3740</v>
      </c>
      <c r="AD38" s="29">
        <v>4400</v>
      </c>
      <c r="AE38" s="29">
        <v>0</v>
      </c>
      <c r="AF38" s="29"/>
      <c r="AG38" s="29"/>
      <c r="AH38" s="29"/>
      <c r="AI38" s="29"/>
      <c r="AJ38" s="2"/>
      <c r="AK38" s="2"/>
      <c r="AL38" s="2"/>
    </row>
    <row r="39" ht="19.5" customHeight="1" spans="1:38" x14ac:dyDescent="0.25">
      <c r="A39" s="31"/>
      <c r="B39" s="32"/>
      <c r="C39" s="33" t="s">
        <v>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7" t="str">
        <f t="shared" ref="W39:AI39" si="18">(W38-W37)/W37</f>
        <v>#DIV/0!</v>
      </c>
      <c r="X39" s="37" t="str">
        <f t="shared" si="18"/>
        <v>#DIV/0!</v>
      </c>
      <c r="Y39" s="37">
        <f t="shared" si="18"/>
        <v>-0.6134969325</v>
      </c>
      <c r="Z39" s="37">
        <f t="shared" si="18"/>
        <v>0.02325581395</v>
      </c>
      <c r="AA39" s="37">
        <f t="shared" si="18"/>
        <v>0.006329113924</v>
      </c>
      <c r="AB39" s="37">
        <f t="shared" si="18"/>
        <v>-0.1082251082</v>
      </c>
      <c r="AC39" s="37">
        <f t="shared" si="18"/>
        <v>-0.005319148936</v>
      </c>
      <c r="AD39" s="37">
        <f t="shared" si="18"/>
        <v>0.2716763006</v>
      </c>
      <c r="AE39" s="37">
        <f t="shared" si="18"/>
        <v>-1</v>
      </c>
      <c r="AF39" s="37" t="str">
        <f t="shared" si="18"/>
        <v>#DIV/0!</v>
      </c>
      <c r="AG39" s="37" t="str">
        <f t="shared" si="18"/>
        <v>#DIV/0!</v>
      </c>
      <c r="AH39" s="37" t="str">
        <f t="shared" si="18"/>
        <v>#DIV/0!</v>
      </c>
      <c r="AI39" s="37" t="str">
        <f t="shared" si="18"/>
        <v>#DIV/0!</v>
      </c>
      <c r="AJ39" s="2"/>
      <c r="AK39" s="2"/>
      <c r="AL39" s="2"/>
    </row>
    <row r="40" ht="19.5" customHeight="1" spans="1:38" x14ac:dyDescent="0.25">
      <c r="A40" s="16" t="s">
        <v>33</v>
      </c>
      <c r="B40" s="17" t="s">
        <v>34</v>
      </c>
      <c r="C40" s="18" t="s">
        <v>20</v>
      </c>
      <c r="D40" s="19"/>
      <c r="E40" s="20"/>
      <c r="F40" s="21"/>
      <c r="G40" s="22"/>
      <c r="H40" s="22"/>
      <c r="I40" s="22"/>
      <c r="J40" s="39"/>
      <c r="K40" s="39"/>
      <c r="L40" s="39"/>
      <c r="M40" s="39"/>
      <c r="N40" s="39"/>
      <c r="O40" s="39"/>
      <c r="P40" s="39"/>
      <c r="Q40" s="39"/>
      <c r="R40" s="39"/>
      <c r="S40" s="39">
        <v>0</v>
      </c>
      <c r="T40" s="39">
        <v>0</v>
      </c>
      <c r="U40" s="39">
        <v>0</v>
      </c>
      <c r="V40" s="39">
        <v>0</v>
      </c>
      <c r="W40" s="39">
        <v>1908</v>
      </c>
      <c r="X40" s="39">
        <v>1044</v>
      </c>
      <c r="Y40" s="39">
        <v>1476</v>
      </c>
      <c r="Z40" s="39">
        <v>1332</v>
      </c>
      <c r="AA40" s="39">
        <v>1152</v>
      </c>
      <c r="AB40" s="39">
        <v>1620</v>
      </c>
      <c r="AC40" s="39">
        <v>1404</v>
      </c>
      <c r="AD40" s="39">
        <v>3168</v>
      </c>
      <c r="AE40" s="39">
        <v>4320</v>
      </c>
      <c r="AF40" s="39"/>
      <c r="AG40" s="39"/>
      <c r="AH40" s="39"/>
      <c r="AI40" s="39"/>
      <c r="AJ40" s="2"/>
      <c r="AK40" s="2"/>
      <c r="AL40" s="2"/>
    </row>
    <row r="41" ht="19.5" customHeight="1" spans="1:38" x14ac:dyDescent="0.25">
      <c r="A41" s="23"/>
      <c r="B41" s="24"/>
      <c r="C41" s="25" t="s">
        <v>1</v>
      </c>
      <c r="D41" s="40"/>
      <c r="E41" s="41"/>
      <c r="F41" s="41"/>
      <c r="G41" s="42"/>
      <c r="H41" s="4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>
        <v>0</v>
      </c>
      <c r="T41" s="43">
        <v>0</v>
      </c>
      <c r="U41" s="43">
        <v>0</v>
      </c>
      <c r="V41" s="43">
        <v>0</v>
      </c>
      <c r="W41" s="43">
        <v>576</v>
      </c>
      <c r="X41" s="43">
        <v>1080</v>
      </c>
      <c r="Y41" s="29">
        <v>1404</v>
      </c>
      <c r="Z41" s="29">
        <v>1908</v>
      </c>
      <c r="AA41" s="29">
        <v>2088</v>
      </c>
      <c r="AB41" s="29">
        <v>2304</v>
      </c>
      <c r="AC41" s="29">
        <v>1728</v>
      </c>
      <c r="AD41" s="29">
        <v>6444</v>
      </c>
      <c r="AE41" s="29">
        <v>936</v>
      </c>
      <c r="AF41" s="29"/>
      <c r="AG41" s="29"/>
      <c r="AH41" s="29"/>
      <c r="AI41" s="29"/>
      <c r="AJ41" s="2"/>
      <c r="AK41" s="2"/>
      <c r="AL41" s="2"/>
    </row>
    <row r="42" ht="19.5" customHeight="1" spans="1:38" x14ac:dyDescent="0.25">
      <c r="A42" s="31"/>
      <c r="B42" s="32"/>
      <c r="C42" s="33" t="s">
        <v>21</v>
      </c>
      <c r="D42" s="34" t="str">
        <f t="shared" ref="D42:F42" si="19">(D41-D40)/D41</f>
        <v>#DIV/0!</v>
      </c>
      <c r="E42" s="35" t="str">
        <f t="shared" si="19"/>
        <v>#DIV/0!</v>
      </c>
      <c r="F42" s="35" t="str">
        <f t="shared" si="19"/>
        <v>#DIV/0!</v>
      </c>
      <c r="G42" s="36" t="str">
        <f t="shared" ref="G42:AI42" si="20">(G41-G40)/G40</f>
        <v>#DIV/0!</v>
      </c>
      <c r="H42" s="36" t="str">
        <f t="shared" si="20"/>
        <v>#DIV/0!</v>
      </c>
      <c r="I42" s="36" t="str">
        <f t="shared" si="20"/>
        <v>#DIV/0!</v>
      </c>
      <c r="J42" s="36" t="str">
        <f t="shared" si="20"/>
        <v>#DIV/0!</v>
      </c>
      <c r="K42" s="37" t="str">
        <f t="shared" si="20"/>
        <v>#DIV/0!</v>
      </c>
      <c r="L42" s="36" t="str">
        <f t="shared" si="20"/>
        <v>#DIV/0!</v>
      </c>
      <c r="M42" s="37" t="str">
        <f t="shared" si="20"/>
        <v>#DIV/0!</v>
      </c>
      <c r="N42" s="37" t="str">
        <f t="shared" si="20"/>
        <v>#DIV/0!</v>
      </c>
      <c r="O42" s="37" t="str">
        <f t="shared" si="20"/>
        <v>#DIV/0!</v>
      </c>
      <c r="P42" s="37" t="str">
        <f t="shared" si="20"/>
        <v>#DIV/0!</v>
      </c>
      <c r="Q42" s="37" t="str">
        <f t="shared" si="20"/>
        <v>#DIV/0!</v>
      </c>
      <c r="R42" s="37" t="str">
        <f t="shared" si="20"/>
        <v>#DIV/0!</v>
      </c>
      <c r="S42" s="37" t="str">
        <f t="shared" si="20"/>
        <v>#DIV/0!</v>
      </c>
      <c r="T42" s="37" t="str">
        <f t="shared" si="20"/>
        <v>#DIV/0!</v>
      </c>
      <c r="U42" s="37" t="str">
        <f t="shared" si="20"/>
        <v>#DIV/0!</v>
      </c>
      <c r="V42" s="37" t="str">
        <f t="shared" si="20"/>
        <v>#DIV/0!</v>
      </c>
      <c r="W42" s="37">
        <f t="shared" si="20"/>
        <v>-0.6981132075</v>
      </c>
      <c r="X42" s="37">
        <f t="shared" si="20"/>
        <v>0.03448275862</v>
      </c>
      <c r="Y42" s="37">
        <f t="shared" si="20"/>
        <v>-0.0487804878</v>
      </c>
      <c r="Z42" s="37">
        <f t="shared" si="20"/>
        <v>0.4324324324</v>
      </c>
      <c r="AA42" s="37">
        <f t="shared" si="20"/>
        <v>0.8125</v>
      </c>
      <c r="AB42" s="37">
        <f t="shared" si="20"/>
        <v>0.4222222222</v>
      </c>
      <c r="AC42" s="37">
        <f t="shared" si="20"/>
        <v>0.2307692308</v>
      </c>
      <c r="AD42" s="37">
        <f t="shared" si="20"/>
        <v>1.034090909</v>
      </c>
      <c r="AE42" s="37">
        <f t="shared" si="20"/>
        <v>-0.7833333333</v>
      </c>
      <c r="AF42" s="37" t="str">
        <f t="shared" si="20"/>
        <v>#DIV/0!</v>
      </c>
      <c r="AG42" s="37" t="str">
        <f t="shared" si="20"/>
        <v>#DIV/0!</v>
      </c>
      <c r="AH42" s="37" t="str">
        <f t="shared" si="20"/>
        <v>#DIV/0!</v>
      </c>
      <c r="AI42" s="37" t="str">
        <f t="shared" si="20"/>
        <v>#DIV/0!</v>
      </c>
      <c r="AJ42" s="2"/>
      <c r="AK42" s="2"/>
      <c r="AL42" s="2"/>
    </row>
    <row r="43" ht="19.5" customHeight="1" spans="1:38" x14ac:dyDescent="0.25">
      <c r="A43" s="16" t="s">
        <v>35</v>
      </c>
      <c r="B43" s="17" t="s">
        <v>34</v>
      </c>
      <c r="C43" s="18" t="s">
        <v>20</v>
      </c>
      <c r="D43" s="19"/>
      <c r="E43" s="20"/>
      <c r="F43" s="21"/>
      <c r="G43" s="22"/>
      <c r="H43" s="22"/>
      <c r="I43" s="22"/>
      <c r="J43" s="39"/>
      <c r="K43" s="39"/>
      <c r="L43" s="39"/>
      <c r="M43" s="39"/>
      <c r="N43" s="39"/>
      <c r="O43" s="39"/>
      <c r="P43" s="39"/>
      <c r="Q43" s="39"/>
      <c r="R43" s="39"/>
      <c r="S43" s="39">
        <v>0</v>
      </c>
      <c r="T43" s="39">
        <v>0</v>
      </c>
      <c r="U43" s="39">
        <v>0</v>
      </c>
      <c r="V43" s="39">
        <v>0</v>
      </c>
      <c r="W43" s="39">
        <v>5510</v>
      </c>
      <c r="X43" s="39">
        <v>4970</v>
      </c>
      <c r="Y43" s="39">
        <v>5710</v>
      </c>
      <c r="Z43" s="39">
        <v>6160</v>
      </c>
      <c r="AA43" s="39">
        <v>3680</v>
      </c>
      <c r="AB43" s="39">
        <v>4790</v>
      </c>
      <c r="AC43" s="39">
        <v>4940</v>
      </c>
      <c r="AD43" s="39">
        <v>7050</v>
      </c>
      <c r="AE43" s="39">
        <v>8840</v>
      </c>
      <c r="AF43" s="39"/>
      <c r="AG43" s="39"/>
      <c r="AH43" s="39"/>
      <c r="AI43" s="39"/>
      <c r="AJ43" s="2"/>
      <c r="AK43" s="2"/>
      <c r="AL43" s="2"/>
    </row>
    <row r="44" ht="19.5" customHeight="1" spans="1:38" x14ac:dyDescent="0.25">
      <c r="A44" s="23"/>
      <c r="B44" s="24"/>
      <c r="C44" s="25" t="s">
        <v>1</v>
      </c>
      <c r="D44" s="40"/>
      <c r="E44" s="41"/>
      <c r="F44" s="41"/>
      <c r="G44" s="42"/>
      <c r="H44" s="42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>
        <v>0</v>
      </c>
      <c r="T44" s="43">
        <v>0</v>
      </c>
      <c r="U44" s="43">
        <v>0</v>
      </c>
      <c r="V44" s="43">
        <v>0</v>
      </c>
      <c r="W44" s="43">
        <v>4050</v>
      </c>
      <c r="X44" s="43">
        <v>5000</v>
      </c>
      <c r="Y44" s="29">
        <v>5720</v>
      </c>
      <c r="Z44" s="29">
        <v>6110</v>
      </c>
      <c r="AA44" s="29">
        <v>4870</v>
      </c>
      <c r="AB44" s="29">
        <v>4860</v>
      </c>
      <c r="AC44" s="29">
        <v>4850</v>
      </c>
      <c r="AD44" s="29">
        <v>10330</v>
      </c>
      <c r="AE44" s="29">
        <v>5380</v>
      </c>
      <c r="AF44" s="29"/>
      <c r="AG44" s="29"/>
      <c r="AH44" s="29"/>
      <c r="AI44" s="29"/>
      <c r="AJ44" s="2"/>
      <c r="AK44" s="2"/>
      <c r="AL44" s="2"/>
    </row>
    <row r="45" ht="19.5" customHeight="1" spans="1:38" x14ac:dyDescent="0.25">
      <c r="A45" s="31"/>
      <c r="B45" s="32"/>
      <c r="C45" s="33" t="s">
        <v>21</v>
      </c>
      <c r="D45" s="34" t="str">
        <f t="shared" ref="D45:F45" si="21">(D44-D43)/D44</f>
        <v>#DIV/0!</v>
      </c>
      <c r="E45" s="35" t="str">
        <f t="shared" si="21"/>
        <v>#DIV/0!</v>
      </c>
      <c r="F45" s="35" t="str">
        <f t="shared" si="21"/>
        <v>#DIV/0!</v>
      </c>
      <c r="G45" s="36" t="str">
        <f t="shared" ref="G45:AI45" si="22">(G44-G43)/G43</f>
        <v>#DIV/0!</v>
      </c>
      <c r="H45" s="36" t="str">
        <f t="shared" si="22"/>
        <v>#DIV/0!</v>
      </c>
      <c r="I45" s="36" t="str">
        <f t="shared" si="22"/>
        <v>#DIV/0!</v>
      </c>
      <c r="J45" s="36" t="str">
        <f t="shared" si="22"/>
        <v>#DIV/0!</v>
      </c>
      <c r="K45" s="37" t="str">
        <f t="shared" si="22"/>
        <v>#DIV/0!</v>
      </c>
      <c r="L45" s="36" t="str">
        <f t="shared" si="22"/>
        <v>#DIV/0!</v>
      </c>
      <c r="M45" s="37" t="str">
        <f t="shared" si="22"/>
        <v>#DIV/0!</v>
      </c>
      <c r="N45" s="37" t="str">
        <f t="shared" si="22"/>
        <v>#DIV/0!</v>
      </c>
      <c r="O45" s="37" t="str">
        <f t="shared" si="22"/>
        <v>#DIV/0!</v>
      </c>
      <c r="P45" s="37" t="str">
        <f t="shared" si="22"/>
        <v>#DIV/0!</v>
      </c>
      <c r="Q45" s="37" t="str">
        <f t="shared" si="22"/>
        <v>#DIV/0!</v>
      </c>
      <c r="R45" s="37" t="str">
        <f t="shared" si="22"/>
        <v>#DIV/0!</v>
      </c>
      <c r="S45" s="37" t="str">
        <f t="shared" si="22"/>
        <v>#DIV/0!</v>
      </c>
      <c r="T45" s="37" t="str">
        <f t="shared" si="22"/>
        <v>#DIV/0!</v>
      </c>
      <c r="U45" s="37" t="str">
        <f t="shared" si="22"/>
        <v>#DIV/0!</v>
      </c>
      <c r="V45" s="37" t="str">
        <f t="shared" si="22"/>
        <v>#DIV/0!</v>
      </c>
      <c r="W45" s="37">
        <f t="shared" si="22"/>
        <v>-0.2649727768</v>
      </c>
      <c r="X45" s="37">
        <f t="shared" si="22"/>
        <v>0.006036217304</v>
      </c>
      <c r="Y45" s="37">
        <f t="shared" si="22"/>
        <v>0.001751313485</v>
      </c>
      <c r="Z45" s="37">
        <f t="shared" si="22"/>
        <v>-0.008116883117</v>
      </c>
      <c r="AA45" s="37">
        <f t="shared" si="22"/>
        <v>0.3233695652</v>
      </c>
      <c r="AB45" s="37">
        <f t="shared" si="22"/>
        <v>0.01461377871</v>
      </c>
      <c r="AC45" s="37">
        <f t="shared" si="22"/>
        <v>-0.01821862348</v>
      </c>
      <c r="AD45" s="37">
        <f t="shared" si="22"/>
        <v>0.465248227</v>
      </c>
      <c r="AE45" s="37">
        <f t="shared" si="22"/>
        <v>-0.3914027149</v>
      </c>
      <c r="AF45" s="37" t="str">
        <f t="shared" si="22"/>
        <v>#DIV/0!</v>
      </c>
      <c r="AG45" s="37" t="str">
        <f t="shared" si="22"/>
        <v>#DIV/0!</v>
      </c>
      <c r="AH45" s="37" t="str">
        <f t="shared" si="22"/>
        <v>#DIV/0!</v>
      </c>
      <c r="AI45" s="37" t="str">
        <f t="shared" si="22"/>
        <v>#DIV/0!</v>
      </c>
      <c r="AJ45" s="2"/>
      <c r="AK45" s="2"/>
      <c r="AL45" s="2"/>
    </row>
    <row r="46" ht="19.5" customHeight="1" spans="1:38" x14ac:dyDescent="0.25">
      <c r="A46" s="16" t="s">
        <v>36</v>
      </c>
      <c r="B46" s="17" t="s">
        <v>37</v>
      </c>
      <c r="C46" s="18" t="s">
        <v>20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9"/>
      <c r="AC46" s="39"/>
      <c r="AD46" s="39">
        <v>0</v>
      </c>
      <c r="AE46" s="39">
        <v>5856</v>
      </c>
      <c r="AF46" s="39"/>
      <c r="AG46" s="39"/>
      <c r="AH46" s="39"/>
      <c r="AI46" s="39"/>
      <c r="AJ46" s="2"/>
      <c r="AK46" s="2"/>
      <c r="AL46" s="2"/>
    </row>
    <row r="47" ht="19.5" customHeight="1" spans="1:38" x14ac:dyDescent="0.25">
      <c r="A47" s="23"/>
      <c r="B47" s="24"/>
      <c r="C47" s="25" t="s"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9">
        <v>0</v>
      </c>
      <c r="AC47" s="29">
        <v>0</v>
      </c>
      <c r="AD47" s="29">
        <v>0</v>
      </c>
      <c r="AE47" s="29">
        <v>5856</v>
      </c>
      <c r="AF47" s="29"/>
      <c r="AG47" s="29"/>
      <c r="AH47" s="29"/>
      <c r="AI47" s="29"/>
      <c r="AJ47" s="2"/>
      <c r="AK47" s="2"/>
      <c r="AL47" s="2"/>
    </row>
    <row r="48" ht="19.5" customHeight="1" spans="1:38" x14ac:dyDescent="0.25">
      <c r="A48" s="31"/>
      <c r="B48" s="32"/>
      <c r="C48" s="33" t="s">
        <v>21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7" t="str">
        <f t="shared" ref="AB48:AI48" si="23">(AB47-AB46)/AB46</f>
        <v>#DIV/0!</v>
      </c>
      <c r="AC48" s="37" t="str">
        <f t="shared" si="23"/>
        <v>#DIV/0!</v>
      </c>
      <c r="AD48" s="37" t="str">
        <f t="shared" si="23"/>
        <v>#DIV/0!</v>
      </c>
      <c r="AE48" s="37">
        <f t="shared" si="23"/>
        <v>0</v>
      </c>
      <c r="AF48" s="37" t="str">
        <f t="shared" si="23"/>
        <v>#DIV/0!</v>
      </c>
      <c r="AG48" s="37" t="str">
        <f t="shared" si="23"/>
        <v>#DIV/0!</v>
      </c>
      <c r="AH48" s="37" t="str">
        <f t="shared" si="23"/>
        <v>#DIV/0!</v>
      </c>
      <c r="AI48" s="37" t="str">
        <f t="shared" si="23"/>
        <v>#DIV/0!</v>
      </c>
      <c r="AJ48" s="2"/>
      <c r="AK48" s="2"/>
      <c r="AL48" s="2"/>
    </row>
    <row r="49" ht="19.5" customHeight="1" spans="1:38" x14ac:dyDescent="0.25">
      <c r="A49" s="16" t="s">
        <v>38</v>
      </c>
      <c r="B49" s="17" t="s">
        <v>37</v>
      </c>
      <c r="C49" s="18" t="s">
        <v>20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9"/>
      <c r="AC49" s="39"/>
      <c r="AD49" s="39">
        <v>0</v>
      </c>
      <c r="AE49" s="39">
        <v>1220</v>
      </c>
      <c r="AF49" s="39"/>
      <c r="AG49" s="39"/>
      <c r="AH49" s="39"/>
      <c r="AI49" s="39"/>
      <c r="AJ49" s="2"/>
      <c r="AK49" s="2"/>
      <c r="AL49" s="2"/>
    </row>
    <row r="50" ht="19.5" customHeight="1" spans="1:38" x14ac:dyDescent="0.25">
      <c r="A50" s="23"/>
      <c r="B50" s="24"/>
      <c r="C50" s="25" t="s"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9">
        <v>0</v>
      </c>
      <c r="AC50" s="29">
        <v>0</v>
      </c>
      <c r="AD50" s="29">
        <v>0</v>
      </c>
      <c r="AE50" s="29">
        <v>1220</v>
      </c>
      <c r="AF50" s="29"/>
      <c r="AG50" s="29"/>
      <c r="AH50" s="29"/>
      <c r="AI50" s="29"/>
      <c r="AJ50" s="2"/>
      <c r="AK50" s="2"/>
      <c r="AL50" s="2"/>
    </row>
    <row r="51" ht="19.5" customHeight="1" spans="1:38" x14ac:dyDescent="0.25">
      <c r="A51" s="31"/>
      <c r="B51" s="32"/>
      <c r="C51" s="33" t="s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7" t="str">
        <f t="shared" ref="AB51:AI51" si="24">(AB50-AB49)/AB49</f>
        <v>#DIV/0!</v>
      </c>
      <c r="AC51" s="37" t="str">
        <f t="shared" si="24"/>
        <v>#DIV/0!</v>
      </c>
      <c r="AD51" s="37" t="str">
        <f t="shared" si="24"/>
        <v>#DIV/0!</v>
      </c>
      <c r="AE51" s="37">
        <f t="shared" si="24"/>
        <v>0</v>
      </c>
      <c r="AF51" s="37" t="str">
        <f t="shared" si="24"/>
        <v>#DIV/0!</v>
      </c>
      <c r="AG51" s="37" t="str">
        <f t="shared" si="24"/>
        <v>#DIV/0!</v>
      </c>
      <c r="AH51" s="37" t="str">
        <f t="shared" si="24"/>
        <v>#DIV/0!</v>
      </c>
      <c r="AI51" s="37" t="str">
        <f t="shared" si="24"/>
        <v>#DIV/0!</v>
      </c>
      <c r="AJ51" s="2"/>
      <c r="AK51" s="2"/>
      <c r="AL51" s="2"/>
    </row>
    <row r="52" ht="19.5" customHeight="1" spans="1:38" x14ac:dyDescent="0.25">
      <c r="A52" s="16" t="s">
        <v>39</v>
      </c>
      <c r="B52" s="17" t="s">
        <v>40</v>
      </c>
      <c r="C52" s="18" t="s">
        <v>20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9"/>
      <c r="AC52" s="39"/>
      <c r="AD52" s="39">
        <v>3160</v>
      </c>
      <c r="AE52" s="39">
        <v>5251</v>
      </c>
      <c r="AF52" s="39"/>
      <c r="AG52" s="39"/>
      <c r="AH52" s="39"/>
      <c r="AI52" s="39"/>
      <c r="AJ52" s="2"/>
      <c r="AK52" s="2"/>
      <c r="AL52" s="2"/>
    </row>
    <row r="53" ht="19.5" customHeight="1" spans="1:38" x14ac:dyDescent="0.25">
      <c r="A53" s="23"/>
      <c r="B53" s="24"/>
      <c r="C53" s="25" t="s">
        <v>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9">
        <v>0</v>
      </c>
      <c r="AC53" s="29">
        <v>0</v>
      </c>
      <c r="AD53" s="29">
        <v>3252</v>
      </c>
      <c r="AE53" s="29">
        <v>3011</v>
      </c>
      <c r="AF53" s="29"/>
      <c r="AG53" s="29"/>
      <c r="AH53" s="29"/>
      <c r="AI53" s="29"/>
      <c r="AJ53" s="2"/>
      <c r="AK53" s="2"/>
      <c r="AL53" s="2"/>
    </row>
    <row r="54" ht="19.5" customHeight="1" spans="1:38" x14ac:dyDescent="0.25">
      <c r="A54" s="31"/>
      <c r="B54" s="32"/>
      <c r="C54" s="33" t="s">
        <v>21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7" t="str">
        <f t="shared" ref="AB54:AI54" si="25">(AB53-AB52)/AB52</f>
        <v>#DIV/0!</v>
      </c>
      <c r="AC54" s="37" t="str">
        <f t="shared" si="25"/>
        <v>#DIV/0!</v>
      </c>
      <c r="AD54" s="37">
        <f t="shared" si="25"/>
        <v>0.02911392405</v>
      </c>
      <c r="AE54" s="37">
        <f t="shared" si="25"/>
        <v>-0.4265854123</v>
      </c>
      <c r="AF54" s="37" t="str">
        <f t="shared" si="25"/>
        <v>#DIV/0!</v>
      </c>
      <c r="AG54" s="37" t="str">
        <f t="shared" si="25"/>
        <v>#DIV/0!</v>
      </c>
      <c r="AH54" s="37" t="str">
        <f t="shared" si="25"/>
        <v>#DIV/0!</v>
      </c>
      <c r="AI54" s="37" t="str">
        <f t="shared" si="25"/>
        <v>#DIV/0!</v>
      </c>
      <c r="AJ54" s="2"/>
      <c r="AK54" s="2"/>
      <c r="AL54" s="2"/>
    </row>
    <row r="55" ht="19.5" customHeight="1" spans="1:38" x14ac:dyDescent="0.25">
      <c r="A55" s="16" t="s">
        <v>41</v>
      </c>
      <c r="B55" s="17" t="s">
        <v>40</v>
      </c>
      <c r="C55" s="18" t="s">
        <v>20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9"/>
      <c r="AC55" s="39"/>
      <c r="AD55" s="39">
        <v>0</v>
      </c>
      <c r="AE55" s="39">
        <v>6725</v>
      </c>
      <c r="AF55" s="39"/>
      <c r="AG55" s="39"/>
      <c r="AH55" s="39"/>
      <c r="AI55" s="39"/>
      <c r="AJ55" s="2"/>
      <c r="AK55" s="2"/>
      <c r="AL55" s="2"/>
    </row>
    <row r="56" ht="19.5" customHeight="1" spans="1:38" x14ac:dyDescent="0.25">
      <c r="A56" s="23"/>
      <c r="B56" s="24"/>
      <c r="C56" s="25" t="s"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9">
        <v>0</v>
      </c>
      <c r="AC56" s="29">
        <v>0</v>
      </c>
      <c r="AD56" s="29">
        <v>1200</v>
      </c>
      <c r="AE56" s="29">
        <v>4193</v>
      </c>
      <c r="AF56" s="29"/>
      <c r="AG56" s="29"/>
      <c r="AH56" s="29"/>
      <c r="AI56" s="29"/>
      <c r="AJ56" s="2"/>
      <c r="AK56" s="2"/>
      <c r="AL56" s="2"/>
    </row>
    <row r="57" ht="19.5" customHeight="1" spans="1:38" x14ac:dyDescent="0.25">
      <c r="A57" s="31"/>
      <c r="B57" s="32"/>
      <c r="C57" s="33" t="s">
        <v>21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7" t="str">
        <f t="shared" ref="AB57:AI57" si="26">(AB56-AB55)/AB55</f>
        <v>#DIV/0!</v>
      </c>
      <c r="AC57" s="37" t="str">
        <f t="shared" si="26"/>
        <v>#DIV/0!</v>
      </c>
      <c r="AD57" s="37" t="str">
        <f t="shared" si="26"/>
        <v>#DIV/0!</v>
      </c>
      <c r="AE57" s="37">
        <f t="shared" si="26"/>
        <v>-0.3765055762</v>
      </c>
      <c r="AF57" s="37" t="str">
        <f t="shared" si="26"/>
        <v>#DIV/0!</v>
      </c>
      <c r="AG57" s="37" t="str">
        <f t="shared" si="26"/>
        <v>#DIV/0!</v>
      </c>
      <c r="AH57" s="37" t="str">
        <f t="shared" si="26"/>
        <v>#DIV/0!</v>
      </c>
      <c r="AI57" s="37" t="str">
        <f t="shared" si="26"/>
        <v>#DIV/0!</v>
      </c>
      <c r="AJ57" s="2"/>
      <c r="AK57" s="2"/>
      <c r="AL57" s="2"/>
    </row>
    <row r="58" ht="19.5" customHeight="1" spans="1:38" x14ac:dyDescent="0.25">
      <c r="A58" s="16" t="s">
        <v>42</v>
      </c>
      <c r="B58" s="17" t="s">
        <v>40</v>
      </c>
      <c r="C58" s="18" t="s">
        <v>20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9"/>
      <c r="AC58" s="39"/>
      <c r="AD58" s="39">
        <v>1690</v>
      </c>
      <c r="AE58" s="39">
        <v>3657</v>
      </c>
      <c r="AF58" s="39"/>
      <c r="AG58" s="39"/>
      <c r="AH58" s="39"/>
      <c r="AI58" s="39"/>
      <c r="AJ58" s="2"/>
      <c r="AK58" s="2"/>
      <c r="AL58" s="2"/>
    </row>
    <row r="59" ht="19.5" customHeight="1" spans="1:38" x14ac:dyDescent="0.25">
      <c r="A59" s="23"/>
      <c r="B59" s="24"/>
      <c r="C59" s="25" t="s">
        <v>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9">
        <v>0</v>
      </c>
      <c r="AC59" s="29">
        <v>0</v>
      </c>
      <c r="AD59" s="29">
        <v>1924</v>
      </c>
      <c r="AE59" s="29">
        <v>3082</v>
      </c>
      <c r="AF59" s="29"/>
      <c r="AG59" s="29"/>
      <c r="AH59" s="29"/>
      <c r="AI59" s="29"/>
      <c r="AJ59" s="2"/>
      <c r="AK59" s="2"/>
      <c r="AL59" s="2"/>
    </row>
    <row r="60" ht="19.5" customHeight="1" spans="1:38" x14ac:dyDescent="0.25">
      <c r="A60" s="31"/>
      <c r="B60" s="32"/>
      <c r="C60" s="33" t="s">
        <v>21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7" t="str">
        <f t="shared" ref="AB60:AI60" si="27">(AB59-AB58)/AB58</f>
        <v>#DIV/0!</v>
      </c>
      <c r="AC60" s="37" t="str">
        <f t="shared" si="27"/>
        <v>#DIV/0!</v>
      </c>
      <c r="AD60" s="37">
        <f t="shared" si="27"/>
        <v>0.1384615385</v>
      </c>
      <c r="AE60" s="37">
        <f t="shared" si="27"/>
        <v>-0.1572327044</v>
      </c>
      <c r="AF60" s="37" t="str">
        <f t="shared" si="27"/>
        <v>#DIV/0!</v>
      </c>
      <c r="AG60" s="37" t="str">
        <f t="shared" si="27"/>
        <v>#DIV/0!</v>
      </c>
      <c r="AH60" s="37" t="str">
        <f t="shared" si="27"/>
        <v>#DIV/0!</v>
      </c>
      <c r="AI60" s="37" t="str">
        <f t="shared" si="27"/>
        <v>#DIV/0!</v>
      </c>
      <c r="AJ60" s="2"/>
      <c r="AK60" s="2"/>
      <c r="AL60" s="2"/>
    </row>
    <row r="61" ht="19.5" customHeight="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9.5" customHeight="1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9.5" customHeight="1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9.5" customHeight="1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9.5" customHeight="1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9.5" customHeight="1" spans="1:3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9.5" customHeight="1" spans="1:3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9.5" customHeight="1" spans="1:3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9.5" customHeight="1" spans="1:3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9.5" customHeight="1" spans="1:3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9.5" customHeight="1" spans="1:3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9.5" customHeight="1" spans="1:3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9.5" customHeight="1" spans="1:3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9.5" customHeight="1" spans="1:3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9.5" customHeight="1" spans="1:3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9.5" customHeight="1" spans="1:3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9.5" customHeight="1" spans="1:3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9.5" customHeight="1" spans="1:3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9.5" customHeight="1" spans="1:3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9.5" customHeight="1" spans="1:3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9.5" customHeight="1" spans="1:3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9.5" customHeight="1" spans="1:3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9.5" customHeight="1" spans="1:3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9.5" customHeight="1" spans="1:3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9.5" customHeight="1" spans="1:3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9.5" customHeight="1" spans="1:3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9.5" customHeight="1" spans="1:3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9.5" customHeight="1" spans="1:3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9.5" customHeight="1" spans="1:3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9.5" customHeight="1" spans="1:3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9.5" customHeight="1" spans="1:3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9.5" customHeight="1" spans="1:3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9.5" customHeight="1" spans="1:3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9.5" customHeight="1" spans="1:3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9.5" customHeight="1" spans="1:3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9.5" customHeight="1" spans="1:3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9.5" customHeight="1" spans="1:3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9.5" customHeight="1" spans="1:3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9.5" customHeight="1" spans="1:3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9.5" customHeight="1" spans="1:3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9.5" customHeight="1" spans="1:3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9.5" customHeight="1" spans="1:3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9.5" customHeight="1" spans="1:3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9.5" customHeight="1" spans="1:3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9.5" customHeight="1" spans="1:3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9.5" customHeight="1" spans="1:3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9.5" customHeight="1" spans="1:3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9.5" customHeight="1" spans="1:3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9.5" customHeight="1" spans="1:3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9.5" customHeight="1" spans="1:3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9.5" customHeight="1" spans="1:3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9.5" customHeight="1" spans="1:3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9.5" customHeight="1" spans="1:3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9.5" customHeight="1" spans="1:3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9.5" customHeight="1" spans="1:3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9.5" customHeight="1" spans="1:3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9.5" customHeight="1" spans="1:3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9.5" customHeight="1" spans="1:3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9.5" customHeight="1" spans="1:3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9.5" customHeight="1" spans="1:3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9.5" customHeight="1" spans="1:3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9.5" customHeight="1" spans="1:3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9.5" customHeight="1" spans="1:3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9.5" customHeight="1" spans="1:3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9.5" customHeight="1" spans="1:3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9.5" customHeight="1" spans="1:3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9.5" customHeight="1" spans="1:3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9.5" customHeight="1" spans="1:3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9.5" customHeight="1" spans="1:3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9.5" customHeight="1" spans="1:3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9.5" customHeight="1" spans="1:3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9.5" customHeight="1" spans="1:3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9.5" customHeight="1" spans="1:3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9.5" customHeight="1" spans="1:3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9.5" customHeight="1" spans="1:3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9.5" customHeight="1" spans="1:3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9.5" customHeight="1" spans="1:3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9.5" customHeight="1" spans="1:3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9.5" customHeight="1" spans="1:3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9.5" customHeight="1" spans="1:3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9.5" customHeight="1" spans="1:3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9.5" customHeight="1" spans="1:3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9.5" customHeight="1" spans="1:3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9.5" customHeight="1" spans="1:3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9.5" customHeight="1" spans="1:3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9.5" customHeight="1" spans="1:3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9.5" customHeight="1" spans="1:3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9.5" customHeight="1" spans="1:3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9.5" customHeight="1" spans="1:3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9.5" customHeight="1" spans="1:3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9.5" customHeight="1" spans="1:3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9.5" customHeight="1" spans="1:3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9.5" customHeight="1" spans="1:3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9.5" customHeight="1" spans="1:3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9.5" customHeight="1" spans="1:3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9.5" customHeight="1" spans="1:3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9.5" customHeight="1" spans="1:3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9.5" customHeight="1" spans="1:3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9.5" customHeight="1" spans="1:3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9.5" customHeight="1" spans="1:3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9.5" customHeight="1" spans="1:3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9.5" customHeight="1" spans="1:3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9.5" customHeight="1" spans="1:3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9.5" customHeight="1" spans="1:3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9.5" customHeight="1" spans="1:3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9.5" customHeight="1" spans="1:3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9.5" customHeight="1" spans="1:3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9.5" customHeight="1" spans="1:3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9.5" customHeight="1" spans="1:3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9.5" customHeight="1" spans="1:3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9.5" customHeight="1" spans="1:3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9.5" customHeight="1" spans="1:3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9.5" customHeight="1" spans="1:3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9.5" customHeight="1" spans="1:3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9.5" customHeight="1" spans="1:3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9.5" customHeight="1" spans="1:3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9.5" customHeight="1" spans="1:3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9.5" customHeight="1" spans="1:3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9.5" customHeight="1" spans="1:3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9.5" customHeight="1" spans="1:3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9.5" customHeight="1" spans="1:3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9.5" customHeight="1" spans="1:3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9.5" customHeight="1" spans="1:3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9.5" customHeight="1" spans="1:3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9.5" customHeight="1" spans="1:3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9.5" customHeight="1" spans="1:3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9.5" customHeight="1" spans="1:3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9.5" customHeight="1" spans="1:3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9.5" customHeight="1" spans="1:3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9.5" customHeight="1" spans="1:3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9.5" customHeight="1" spans="1:3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9.5" customHeight="1" spans="1:3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9.5" customHeight="1" spans="1:3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9.5" customHeight="1" spans="1:3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9.5" customHeight="1" spans="1:3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9.5" customHeight="1" spans="1:3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9.5" customHeight="1" spans="1:3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9.5" customHeight="1" spans="1:3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9.5" customHeight="1" spans="1:3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9.5" customHeight="1" spans="1:3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9.5" customHeight="1" spans="1:3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9.5" customHeight="1" spans="1:3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9.5" customHeight="1" spans="1:3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9.5" customHeight="1" spans="1:3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9.5" customHeight="1" spans="1:3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9.5" customHeight="1" spans="1:3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9.5" customHeight="1" spans="1:3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9.5" customHeight="1" spans="1:3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9.5" customHeight="1" spans="1:3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9.5" customHeight="1" spans="1:3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9.5" customHeight="1" spans="1:3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9.5" customHeight="1" spans="1:3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9.5" customHeight="1" spans="1:3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9.5" customHeight="1" spans="1:3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9.5" customHeight="1" spans="1:3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9.5" customHeight="1" spans="1:3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9.5" customHeight="1" spans="1:3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9.5" customHeight="1" spans="1:3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9.5" customHeight="1" spans="1:3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9.5" customHeight="1" spans="1:3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9.5" customHeight="1" spans="1:3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9.5" customHeight="1" spans="1:3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9.5" customHeight="1" spans="1:3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9.5" customHeight="1" spans="1:3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9.5" customHeight="1" spans="1:3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9.5" customHeight="1" spans="1:3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9.5" customHeight="1" spans="1:3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9.5" customHeight="1" spans="1:3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9.5" customHeight="1" spans="1:3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9.5" customHeight="1" spans="1:3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9.5" customHeight="1" spans="1:3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9.5" customHeight="1" spans="1:3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9.5" customHeight="1" spans="1:3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9.5" customHeight="1" spans="1:3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9.5" customHeight="1" spans="1:3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9.5" customHeight="1" spans="1:3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9.5" customHeight="1" spans="1:3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9.5" customHeight="1" spans="1:3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9.5" customHeight="1" spans="1:3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9.5" customHeight="1" spans="1:3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9.5" customHeight="1" spans="1:3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9.5" customHeight="1" spans="1:3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9.5" customHeight="1" spans="1:3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9.5" customHeight="1" spans="1:3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9.5" customHeight="1" spans="1:3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9.5" customHeight="1" spans="1:3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9.5" customHeight="1" spans="1:3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9.5" customHeight="1" spans="1:3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9.5" customHeight="1" spans="1:3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9.5" customHeight="1" spans="1:3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9.5" customHeight="1" spans="1:3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9.5" customHeight="1" spans="1:3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9.5" customHeight="1" spans="1:3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9.5" customHeight="1" spans="1:3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9.5" customHeight="1" spans="1:3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9.5" customHeight="1" spans="1:3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9.5" customHeight="1" spans="1:3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9.5" customHeight="1" spans="1:3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9.5" customHeight="1" spans="1:3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9.5" customHeight="1" spans="1:3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9.5" customHeight="1" spans="1:3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9.5" customHeight="1" spans="1:3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9.5" customHeight="1" spans="1:3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9.5" customHeight="1" spans="1:3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9.5" customHeight="1" spans="1:3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9.5" customHeight="1" spans="1:3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9.5" customHeight="1" spans="1:3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9.5" customHeight="1" spans="1:3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9.5" customHeight="1" spans="1:3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9.5" customHeight="1" spans="1:3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9.5" customHeight="1" spans="1:3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9.5" customHeight="1" spans="1:3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9.5" customHeight="1" spans="1:3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9.5" customHeight="1" spans="1:3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9.5" customHeight="1" spans="1:3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9.5" customHeight="1" spans="1:3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9.5" customHeight="1" spans="1:3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9.5" customHeight="1" spans="1:3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9.5" customHeight="1" spans="1:3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9.5" customHeight="1" spans="1:3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9.5" customHeight="1" spans="1:3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9.5" customHeight="1" spans="1:3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9.5" customHeight="1" spans="1:3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9.5" customHeight="1" spans="1:3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9.5" customHeight="1" spans="1:3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9.5" customHeight="1" spans="1:3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9.5" customHeight="1" spans="1:3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9.5" customHeight="1" spans="1:3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9.5" customHeight="1" spans="1:3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9.5" customHeight="1" spans="1:3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9.5" customHeight="1" spans="1:3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9.5" customHeight="1" spans="1:3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9.5" customHeight="1" spans="1:3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9.5" customHeight="1" spans="1:3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9.5" customHeight="1" spans="1:3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9.5" customHeight="1" spans="1:3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9.5" customHeight="1" spans="1:3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9.5" customHeight="1" spans="1:3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9.5" customHeight="1" spans="1:3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9.5" customHeight="1" spans="1:3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9.5" customHeight="1" spans="1:3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9.5" customHeight="1" spans="1:3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9.5" customHeight="1" spans="1:3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9.5" customHeight="1" spans="1:3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9.5" customHeight="1" spans="1:3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9.5" customHeight="1" spans="1:3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9.5" customHeight="1" spans="1:3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9.5" customHeight="1" spans="1:3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9.5" customHeight="1" spans="1:3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9.5" customHeight="1" spans="1:3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9.5" customHeight="1" spans="1:3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9.5" customHeight="1" spans="1:3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9.5" customHeight="1" spans="1:3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9.5" customHeight="1" spans="1:3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9.5" customHeight="1" spans="1:3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9.5" customHeight="1" spans="1:3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9.5" customHeight="1" spans="1:3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9.5" customHeight="1" spans="1:3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9.5" customHeight="1" spans="1:3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9.5" customHeight="1" spans="1:3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9.5" customHeight="1" spans="1:3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9.5" customHeight="1" spans="1:3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9.5" customHeight="1" spans="1:3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9.5" customHeight="1" spans="1:3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9.5" customHeight="1" spans="1:3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9.5" customHeight="1" spans="1:3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9.5" customHeight="1" spans="1:3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9.5" customHeight="1" spans="1:3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9.5" customHeight="1" spans="1:3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9.5" customHeight="1" spans="1:3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9.5" customHeight="1" spans="1:3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9.5" customHeight="1" spans="1:3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9.5" customHeight="1" spans="1:3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9.5" customHeight="1" spans="1:3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9.5" customHeight="1" spans="1:3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9.5" customHeight="1" spans="1:3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9.5" customHeight="1" spans="1:3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9.5" customHeight="1" spans="1:3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9.5" customHeight="1" spans="1:3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9.5" customHeight="1" spans="1:3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9.5" customHeight="1" spans="1:3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9.5" customHeight="1" spans="1:3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9.5" customHeight="1" spans="1:3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9.5" customHeight="1" spans="1:3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9.5" customHeight="1" spans="1:3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9.5" customHeight="1" spans="1:3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9.5" customHeight="1" spans="1:3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9.5" customHeight="1" spans="1:3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9.5" customHeight="1" spans="1:3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9.5" customHeight="1" spans="1:3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9.5" customHeight="1" spans="1:3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9.5" customHeight="1" spans="1:3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9.5" customHeight="1" spans="1:3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9.5" customHeight="1" spans="1:3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9.5" customHeight="1" spans="1:3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9.5" customHeight="1" spans="1:3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9.5" customHeight="1" spans="1:3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9.5" customHeight="1" spans="1:3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9.5" customHeight="1" spans="1:3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9.5" customHeight="1" spans="1:3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9.5" customHeight="1" spans="1:3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9.5" customHeight="1" spans="1:3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9.5" customHeight="1" spans="1:3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9.5" customHeight="1" spans="1:3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9.5" customHeight="1" spans="1:3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9.5" customHeight="1" spans="1:3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9.5" customHeight="1" spans="1:3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9.5" customHeight="1" spans="1:3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9.5" customHeight="1" spans="1:3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9.5" customHeight="1" spans="1:3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9.5" customHeight="1" spans="1:3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9.5" customHeight="1" spans="1:3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9.5" customHeight="1" spans="1:3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9.5" customHeight="1" spans="1:3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9.5" customHeight="1" spans="1:3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9.5" customHeight="1" spans="1:3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9.5" customHeight="1" spans="1:3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9.5" customHeight="1" spans="1:3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9.5" customHeight="1" spans="1:3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9.5" customHeight="1" spans="1:3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9.5" customHeight="1" spans="1:3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9.5" customHeight="1" spans="1:3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9.5" customHeight="1" spans="1:3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9.5" customHeight="1" spans="1:3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9.5" customHeight="1" spans="1:3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9.5" customHeight="1" spans="1:3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9.5" customHeight="1" spans="1:3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9.5" customHeight="1" spans="1:3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9.5" customHeight="1" spans="1:3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9.5" customHeight="1" spans="1:3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9.5" customHeight="1" spans="1:3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9.5" customHeight="1" spans="1:3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9.5" customHeight="1" spans="1:3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9.5" customHeight="1" spans="1:3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9.5" customHeight="1" spans="1:3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9.5" customHeight="1" spans="1:3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9.5" customHeight="1" spans="1:3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9.5" customHeight="1" spans="1:3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9.5" customHeight="1" spans="1:3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9.5" customHeight="1" spans="1:3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9.5" customHeight="1" spans="1:3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9.5" customHeight="1" spans="1:3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9.5" customHeight="1" spans="1:3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9.5" customHeight="1" spans="1:3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9.5" customHeight="1" spans="1:3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9.5" customHeight="1" spans="1:3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9.5" customHeight="1" spans="1:3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9.5" customHeight="1" spans="1:3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9.5" customHeight="1" spans="1:3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9.5" customHeight="1" spans="1:3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9.5" customHeight="1" spans="1:3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9.5" customHeight="1" spans="1:3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9.5" customHeight="1" spans="1:3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9.5" customHeight="1" spans="1:3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9.5" customHeight="1" spans="1:3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9.5" customHeight="1" spans="1:3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9.5" customHeight="1" spans="1:3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9.5" customHeight="1" spans="1:3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9.5" customHeight="1" spans="1:3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9.5" customHeight="1" spans="1:3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9.5" customHeight="1" spans="1:3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9.5" customHeight="1" spans="1:3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9.5" customHeight="1" spans="1:3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9.5" customHeight="1" spans="1:3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9.5" customHeight="1" spans="1:3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9.5" customHeight="1" spans="1:3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9.5" customHeight="1" spans="1:3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9.5" customHeight="1" spans="1:3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9.5" customHeight="1" spans="1:3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9.5" customHeight="1" spans="1:3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9.5" customHeight="1" spans="1:3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9.5" customHeight="1" spans="1:3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9.5" customHeight="1" spans="1:3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9.5" customHeight="1" spans="1:3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9.5" customHeight="1" spans="1:3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9.5" customHeight="1" spans="1:3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9.5" customHeight="1" spans="1:3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9.5" customHeight="1" spans="1:3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9.5" customHeight="1" spans="1:3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9.5" customHeight="1" spans="1:3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9.5" customHeight="1" spans="1:3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9.5" customHeight="1" spans="1:3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9.5" customHeight="1" spans="1:3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9.5" customHeight="1" spans="1:3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9.5" customHeight="1" spans="1:3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9.5" customHeight="1" spans="1:3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9.5" customHeight="1" spans="1:3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9.5" customHeight="1" spans="1:3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9.5" customHeight="1" spans="1:3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9.5" customHeight="1" spans="1:3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9.5" customHeight="1" spans="1:3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9.5" customHeight="1" spans="1:3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9.5" customHeight="1" spans="1:3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9.5" customHeight="1" spans="1:3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9.5" customHeight="1" spans="1:3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9.5" customHeight="1" spans="1:3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9.5" customHeight="1" spans="1:3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9.5" customHeight="1" spans="1:3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9.5" customHeight="1" spans="1:3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9.5" customHeight="1" spans="1:3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9.5" customHeight="1" spans="1:3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9.5" customHeight="1" spans="1:3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9.5" customHeight="1" spans="1:3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9.5" customHeight="1" spans="1:3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9.5" customHeight="1" spans="1:3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9.5" customHeight="1" spans="1:3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9.5" customHeight="1" spans="1:3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9.5" customHeight="1" spans="1:3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9.5" customHeight="1" spans="1:3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9.5" customHeight="1" spans="1:3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9.5" customHeight="1" spans="1:3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9.5" customHeight="1" spans="1:3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9.5" customHeight="1" spans="1:3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9.5" customHeight="1" spans="1:3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9.5" customHeight="1" spans="1:3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9.5" customHeight="1" spans="1:3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9.5" customHeight="1" spans="1:3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9.5" customHeight="1" spans="1:3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9.5" customHeight="1" spans="1:3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9.5" customHeight="1" spans="1:3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9.5" customHeight="1" spans="1:3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9.5" customHeight="1" spans="1:3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9.5" customHeight="1" spans="1:3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9.5" customHeight="1" spans="1:3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9.5" customHeight="1" spans="1:3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9.5" customHeight="1" spans="1:3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9.5" customHeight="1" spans="1:3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9.5" customHeight="1" spans="1:3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9.5" customHeight="1" spans="1:3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9.5" customHeight="1" spans="1:3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9.5" customHeight="1" spans="1:3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9.5" customHeight="1" spans="1:3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9.5" customHeight="1" spans="1:3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9.5" customHeight="1" spans="1:3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9.5" customHeight="1" spans="1:3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9.5" customHeight="1" spans="1:3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9.5" customHeight="1" spans="1:3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9.5" customHeight="1" spans="1:3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9.5" customHeight="1" spans="1:3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9.5" customHeight="1" spans="1:3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9.5" customHeight="1" spans="1:3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9.5" customHeight="1" spans="1:3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9.5" customHeight="1" spans="1:3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9.5" customHeight="1" spans="1:3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9.5" customHeight="1" spans="1:3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9.5" customHeight="1" spans="1:3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9.5" customHeight="1" spans="1:3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9.5" customHeight="1" spans="1:3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9.5" customHeight="1" spans="1:3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9.5" customHeight="1" spans="1:3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9.5" customHeight="1" spans="1:3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9.5" customHeight="1" spans="1:3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9.5" customHeight="1" spans="1:3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9.5" customHeight="1" spans="1:3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9.5" customHeight="1" spans="1:3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9.5" customHeight="1" spans="1:3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9.5" customHeight="1" spans="1:3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9.5" customHeight="1" spans="1:3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9.5" customHeight="1" spans="1:3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9.5" customHeight="1" spans="1:3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9.5" customHeight="1" spans="1:3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9.5" customHeight="1" spans="1:3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9.5" customHeight="1" spans="1:3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9.5" customHeight="1" spans="1:3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9.5" customHeight="1" spans="1:3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9.5" customHeight="1" spans="1:3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9.5" customHeight="1" spans="1:3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9.5" customHeight="1" spans="1:3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9.5" customHeight="1" spans="1:3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9.5" customHeight="1" spans="1:3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9.5" customHeight="1" spans="1:3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9.5" customHeight="1" spans="1:3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9.5" customHeight="1" spans="1:3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9.5" customHeight="1" spans="1:3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9.5" customHeight="1" spans="1:3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9.5" customHeight="1" spans="1:3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9.5" customHeight="1" spans="1:3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9.5" customHeight="1" spans="1:3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9.5" customHeight="1" spans="1:3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9.5" customHeight="1" spans="1:3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9.5" customHeight="1" spans="1:3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9.5" customHeight="1" spans="1:3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9.5" customHeight="1" spans="1:3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9.5" customHeight="1" spans="1:3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9.5" customHeight="1" spans="1:3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9.5" customHeight="1" spans="1:3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9.5" customHeight="1" spans="1:3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9.5" customHeight="1" spans="1:3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9.5" customHeight="1" spans="1:3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9.5" customHeight="1" spans="1:3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9.5" customHeight="1" spans="1:3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9.5" customHeight="1" spans="1:3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9.5" customHeight="1" spans="1:3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9.5" customHeight="1" spans="1:3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9.5" customHeight="1" spans="1:3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9.5" customHeight="1" spans="1:3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9.5" customHeight="1" spans="1:3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9.5" customHeight="1" spans="1:3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9.5" customHeight="1" spans="1:3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9.5" customHeight="1" spans="1:3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9.5" customHeight="1" spans="1:3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9.5" customHeight="1" spans="1:3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9.5" customHeight="1" spans="1:3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9.5" customHeight="1" spans="1:3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9.5" customHeight="1" spans="1:3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9.5" customHeight="1" spans="1:3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9.5" customHeight="1" spans="1:3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9.5" customHeight="1" spans="1:3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9.5" customHeight="1" spans="1:3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9.5" customHeight="1" spans="1:3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9.5" customHeight="1" spans="1:3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9.5" customHeight="1" spans="1:3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9.5" customHeight="1" spans="1:3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9.5" customHeight="1" spans="1:3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9.5" customHeight="1" spans="1:3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9.5" customHeight="1" spans="1:3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9.5" customHeight="1" spans="1:3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9.5" customHeight="1" spans="1:3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9.5" customHeight="1" spans="1:3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9.5" customHeight="1" spans="1:3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9.5" customHeight="1" spans="1:3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9.5" customHeight="1" spans="1:3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9.5" customHeight="1" spans="1:3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9.5" customHeight="1" spans="1:3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9.5" customHeight="1" spans="1:3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9.5" customHeight="1" spans="1:3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9.5" customHeight="1" spans="1:3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9.5" customHeight="1" spans="1:3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9.5" customHeight="1" spans="1:3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9.5" customHeight="1" spans="1:3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9.5" customHeight="1" spans="1:3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9.5" customHeight="1" spans="1:3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9.5" customHeight="1" spans="1:3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9.5" customHeight="1" spans="1:3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9.5" customHeight="1" spans="1:3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9.5" customHeight="1" spans="1:3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9.5" customHeight="1" spans="1:3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9.5" customHeight="1" spans="1:3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9.5" customHeight="1" spans="1:3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9.5" customHeight="1" spans="1:3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9.5" customHeight="1" spans="1:3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9.5" customHeight="1" spans="1:3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9.5" customHeight="1" spans="1:3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9.5" customHeight="1" spans="1:3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9.5" customHeight="1" spans="1:3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9.5" customHeight="1" spans="1:3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9.5" customHeight="1" spans="1:3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9.5" customHeight="1" spans="1:3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9.5" customHeight="1" spans="1:3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9.5" customHeight="1" spans="1:3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9.5" customHeight="1" spans="1:3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9.5" customHeight="1" spans="1:3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9.5" customHeight="1" spans="1:3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9.5" customHeight="1" spans="1:3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9.5" customHeight="1" spans="1:3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9.5" customHeight="1" spans="1:3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9.5" customHeight="1" spans="1:3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9.5" customHeight="1" spans="1:3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9.5" customHeight="1" spans="1:3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9.5" customHeight="1" spans="1:3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9.5" customHeight="1" spans="1:3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9.5" customHeight="1" spans="1:3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9.5" customHeight="1" spans="1:3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9.5" customHeight="1" spans="1:3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9.5" customHeight="1" spans="1:3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9.5" customHeight="1" spans="1:3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9.5" customHeight="1" spans="1:3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9.5" customHeight="1" spans="1:3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9.5" customHeight="1" spans="1:3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9.5" customHeight="1" spans="1:3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9.5" customHeight="1" spans="1:3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9.5" customHeight="1" spans="1:3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9.5" customHeight="1" spans="1:3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9.5" customHeight="1" spans="1:3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9.5" customHeight="1" spans="1:3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9.5" customHeight="1" spans="1:3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9.5" customHeight="1" spans="1:3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9.5" customHeight="1" spans="1:3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9.5" customHeight="1" spans="1:3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9.5" customHeight="1" spans="1:3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9.5" customHeight="1" spans="1:3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9.5" customHeight="1" spans="1:3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9.5" customHeight="1" spans="1:3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9.5" customHeight="1" spans="1:3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9.5" customHeight="1" spans="1:3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9.5" customHeight="1" spans="1:3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9.5" customHeight="1" spans="1:3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9.5" customHeight="1" spans="1:3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9.5" customHeight="1" spans="1:3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9.5" customHeight="1" spans="1:3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9.5" customHeight="1" spans="1:3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9.5" customHeight="1" spans="1:3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9.5" customHeight="1" spans="1:3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9.5" customHeight="1" spans="1:3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9.5" customHeight="1" spans="1:3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9.5" customHeight="1" spans="1:3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9.5" customHeight="1" spans="1:3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9.5" customHeight="1" spans="1:3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9.5" customHeight="1" spans="1:3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9.5" customHeight="1" spans="1:3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9.5" customHeight="1" spans="1:3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9.5" customHeight="1" spans="1:3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9.5" customHeight="1" spans="1:3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9.5" customHeight="1" spans="1:3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9.5" customHeight="1" spans="1:3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9.5" customHeight="1" spans="1:3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9.5" customHeight="1" spans="1:3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9.5" customHeight="1" spans="1:3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9.5" customHeight="1" spans="1:3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9.5" customHeight="1" spans="1:3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9.5" customHeight="1" spans="1:3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9.5" customHeight="1" spans="1:3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9.5" customHeight="1" spans="1:3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9.5" customHeight="1" spans="1:3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9.5" customHeight="1" spans="1:3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9.5" customHeight="1" spans="1:3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9.5" customHeight="1" spans="1:3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9.5" customHeight="1" spans="1:3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9.5" customHeight="1" spans="1:3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9.5" customHeight="1" spans="1:3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9.5" customHeight="1" spans="1:3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9.5" customHeight="1" spans="1:3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9.5" customHeight="1" spans="1:3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9.5" customHeight="1" spans="1:3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9.5" customHeight="1" spans="1:3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9.5" customHeight="1" spans="1:3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9.5" customHeight="1" spans="1:3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9.5" customHeight="1" spans="1:3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9.5" customHeight="1" spans="1:3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9.5" customHeight="1" spans="1:3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9.5" customHeight="1" spans="1:3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9.5" customHeight="1" spans="1:3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9.5" customHeight="1" spans="1:3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9.5" customHeight="1" spans="1:3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9.5" customHeight="1" spans="1:3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9.5" customHeight="1" spans="1:3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9.5" customHeight="1" spans="1:3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9.5" customHeight="1" spans="1:3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9.5" customHeight="1" spans="1:3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9.5" customHeight="1" spans="1:3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9.5" customHeight="1" spans="1:3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9.5" customHeight="1" spans="1:3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9.5" customHeight="1" spans="1:3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9.5" customHeight="1" spans="1:3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9.5" customHeight="1" spans="1:3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9.5" customHeight="1" spans="1:3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9.5" customHeight="1" spans="1:3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9.5" customHeight="1" spans="1:3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9.5" customHeight="1" spans="1:3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9.5" customHeight="1" spans="1:3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9.5" customHeight="1" spans="1:3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9.5" customHeight="1" spans="1:3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9.5" customHeight="1" spans="1:3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9.5" customHeight="1" spans="1:3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9.5" customHeight="1" spans="1:3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9.5" customHeight="1" spans="1:3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9.5" customHeight="1" spans="1:3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9.5" customHeight="1" spans="1:3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9.5" customHeight="1" spans="1:3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9.5" customHeight="1" spans="1:3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9.5" customHeight="1" spans="1:3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9.5" customHeight="1" spans="1:3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9.5" customHeight="1" spans="1:3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9.5" customHeight="1" spans="1:3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9.5" customHeight="1" spans="1:3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9.5" customHeight="1" spans="1:3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9.5" customHeight="1" spans="1:3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9.5" customHeight="1" spans="1:3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9.5" customHeight="1" spans="1:3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9.5" customHeight="1" spans="1:3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9.5" customHeight="1" spans="1:3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9.5" customHeight="1" spans="1:3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9.5" customHeight="1" spans="1:3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9.5" customHeight="1" spans="1:3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9.5" customHeight="1" spans="1:3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9.5" customHeight="1" spans="1:3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9.5" customHeight="1" spans="1:3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9.5" customHeight="1" spans="1:3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9.5" customHeight="1" spans="1:3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9.5" customHeight="1" spans="1:3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9.5" customHeight="1" spans="1:3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9.5" customHeight="1" spans="1:3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9.5" customHeight="1" spans="1:3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9.5" customHeight="1" spans="1:3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9.5" customHeight="1" spans="1:3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9.5" customHeight="1" spans="1:3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9.5" customHeight="1" spans="1:3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9.5" customHeight="1" spans="1:3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9.5" customHeight="1" spans="1:3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9.5" customHeight="1" spans="1:3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9.5" customHeight="1" spans="1:3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9.5" customHeight="1" spans="1:3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9.5" customHeight="1" spans="1:3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9.5" customHeight="1" spans="1:3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9.5" customHeight="1" spans="1:3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9.5" customHeight="1" spans="1:3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9.5" customHeight="1" spans="1:3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9.5" customHeight="1" spans="1:3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9.5" customHeight="1" spans="1:3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9.5" customHeight="1" spans="1:3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9.5" customHeight="1" spans="1:3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9.5" customHeight="1" spans="1:3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9.5" customHeight="1" spans="1:3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9.5" customHeight="1" spans="1:3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9.5" customHeight="1" spans="1:3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9.5" customHeight="1" spans="1:3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9.5" customHeight="1" spans="1:3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9.5" customHeight="1" spans="1:3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9.5" customHeight="1" spans="1:3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9.5" customHeight="1" spans="1:3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9.5" customHeight="1" spans="1:3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9.5" customHeight="1" spans="1:3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9.5" customHeight="1" spans="1:3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9.5" customHeight="1" spans="1:3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9.5" customHeight="1" spans="1:3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9.5" customHeight="1" spans="1:3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9.5" customHeight="1" spans="1:3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9.5" customHeight="1" spans="1:3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9.5" customHeight="1" spans="1:3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9.5" customHeight="1" spans="1:3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9.5" customHeight="1" spans="1:3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9.5" customHeight="1" spans="1:3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9.5" customHeight="1" spans="1:3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9.5" customHeight="1" spans="1:3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9.5" customHeight="1" spans="1:3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9.5" customHeight="1" spans="1:3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9.5" customHeight="1" spans="1:3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9.5" customHeight="1" spans="1:3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9.5" customHeight="1" spans="1:3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9.5" customHeight="1" spans="1:3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9.5" customHeight="1" spans="1:3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9.5" customHeight="1" spans="1:3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9.5" customHeight="1" spans="1:3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9.5" customHeight="1" spans="1:3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9.5" customHeight="1" spans="1:3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9.5" customHeight="1" spans="1:3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9.5" customHeight="1" spans="1:3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9.5" customHeight="1" spans="1:3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9.5" customHeight="1" spans="1:3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9.5" customHeight="1" spans="1:3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9.5" customHeight="1" spans="1:3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9.5" customHeight="1" spans="1:3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9.5" customHeight="1" spans="1:3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9.5" customHeight="1" spans="1:3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9.5" customHeight="1" spans="1:3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9.5" customHeight="1" spans="1:3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9.5" customHeight="1" spans="1:3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9.5" customHeight="1" spans="1:3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9.5" customHeight="1" spans="1:3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9.5" customHeight="1" spans="1:3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9.5" customHeight="1" spans="1:3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9.5" customHeight="1" spans="1:3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9.5" customHeight="1" spans="1:3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9.5" customHeight="1" spans="1:3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9.5" customHeight="1" spans="1:3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9.5" customHeight="1" spans="1:3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9.5" customHeight="1" spans="1:3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9.5" customHeight="1" spans="1:3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9.5" customHeight="1" spans="1:3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9.5" customHeight="1" spans="1:3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9.5" customHeight="1" spans="1:3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9.5" customHeight="1" spans="1:3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9.5" customHeight="1" spans="1:3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9.5" customHeight="1" spans="1:3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9.5" customHeight="1" spans="1:3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9.5" customHeight="1" spans="1:3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9.5" customHeight="1" spans="1:3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9.5" customHeight="1" spans="1:3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9.5" customHeight="1" spans="1:3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9.5" customHeight="1" spans="1:3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9.5" customHeight="1" spans="1:3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9.5" customHeight="1" spans="1:3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9.5" customHeight="1" spans="1:3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9.5" customHeight="1" spans="1:3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9.5" customHeight="1" spans="1:3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9.5" customHeight="1" spans="1:3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9.5" customHeight="1" spans="1:3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9.5" customHeight="1" spans="1:3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9.5" customHeight="1" spans="1:3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9.5" customHeight="1" spans="1:3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9.5" customHeight="1" spans="1:3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9.5" customHeight="1" spans="1:3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9.5" customHeight="1" spans="1:3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9.5" customHeight="1" spans="1:3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9.5" customHeight="1" spans="1:3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9.5" customHeight="1" spans="1:3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9.5" customHeight="1" spans="1:3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9.5" customHeight="1" spans="1:3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9.5" customHeight="1" spans="1:3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9.5" customHeight="1" spans="1:3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9.5" customHeight="1" spans="1:3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9.5" customHeight="1" spans="1:3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9.5" customHeight="1" spans="1:3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9.5" customHeight="1" spans="1:3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9.5" customHeight="1" spans="1:3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9.5" customHeight="1" spans="1:3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9.5" customHeight="1" spans="1:3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9.5" customHeight="1" spans="1:3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9.5" customHeight="1" spans="1:3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9.5" customHeight="1" spans="1:3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9.5" customHeight="1" spans="1:3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9.5" customHeight="1" spans="1:3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9.5" customHeight="1" spans="1:3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9.5" customHeight="1" spans="1:3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9.5" customHeight="1" spans="1:3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9.5" customHeight="1" spans="1:3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9.5" customHeight="1" spans="1:3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9.5" customHeight="1" spans="1:3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9.5" customHeight="1" spans="1:3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9.5" customHeight="1" spans="1:3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9.5" customHeight="1" spans="1:3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9.5" customHeight="1" spans="1:3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9.5" customHeight="1" spans="1:3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9.5" customHeight="1" spans="1:3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9.5" customHeight="1" spans="1:3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9.5" customHeight="1" spans="1:3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9.5" customHeight="1" spans="1:3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9.5" customHeight="1" spans="1:3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9.5" customHeight="1" spans="1:3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9.5" customHeight="1" spans="1:3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9.5" customHeight="1" spans="1:3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9.5" customHeight="1" spans="1:3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9.5" customHeight="1" spans="1:3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9.5" customHeight="1" spans="1:3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9.5" customHeight="1" spans="1:3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9.5" customHeight="1" spans="1:3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9.5" customHeight="1" spans="1:3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9.5" customHeight="1" spans="1:3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9.5" customHeight="1" spans="1:3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9.5" customHeight="1" spans="1:3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9.5" customHeight="1" spans="1:3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9.5" customHeight="1" spans="1:3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9.5" customHeight="1" spans="1:3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9.5" customHeight="1" spans="1:3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9.5" customHeight="1" spans="1:3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9.5" customHeight="1" spans="1:3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9.5" customHeight="1" spans="1:3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9.5" customHeight="1" spans="1:3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9.5" customHeight="1" spans="1:3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9.5" customHeight="1" spans="1:3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9.5" customHeight="1" spans="1:3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9.5" customHeight="1" spans="1:3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9.5" customHeight="1" spans="1:3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9.5" customHeight="1" spans="1:3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9.5" customHeight="1" spans="1:3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9.5" customHeight="1" spans="1:3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9.5" customHeight="1" spans="1:3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9.5" customHeight="1" spans="1:3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9.5" customHeight="1" spans="1:3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9.5" customHeight="1" spans="1:3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9.5" customHeight="1" spans="1:3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9.5" customHeight="1" spans="1:3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9.5" customHeight="1" spans="1:3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9.5" customHeight="1" spans="1:3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9.5" customHeight="1" spans="1:3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9.5" customHeight="1" spans="1:3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9.5" customHeight="1" spans="1:3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9.5" customHeight="1" spans="1:3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9.5" customHeight="1" spans="1:3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9.5" customHeight="1" spans="1:3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9.5" customHeight="1" spans="1:3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9.5" customHeight="1" spans="1:3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9.5" customHeight="1" spans="1:3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9.5" customHeight="1" spans="1:3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9.5" customHeight="1" spans="1:3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9.5" customHeight="1" spans="1:3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9.5" customHeight="1" spans="1:3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9.5" customHeight="1" spans="1:3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9.5" customHeight="1" spans="1:3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9.5" customHeight="1" spans="1:3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9.5" customHeight="1" spans="1:3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9.5" customHeight="1" spans="1:3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9.5" customHeight="1" spans="1:3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9.5" customHeight="1" spans="1:3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9.5" customHeight="1" spans="1:3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9.5" customHeight="1" spans="1:3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9.5" customHeight="1" spans="1:3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9.5" customHeight="1" spans="1:3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9.5" customHeight="1" spans="1:3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9.5" customHeight="1" spans="1:3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9.5" customHeight="1" spans="1:3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9.5" customHeight="1" spans="1:3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9.5" customHeight="1" spans="1:3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9.5" customHeight="1" spans="1:3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9.5" customHeight="1" spans="1:3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9.5" customHeight="1" spans="1:3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9.5" customHeight="1" spans="1:3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9.5" customHeight="1" spans="1:3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9.5" customHeight="1" spans="1:3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9.5" customHeight="1" spans="1:3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9.5" customHeight="1" spans="1:3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9.5" customHeight="1" spans="1:3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9.5" customHeight="1" spans="1:3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9.5" customHeight="1" spans="1:3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9.5" customHeight="1" spans="1:3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9.5" customHeight="1" spans="1:3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9.5" customHeight="1" spans="1:3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9.5" customHeight="1" spans="1:3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9.5" customHeight="1" spans="1:3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9.5" customHeight="1" spans="1:3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9.5" customHeight="1" spans="1:3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9.5" customHeight="1" spans="1:3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9.5" customHeight="1" spans="1:3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9.5" customHeight="1" spans="1:3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9.5" customHeight="1" spans="1:3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9.5" customHeight="1" spans="1:3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9.5" customHeight="1" spans="1:3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9.5" customHeight="1" spans="1:3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9.5" customHeight="1" spans="1:3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9.5" customHeight="1" spans="1:3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9.5" customHeight="1" spans="1:3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9.5" customHeight="1" spans="1:3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9.5" customHeight="1" spans="1:3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9.5" customHeight="1" spans="1:3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9.5" customHeight="1" spans="1:3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9.5" customHeight="1" spans="1:3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9.5" customHeight="1" spans="1:3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9.5" customHeight="1" spans="1:3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9.5" customHeight="1" spans="1:3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9.5" customHeight="1" spans="1:3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9.5" customHeight="1" spans="1:3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9.5" customHeight="1" spans="1:3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9.5" customHeight="1" spans="1:3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9.5" customHeight="1" spans="1:3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9.5" customHeight="1" spans="1:3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9.5" customHeight="1" spans="1:3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9.5" customHeight="1" spans="1:3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9.5" customHeight="1" spans="1:3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9.5" customHeight="1" spans="1:3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9.5" customHeight="1" spans="1:3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9.5" customHeight="1" spans="1:3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9.5" customHeight="1" spans="1:3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9.5" customHeight="1" spans="1:3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9.5" customHeight="1" spans="1:3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9.5" customHeight="1" spans="1:3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9.5" customHeight="1" spans="1:3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9.5" customHeight="1" spans="1:3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9.5" customHeight="1" spans="1:3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9.5" customHeight="1" spans="1:3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9.5" customHeight="1" spans="1:3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autoFilter ref="$A$6:$L$60"/>
  <mergeCells count="39">
    <mergeCell ref="D5:L5"/>
    <mergeCell ref="M5:W5"/>
    <mergeCell ref="X5:AD5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46:A48"/>
    <mergeCell ref="B46:B48"/>
    <mergeCell ref="A49:A51"/>
    <mergeCell ref="B49:B51"/>
    <mergeCell ref="A52:A54"/>
    <mergeCell ref="B52:B54"/>
    <mergeCell ref="A55:A57"/>
    <mergeCell ref="B55:B57"/>
    <mergeCell ref="A58:A60"/>
    <mergeCell ref="B58:B60"/>
  </mergeCells>
  <conditionalFormatting sqref="D17:X18">
    <cfRule type="cellIs" dxfId="0" priority="1" operator="lessThan">
      <formula>1</formula>
    </cfRule>
  </conditionalFormatting>
  <conditionalFormatting sqref="D20:X21">
    <cfRule type="cellIs" dxfId="1" priority="2" operator="lessThan">
      <formula>1</formula>
    </cfRule>
  </conditionalFormatting>
  <conditionalFormatting sqref="D23:X24">
    <cfRule type="cellIs" dxfId="2" priority="3" operator="lessThan">
      <formula>1</formula>
    </cfRule>
  </conditionalFormatting>
  <conditionalFormatting sqref="D26:X27">
    <cfRule type="cellIs" dxfId="3" priority="4" operator="lessThan">
      <formula>1</formula>
    </cfRule>
  </conditionalFormatting>
  <conditionalFormatting sqref="D29:X30">
    <cfRule type="cellIs" dxfId="4" priority="5" operator="lessThan">
      <formula>1</formula>
    </cfRule>
  </conditionalFormatting>
  <conditionalFormatting sqref="D41:X42">
    <cfRule type="cellIs" dxfId="5" priority="6" operator="lessThan">
      <formula>1</formula>
    </cfRule>
  </conditionalFormatting>
  <conditionalFormatting sqref="D44:X45">
    <cfRule type="cellIs" dxfId="6" priority="7" operator="lessThan">
      <formula>1</formula>
    </cfRule>
  </conditionalFormatting>
  <conditionalFormatting sqref="D9:AI9">
    <cfRule type="cellIs" dxfId="7" priority="8" operator="lessThan">
      <formula>1</formula>
    </cfRule>
  </conditionalFormatting>
  <conditionalFormatting sqref="D12:AI12">
    <cfRule type="cellIs" dxfId="8" priority="9" operator="lessThan">
      <formula>1</formula>
    </cfRule>
  </conditionalFormatting>
  <conditionalFormatting sqref="D15:AI15">
    <cfRule type="cellIs" dxfId="9" priority="10" operator="lessThan">
      <formula>1</formula>
    </cfRule>
  </conditionalFormatting>
  <conditionalFormatting sqref="W32:X33">
    <cfRule type="cellIs" dxfId="10" priority="11" operator="lessThan">
      <formula>1</formula>
    </cfRule>
  </conditionalFormatting>
  <conditionalFormatting sqref="W35:X36">
    <cfRule type="cellIs" dxfId="11" priority="12" operator="lessThan">
      <formula>1</formula>
    </cfRule>
  </conditionalFormatting>
  <conditionalFormatting sqref="W38:X39">
    <cfRule type="cellIs" dxfId="12" priority="13" operator="lessThan">
      <formula>1</formula>
    </cfRule>
  </conditionalFormatting>
  <conditionalFormatting sqref="Y18:AI18">
    <cfRule type="cellIs" dxfId="13" priority="14" operator="lessThan">
      <formula>1</formula>
    </cfRule>
  </conditionalFormatting>
  <conditionalFormatting sqref="Y21:AI21">
    <cfRule type="cellIs" dxfId="14" priority="15" operator="lessThan">
      <formula>1</formula>
    </cfRule>
  </conditionalFormatting>
  <conditionalFormatting sqref="Y24:AI24">
    <cfRule type="cellIs" dxfId="15" priority="16" operator="lessThan">
      <formula>1</formula>
    </cfRule>
  </conditionalFormatting>
  <conditionalFormatting sqref="Y27:AI27">
    <cfRule type="cellIs" dxfId="16" priority="17" operator="lessThan">
      <formula>1</formula>
    </cfRule>
  </conditionalFormatting>
  <conditionalFormatting sqref="Y30:AI30">
    <cfRule type="cellIs" dxfId="17" priority="18" operator="lessThan">
      <formula>1</formula>
    </cfRule>
  </conditionalFormatting>
  <conditionalFormatting sqref="Y33:AI33">
    <cfRule type="cellIs" dxfId="18" priority="19" operator="lessThan">
      <formula>1</formula>
    </cfRule>
  </conditionalFormatting>
  <conditionalFormatting sqref="Y36:AI36">
    <cfRule type="cellIs" dxfId="19" priority="20" operator="lessThan">
      <formula>1</formula>
    </cfRule>
  </conditionalFormatting>
  <conditionalFormatting sqref="Y39:AI39">
    <cfRule type="cellIs" dxfId="20" priority="21" operator="lessThan">
      <formula>1</formula>
    </cfRule>
  </conditionalFormatting>
  <conditionalFormatting sqref="Y42:AI42">
    <cfRule type="cellIs" dxfId="21" priority="22" operator="lessThan">
      <formula>1</formula>
    </cfRule>
  </conditionalFormatting>
  <conditionalFormatting sqref="Y45:AI45">
    <cfRule type="cellIs" dxfId="22" priority="23" operator="lessThan">
      <formula>1</formula>
    </cfRule>
  </conditionalFormatting>
  <conditionalFormatting sqref="AB48:AI48">
    <cfRule type="cellIs" dxfId="23" priority="24" operator="lessThan">
      <formula>1</formula>
    </cfRule>
  </conditionalFormatting>
  <conditionalFormatting sqref="AB51:AI51">
    <cfRule type="cellIs" dxfId="24" priority="25" operator="lessThan">
      <formula>1</formula>
    </cfRule>
  </conditionalFormatting>
  <conditionalFormatting sqref="AB54:AI54">
    <cfRule type="cellIs" dxfId="25" priority="26" operator="lessThan">
      <formula>1</formula>
    </cfRule>
  </conditionalFormatting>
  <conditionalFormatting sqref="AB57:AI57">
    <cfRule type="cellIs" dxfId="26" priority="27" operator="lessThan">
      <formula>1</formula>
    </cfRule>
  </conditionalFormatting>
  <conditionalFormatting sqref="AB60:AI60">
    <cfRule type="cellIs" dxfId="27" priority="28" operator="lessThan">
      <formula>1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workbookViewId="0" zoomScale="100" zoomScaleNormal="100">
      <pane ySplit="6" topLeftCell="A7" activePane="bottomLeft" state="frozen"/>
      <selection pane="bottomLeft" activeCell="B8" sqref="B8"/>
    </sheetView>
  </sheetViews>
  <sheetFormatPr defaultRowHeight="15" outlineLevelRow="0" outlineLevelCol="1" x14ac:dyDescent="0" defaultColWidth="14.43"/>
  <cols>
    <col min="1" max="1" width="20.29" customWidth="1"/>
    <col min="2" max="2" width="18.29" outlineLevel="1" collapsed="1" customWidth="1"/>
    <col min="3" max="3" width="11.29" customWidth="1"/>
    <col min="4" max="4" width="10.43" customWidth="1"/>
    <col min="5" max="5" width="20.71" outlineLevel="1" collapsed="1" customWidth="1"/>
    <col min="6" max="6" width="12.71" customWidth="1"/>
    <col min="7" max="7" width="11.71" customWidth="1"/>
    <col min="8" max="8" width="13.14" customWidth="1"/>
    <col min="9" max="9" width="12.71" customWidth="1"/>
    <col min="10" max="10" width="12.57" customWidth="1"/>
    <col min="11" max="11" width="15.86" customWidth="1"/>
    <col min="12" max="12" width="9.29" customWidth="1"/>
    <col min="13" max="15" width="11.29" customWidth="1"/>
    <col min="16" max="16" width="9.29" customWidth="1"/>
    <col min="17" max="17" width="3" customWidth="1"/>
    <col min="18" max="21" width="9.29" customWidth="1"/>
    <col min="22" max="22" width="3.43" customWidth="1"/>
    <col min="23" max="26" width="9.29" customWidth="1"/>
    <col min="27" max="27" width="5.43" customWidth="1"/>
    <col min="28" max="28" width="41.71" customWidth="1"/>
  </cols>
  <sheetData>
    <row r="1" ht="10.5" customHeight="1" spans="1:28" x14ac:dyDescent="0.25">
      <c r="A1" s="45" t="s">
        <v>43</v>
      </c>
      <c r="B1" s="45"/>
      <c r="C1" s="4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3.5" customHeight="1" spans="1:28" x14ac:dyDescent="0.25">
      <c r="A2" s="3" t="s">
        <v>44</v>
      </c>
      <c r="B2" s="3"/>
      <c r="C2" s="46">
        <v>46010</v>
      </c>
      <c r="D2" s="46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3.5" customHeight="1" spans="1:28" x14ac:dyDescent="0.25">
      <c r="A3" s="1" t="s">
        <v>2</v>
      </c>
      <c r="B3" s="1"/>
      <c r="C3" s="47" t="s">
        <v>45</v>
      </c>
      <c r="D3" s="46" t="s">
        <v>46</v>
      </c>
      <c r="E3" s="4"/>
      <c r="F3" s="4"/>
      <c r="G3" s="5"/>
      <c r="H3" s="48" t="s">
        <v>47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6.5" customHeight="1" spans="1:28" x14ac:dyDescent="0.25">
      <c r="A4" s="2"/>
      <c r="B4" s="2"/>
      <c r="C4" s="2"/>
      <c r="D4" s="2"/>
      <c r="E4" s="2"/>
      <c r="F4" s="2"/>
      <c r="G4" s="2"/>
      <c r="H4" s="49">
        <f>ROUND(SUBTOTAL(9,H8:H55),2)</f>
        <v>11329</v>
      </c>
      <c r="I4" s="50">
        <f t="shared" ref="I4:K4" si="0">ROUND(SUBTOTAL(9,I8:I57),2)</f>
        <v>10123</v>
      </c>
      <c r="J4" s="50">
        <f t="shared" si="0"/>
        <v>9639</v>
      </c>
      <c r="K4" s="50">
        <f t="shared" si="0"/>
        <v>8556</v>
      </c>
      <c r="L4" s="2"/>
      <c r="M4" s="50">
        <f t="shared" ref="M4:O4" si="1">ROUND(SUBTOTAL(9,M8:M57),2)</f>
        <v>11639</v>
      </c>
      <c r="N4" s="50">
        <f t="shared" si="1"/>
        <v>9847</v>
      </c>
      <c r="O4" s="50">
        <f t="shared" si="1"/>
        <v>10071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3.5" customHeight="1" spans="1:28" x14ac:dyDescent="0.25">
      <c r="A5" s="2"/>
      <c r="B5" s="2"/>
      <c r="C5" s="2"/>
      <c r="D5" s="2"/>
      <c r="E5" s="2"/>
      <c r="F5" s="2"/>
      <c r="G5" s="2"/>
      <c r="H5" s="51" t="s">
        <v>44</v>
      </c>
      <c r="I5" s="52" t="s">
        <v>44</v>
      </c>
      <c r="J5" s="52" t="s">
        <v>44</v>
      </c>
      <c r="K5" s="52" t="s">
        <v>44</v>
      </c>
      <c r="L5" s="2"/>
      <c r="M5" s="53" t="s">
        <v>20</v>
      </c>
      <c r="N5" s="53" t="s">
        <v>20</v>
      </c>
      <c r="O5" s="53" t="s">
        <v>20</v>
      </c>
      <c r="P5" s="2"/>
      <c r="Q5" s="2"/>
      <c r="R5" s="2" t="s">
        <v>21</v>
      </c>
      <c r="S5" s="2" t="s">
        <v>21</v>
      </c>
      <c r="T5" s="2" t="s">
        <v>21</v>
      </c>
      <c r="U5" s="2"/>
      <c r="V5" s="2"/>
      <c r="W5" s="2" t="s">
        <v>21</v>
      </c>
      <c r="X5" s="2" t="s">
        <v>21</v>
      </c>
      <c r="Y5" s="2" t="s">
        <v>21</v>
      </c>
      <c r="Z5" s="2"/>
      <c r="AA5" s="2"/>
      <c r="AB5" s="2"/>
    </row>
    <row r="6" ht="13.5" customHeight="1" spans="1:28" x14ac:dyDescent="0.25">
      <c r="A6" s="54" t="s">
        <v>4</v>
      </c>
      <c r="B6" s="55" t="s">
        <v>48</v>
      </c>
      <c r="C6" s="54" t="s">
        <v>49</v>
      </c>
      <c r="D6" s="54" t="s">
        <v>50</v>
      </c>
      <c r="E6" s="55" t="str">
        <f t="shared" ref="E6:E8" si="2">B6&amp;D6</f>
        <v>P/nPlant</v>
      </c>
      <c r="F6" s="54" t="s">
        <v>51</v>
      </c>
      <c r="G6" s="54" t="s">
        <v>52</v>
      </c>
      <c r="H6" s="56" t="s">
        <v>15</v>
      </c>
      <c r="I6" s="57" t="s">
        <v>16</v>
      </c>
      <c r="J6" s="57" t="s">
        <v>6</v>
      </c>
      <c r="K6" s="57" t="s">
        <v>7</v>
      </c>
      <c r="L6" s="2"/>
      <c r="M6" s="58" t="str">
        <f t="shared" ref="M6:P6" si="3">H6</f>
        <v>Jan</v>
      </c>
      <c r="N6" s="58" t="str">
        <f t="shared" si="3"/>
        <v>Feb</v>
      </c>
      <c r="O6" s="58" t="str">
        <f t="shared" si="3"/>
        <v>Mar</v>
      </c>
      <c r="P6" s="58" t="str">
        <f t="shared" si="3"/>
        <v>Apr</v>
      </c>
      <c r="Q6" s="2"/>
      <c r="R6" s="58" t="str">
        <f t="shared" ref="R6:U6" si="4">M6</f>
        <v>Jan</v>
      </c>
      <c r="S6" s="58" t="str">
        <f t="shared" si="4"/>
        <v>Feb</v>
      </c>
      <c r="T6" s="58" t="str">
        <f t="shared" si="4"/>
        <v>Mar</v>
      </c>
      <c r="U6" s="58" t="str">
        <f t="shared" si="4"/>
        <v>Apr</v>
      </c>
      <c r="V6" s="2"/>
      <c r="W6" s="58" t="str">
        <f t="shared" ref="W6:Z6" si="5">R6</f>
        <v>Jan</v>
      </c>
      <c r="X6" s="58" t="str">
        <f t="shared" si="5"/>
        <v>Feb</v>
      </c>
      <c r="Y6" s="58" t="str">
        <f t="shared" si="5"/>
        <v>Mar</v>
      </c>
      <c r="Z6" s="58" t="str">
        <f t="shared" si="5"/>
        <v>Apr</v>
      </c>
      <c r="AA6" s="2"/>
      <c r="AB6" s="59" t="s">
        <v>53</v>
      </c>
    </row>
    <row r="7" ht="13.5" customHeight="1" hidden="1" spans="1:28" x14ac:dyDescent="0.25">
      <c r="A7" s="60" t="s">
        <v>54</v>
      </c>
      <c r="B7" s="60" t="s">
        <v>54</v>
      </c>
      <c r="C7" s="61" t="s">
        <v>55</v>
      </c>
      <c r="D7" s="61" t="s">
        <v>56</v>
      </c>
      <c r="E7" s="61" t="str">
        <f t="shared" si="2"/>
        <v>86790-0K050SR</v>
      </c>
      <c r="F7" s="61" t="s">
        <v>57</v>
      </c>
      <c r="G7" s="61">
        <v>25</v>
      </c>
      <c r="H7" s="62">
        <f>IFERROR(VLOOKUP($E7,Analyze!$B$62:$F$104,2,0),0)</f>
        <v>0</v>
      </c>
      <c r="I7" s="63">
        <f>IFERROR(VLOOKUP($E7,Analyze!$B$62:$F$104,3,0),0)</f>
        <v>0</v>
      </c>
      <c r="J7" s="63">
        <f>IFERROR(VLOOKUP($E7,Analyze!$B$62:$F$104,4,0),0)</f>
        <v>0</v>
      </c>
      <c r="K7" s="63">
        <f>IFERROR(VLOOKUP($E7,Analyze!$B$62:$F$104,5,0),0)</f>
        <v>0</v>
      </c>
      <c r="L7" s="64"/>
      <c r="M7" s="63">
        <v>0</v>
      </c>
      <c r="N7" s="63">
        <v>0</v>
      </c>
      <c r="O7" s="63">
        <v>0</v>
      </c>
      <c r="P7" s="63"/>
      <c r="Q7" s="61"/>
      <c r="R7" s="63">
        <f t="shared" ref="R7:T7" si="6">H7-M7</f>
        <v>0</v>
      </c>
      <c r="S7" s="63">
        <f t="shared" si="6"/>
        <v>0</v>
      </c>
      <c r="T7" s="63">
        <f t="shared" si="6"/>
        <v>0</v>
      </c>
      <c r="U7" s="63"/>
      <c r="V7" s="61"/>
      <c r="W7" s="65" t="str">
        <f t="shared" ref="W7:Y7" si="7">(R7/M7)</f>
        <v>#DIV/0!</v>
      </c>
      <c r="X7" s="65" t="str">
        <f t="shared" si="7"/>
        <v>#DIV/0!</v>
      </c>
      <c r="Y7" s="65" t="str">
        <f t="shared" si="7"/>
        <v>#DIV/0!</v>
      </c>
      <c r="Z7" s="66"/>
      <c r="AA7" s="2"/>
      <c r="AB7" s="2"/>
    </row>
    <row r="8" ht="13.5" customHeight="1" hidden="1" spans="1:28" x14ac:dyDescent="0.25">
      <c r="A8" s="67" t="s">
        <v>58</v>
      </c>
      <c r="B8" s="68" t="s">
        <v>59</v>
      </c>
      <c r="C8" s="2" t="s">
        <v>55</v>
      </c>
      <c r="D8" s="2" t="s">
        <v>56</v>
      </c>
      <c r="E8" s="2" t="str">
        <f t="shared" si="2"/>
        <v>86790-0K080SR</v>
      </c>
      <c r="F8" s="2" t="s">
        <v>57</v>
      </c>
      <c r="G8" s="2">
        <v>42</v>
      </c>
      <c r="H8" s="62">
        <f>IFERROR(VLOOKUP($E8,Analyze!$B$62:$F$102,2,0),0)</f>
        <v>592</v>
      </c>
      <c r="I8" s="30">
        <f>IFERROR(VLOOKUP($E8,Analyze!$B$62:$F$104,3,0),0)</f>
        <v>676</v>
      </c>
      <c r="J8" s="30">
        <f>IFERROR(VLOOKUP($E8,Analyze!$B$62:$F$104,4,0),0)</f>
        <v>1209</v>
      </c>
      <c r="K8" s="30">
        <f>IFERROR(VLOOKUP($E8,Analyze!$B$62:$F$104,5,0),0)</f>
        <v>1093</v>
      </c>
      <c r="L8" s="69"/>
      <c r="M8" s="70">
        <v>592</v>
      </c>
      <c r="N8" s="70">
        <v>712</v>
      </c>
      <c r="O8" s="70">
        <v>1453</v>
      </c>
      <c r="P8" s="71"/>
      <c r="Q8" s="2"/>
      <c r="R8" s="30">
        <f t="shared" ref="R8:T8" si="8">H8-M8</f>
        <v>0</v>
      </c>
      <c r="S8" s="30">
        <f t="shared" si="8"/>
        <v>-36</v>
      </c>
      <c r="T8" s="30">
        <f t="shared" si="8"/>
        <v>-244</v>
      </c>
      <c r="U8" s="61"/>
      <c r="V8" s="2"/>
      <c r="W8" s="72">
        <f t="shared" ref="W8:Y8" si="9">(R8/M8)</f>
        <v>0</v>
      </c>
      <c r="X8" s="72">
        <f t="shared" si="9"/>
        <v>-0.05056179775</v>
      </c>
      <c r="Y8" s="72">
        <f t="shared" si="9"/>
        <v>-0.167928424</v>
      </c>
      <c r="Z8" s="66"/>
      <c r="AA8" s="2"/>
      <c r="AB8" s="2"/>
    </row>
    <row r="9" ht="13.5" customHeight="1" hidden="1" spans="1:28" x14ac:dyDescent="0.25">
      <c r="A9" s="73" t="s">
        <v>60</v>
      </c>
      <c r="B9" s="68" t="s">
        <v>39</v>
      </c>
      <c r="C9" s="2" t="s">
        <v>61</v>
      </c>
      <c r="D9" s="2" t="s">
        <v>62</v>
      </c>
      <c r="E9" s="2" t="str">
        <f>B9&amp;D9&amp;F9</f>
        <v>86790-0K141BPKTP1</v>
      </c>
      <c r="F9" s="74" t="s">
        <v>63</v>
      </c>
      <c r="G9" s="2"/>
      <c r="H9" s="62">
        <f>IFERROR(VLOOKUP($E9,Analyze!$B$62:$F$102,2,0),0)</f>
        <v>0</v>
      </c>
      <c r="I9" s="30">
        <f>IFERROR(VLOOKUP($E9,Analyze!$B$62:$F$104,3,0),0)</f>
        <v>0</v>
      </c>
      <c r="J9" s="30">
        <f>IFERROR(VLOOKUP($E9,Analyze!$B$62:$F$104,4,0),0)</f>
        <v>0</v>
      </c>
      <c r="K9" s="30">
        <f>IFERROR(VLOOKUP($E9,Analyze!$B$62:$F$104,5,0),0)</f>
        <v>0</v>
      </c>
      <c r="L9" s="2"/>
      <c r="M9" s="53">
        <v>0</v>
      </c>
      <c r="N9" s="53">
        <v>0</v>
      </c>
      <c r="O9" s="53">
        <v>0</v>
      </c>
      <c r="P9" s="71"/>
      <c r="Q9" s="2"/>
      <c r="R9" s="30">
        <f t="shared" ref="R9:T9" si="10">H9-M9</f>
        <v>0</v>
      </c>
      <c r="S9" s="30">
        <f t="shared" si="10"/>
        <v>0</v>
      </c>
      <c r="T9" s="30">
        <f t="shared" si="10"/>
        <v>0</v>
      </c>
      <c r="U9" s="61"/>
      <c r="V9" s="2"/>
      <c r="W9" s="72" t="str">
        <f t="shared" ref="W9:Y9" si="11">(R9/M9)</f>
        <v>#DIV/0!</v>
      </c>
      <c r="X9" s="72" t="str">
        <f t="shared" si="11"/>
        <v>#DIV/0!</v>
      </c>
      <c r="Y9" s="72" t="str">
        <f t="shared" si="11"/>
        <v>#DIV/0!</v>
      </c>
      <c r="Z9" s="66"/>
      <c r="AA9" s="2"/>
      <c r="AB9" s="2"/>
    </row>
    <row r="10" ht="13.5" customHeight="1" hidden="1" spans="1:28" x14ac:dyDescent="0.25">
      <c r="A10" s="75" t="s">
        <v>64</v>
      </c>
      <c r="B10" s="2"/>
      <c r="C10" s="2"/>
      <c r="D10" s="2" t="s">
        <v>62</v>
      </c>
      <c r="E10" s="2"/>
      <c r="F10" s="2" t="s">
        <v>63</v>
      </c>
      <c r="G10" s="2">
        <v>8</v>
      </c>
      <c r="H10" s="62">
        <f>IFERROR(VLOOKUP($E10,Analyze!$B$62:$F$102,2,0),0)</f>
        <v>0</v>
      </c>
      <c r="I10" s="30">
        <f>IFERROR(VLOOKUP($E10,Analyze!$B$62:$F$104,3,0),0)</f>
        <v>0</v>
      </c>
      <c r="J10" s="30">
        <f>IFERROR(VLOOKUP($E10,Analyze!$B$62:$F$104,4,0),0)</f>
        <v>0</v>
      </c>
      <c r="K10" s="30">
        <f>IFERROR(VLOOKUP($E10,Analyze!$B$62:$F$104,5,0),0)</f>
        <v>0</v>
      </c>
      <c r="L10" s="2"/>
      <c r="M10" s="2">
        <v>0</v>
      </c>
      <c r="N10" s="2">
        <v>0</v>
      </c>
      <c r="O10" s="2"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3.5" customHeight="1" hidden="1" spans="1:28" x14ac:dyDescent="0.25">
      <c r="A11" s="60" t="s">
        <v>54</v>
      </c>
      <c r="B11" s="60" t="s">
        <v>54</v>
      </c>
      <c r="C11" s="61" t="s">
        <v>55</v>
      </c>
      <c r="D11" s="61" t="s">
        <v>65</v>
      </c>
      <c r="E11" s="61" t="str">
        <f t="shared" ref="E11:E16" si="12">B11&amp;D11</f>
        <v>86790-0K050BP</v>
      </c>
      <c r="F11" s="61" t="s">
        <v>57</v>
      </c>
      <c r="G11" s="61">
        <v>25</v>
      </c>
      <c r="H11" s="62">
        <f>IFERROR(VLOOKUP($E11,Analyze!$B$62:$F$102,2,0),0)</f>
        <v>0</v>
      </c>
      <c r="I11" s="63">
        <f>IFERROR(VLOOKUP($E11,Analyze!$B$62:$F$102,3,0),0)</f>
        <v>0</v>
      </c>
      <c r="J11" s="63">
        <f>IFERROR(VLOOKUP($E11,Analyze!$B$62:$F$102,4,0),0)</f>
        <v>0</v>
      </c>
      <c r="K11" s="63">
        <f>IFERROR(VLOOKUP($E11,Analyze!$B$62:$F$102,5,0),0)</f>
        <v>0</v>
      </c>
      <c r="L11" s="64"/>
      <c r="M11" s="63">
        <v>0</v>
      </c>
      <c r="N11" s="63">
        <v>0</v>
      </c>
      <c r="O11" s="63">
        <v>0</v>
      </c>
      <c r="P11" s="63"/>
      <c r="Q11" s="61"/>
      <c r="R11" s="30">
        <f t="shared" ref="R11:T11" si="13">H11-M11</f>
        <v>0</v>
      </c>
      <c r="S11" s="30">
        <f t="shared" si="13"/>
        <v>0</v>
      </c>
      <c r="T11" s="30">
        <f t="shared" si="13"/>
        <v>0</v>
      </c>
      <c r="U11" s="61"/>
      <c r="V11" s="61"/>
      <c r="W11" s="65" t="str">
        <f t="shared" ref="W11:Y11" si="14">(R11/M11)</f>
        <v>#DIV/0!</v>
      </c>
      <c r="X11" s="65" t="str">
        <f t="shared" si="14"/>
        <v>#DIV/0!</v>
      </c>
      <c r="Y11" s="65" t="str">
        <f t="shared" si="14"/>
        <v>#DIV/0!</v>
      </c>
      <c r="Z11" s="66"/>
      <c r="AA11" s="2"/>
      <c r="AB11" s="2"/>
    </row>
    <row r="12" ht="13.5" customHeight="1" hidden="1" spans="1:28" x14ac:dyDescent="0.25">
      <c r="A12" s="67" t="s">
        <v>58</v>
      </c>
      <c r="B12" s="68" t="s">
        <v>59</v>
      </c>
      <c r="C12" s="2" t="s">
        <v>55</v>
      </c>
      <c r="D12" s="2" t="s">
        <v>65</v>
      </c>
      <c r="E12" s="2" t="str">
        <f t="shared" si="12"/>
        <v>86790-0K080BP</v>
      </c>
      <c r="F12" s="2" t="s">
        <v>57</v>
      </c>
      <c r="G12" s="2">
        <v>42</v>
      </c>
      <c r="H12" s="62">
        <f>IFERROR(VLOOKUP($E12,Analyze!$B$62:$F$102,2,0),0)</f>
        <v>428</v>
      </c>
      <c r="I12" s="30">
        <f>IFERROR(VLOOKUP($E12,Analyze!$B$62:$F$104,3,0),0)</f>
        <v>299</v>
      </c>
      <c r="J12" s="30">
        <f>IFERROR(VLOOKUP($E12,Analyze!$B$62:$F$104,4,0),0)</f>
        <v>35</v>
      </c>
      <c r="K12" s="30">
        <f>IFERROR(VLOOKUP($E12,Analyze!$B$62:$F$104,5,0),0)</f>
        <v>0</v>
      </c>
      <c r="L12" s="69"/>
      <c r="M12" s="70">
        <v>428</v>
      </c>
      <c r="N12" s="70">
        <v>309</v>
      </c>
      <c r="O12" s="70">
        <v>0</v>
      </c>
      <c r="P12" s="71"/>
      <c r="Q12" s="2"/>
      <c r="R12" s="30">
        <f t="shared" ref="R12:T12" si="15">H12-M12</f>
        <v>0</v>
      </c>
      <c r="S12" s="30">
        <f t="shared" si="15"/>
        <v>-10</v>
      </c>
      <c r="T12" s="30">
        <f t="shared" si="15"/>
        <v>35</v>
      </c>
      <c r="U12" s="61"/>
      <c r="V12" s="2"/>
      <c r="W12" s="72">
        <f t="shared" ref="W12:Y12" si="16">(R12/M12)</f>
        <v>0</v>
      </c>
      <c r="X12" s="72">
        <f t="shared" si="16"/>
        <v>-0.03236245955</v>
      </c>
      <c r="Y12" s="72" t="str">
        <f t="shared" si="16"/>
        <v>#DIV/0!</v>
      </c>
      <c r="Z12" s="66"/>
      <c r="AA12" s="2"/>
      <c r="AB12" s="2"/>
    </row>
    <row r="13" ht="13.5" customHeight="1" hidden="1" spans="1:28" x14ac:dyDescent="0.25">
      <c r="A13" s="76" t="s">
        <v>66</v>
      </c>
      <c r="B13" s="68" t="s">
        <v>67</v>
      </c>
      <c r="C13" s="2" t="s">
        <v>55</v>
      </c>
      <c r="D13" s="2" t="s">
        <v>65</v>
      </c>
      <c r="E13" s="2" t="str">
        <f t="shared" si="12"/>
        <v>86790-0K110BP</v>
      </c>
      <c r="F13" s="2" t="s">
        <v>57</v>
      </c>
      <c r="G13" s="2">
        <v>18</v>
      </c>
      <c r="H13" s="62">
        <f>IFERROR(VLOOKUP($E13,Analyze!$B$62:$F$102,2,0),0)</f>
        <v>860</v>
      </c>
      <c r="I13" s="30">
        <f>IFERROR(VLOOKUP($E13,Analyze!$B$62:$F$104,3,0),0)</f>
        <v>1201</v>
      </c>
      <c r="J13" s="30">
        <f>IFERROR(VLOOKUP($E13,Analyze!$B$62:$F$104,4,0),0)</f>
        <v>1058</v>
      </c>
      <c r="K13" s="30">
        <f>IFERROR(VLOOKUP($E13,Analyze!$B$62:$F$104,5,0),0)</f>
        <v>677</v>
      </c>
      <c r="L13" s="69"/>
      <c r="M13" s="70">
        <v>860</v>
      </c>
      <c r="N13" s="70">
        <v>970</v>
      </c>
      <c r="O13" s="70">
        <v>859</v>
      </c>
      <c r="P13" s="71"/>
      <c r="Q13" s="2"/>
      <c r="R13" s="30">
        <f t="shared" ref="R13:T13" si="17">H13-M13</f>
        <v>0</v>
      </c>
      <c r="S13" s="30">
        <f t="shared" si="17"/>
        <v>231</v>
      </c>
      <c r="T13" s="30">
        <f t="shared" si="17"/>
        <v>199</v>
      </c>
      <c r="U13" s="61"/>
      <c r="V13" s="2"/>
      <c r="W13" s="72">
        <f t="shared" ref="W13:Y13" si="18">(R13/M13)</f>
        <v>0</v>
      </c>
      <c r="X13" s="72">
        <f t="shared" si="18"/>
        <v>0.2381443299</v>
      </c>
      <c r="Y13" s="72">
        <f t="shared" si="18"/>
        <v>0.2316647264</v>
      </c>
      <c r="Z13" s="66"/>
      <c r="AA13" s="2"/>
      <c r="AB13" s="2"/>
    </row>
    <row r="14" ht="13.5" customHeight="1" hidden="1" spans="1:28" x14ac:dyDescent="0.25">
      <c r="A14" s="76" t="s">
        <v>68</v>
      </c>
      <c r="B14" s="68" t="s">
        <v>39</v>
      </c>
      <c r="C14" s="2" t="s">
        <v>61</v>
      </c>
      <c r="D14" s="2" t="s">
        <v>56</v>
      </c>
      <c r="E14" s="2" t="str">
        <f t="shared" si="12"/>
        <v>86790-0K141SR</v>
      </c>
      <c r="F14" s="2" t="s">
        <v>57</v>
      </c>
      <c r="G14" s="2">
        <v>8</v>
      </c>
      <c r="H14" s="62">
        <f>IFERROR(VLOOKUP($E14,Analyze!$B$62:$F$102,2,0),0)</f>
        <v>5</v>
      </c>
      <c r="I14" s="30">
        <f>IFERROR(VLOOKUP($E14,Analyze!$B$62:$F$104,3,0),0)</f>
        <v>2</v>
      </c>
      <c r="J14" s="30">
        <f>IFERROR(VLOOKUP($E14,Analyze!$B$62:$F$104,4,0),0)</f>
        <v>4</v>
      </c>
      <c r="K14" s="30">
        <f>IFERROR(VLOOKUP($E14,Analyze!$B$62:$F$104,5,0),0)</f>
        <v>63</v>
      </c>
      <c r="L14" s="69"/>
      <c r="M14" s="70">
        <v>5</v>
      </c>
      <c r="N14" s="70">
        <v>2</v>
      </c>
      <c r="O14" s="70">
        <v>209</v>
      </c>
      <c r="P14" s="71"/>
      <c r="Q14" s="2"/>
      <c r="R14" s="30">
        <f t="shared" ref="R14:T14" si="19">H14-M14</f>
        <v>0</v>
      </c>
      <c r="S14" s="30">
        <f t="shared" si="19"/>
        <v>0</v>
      </c>
      <c r="T14" s="30">
        <f t="shared" si="19"/>
        <v>-205</v>
      </c>
      <c r="U14" s="61"/>
      <c r="V14" s="2"/>
      <c r="W14" s="72">
        <f t="shared" ref="W14:Y14" si="20">(R14/M14)</f>
        <v>0</v>
      </c>
      <c r="X14" s="72">
        <f t="shared" si="20"/>
        <v>0</v>
      </c>
      <c r="Y14" s="72">
        <f t="shared" si="20"/>
        <v>-0.980861244</v>
      </c>
      <c r="Z14" s="66"/>
      <c r="AA14" s="2"/>
      <c r="AB14" s="2"/>
    </row>
    <row r="15" ht="13.5" customHeight="1" hidden="1" spans="1:28" x14ac:dyDescent="0.25">
      <c r="A15" s="76" t="s">
        <v>68</v>
      </c>
      <c r="B15" s="68" t="s">
        <v>39</v>
      </c>
      <c r="C15" s="2" t="s">
        <v>61</v>
      </c>
      <c r="D15" s="2" t="s">
        <v>65</v>
      </c>
      <c r="E15" s="2" t="str">
        <f t="shared" si="12"/>
        <v>86790-0K141BP</v>
      </c>
      <c r="F15" s="2" t="s">
        <v>57</v>
      </c>
      <c r="G15" s="2">
        <v>8</v>
      </c>
      <c r="H15" s="62">
        <f>IFERROR(VLOOKUP($E15,Analyze!$B$62:$F$102,2,0),0)</f>
        <v>403</v>
      </c>
      <c r="I15" s="30">
        <f>IFERROR(VLOOKUP($E15,Analyze!$B$62:$F$104,3,0),0)</f>
        <v>232</v>
      </c>
      <c r="J15" s="30">
        <f>IFERROR(VLOOKUP($E15,Analyze!$B$62:$F$104,4,0),0)</f>
        <v>194</v>
      </c>
      <c r="K15" s="30">
        <f>IFERROR(VLOOKUP($E15,Analyze!$B$62:$F$104,5,0),0)</f>
        <v>4</v>
      </c>
      <c r="L15" s="69"/>
      <c r="M15" s="53">
        <v>403</v>
      </c>
      <c r="N15" s="53">
        <v>217</v>
      </c>
      <c r="O15" s="53">
        <v>1</v>
      </c>
      <c r="P15" s="71"/>
      <c r="Q15" s="2"/>
      <c r="R15" s="30">
        <f t="shared" ref="R15:T15" si="21">H15-M15</f>
        <v>0</v>
      </c>
      <c r="S15" s="30">
        <f t="shared" si="21"/>
        <v>15</v>
      </c>
      <c r="T15" s="30">
        <f t="shared" si="21"/>
        <v>193</v>
      </c>
      <c r="U15" s="61"/>
      <c r="V15" s="2"/>
      <c r="W15" s="72">
        <f t="shared" ref="W15:Y15" si="22">(R15/M15)</f>
        <v>0</v>
      </c>
      <c r="X15" s="72">
        <f t="shared" si="22"/>
        <v>0.06912442396</v>
      </c>
      <c r="Y15" s="72">
        <f t="shared" si="22"/>
        <v>193</v>
      </c>
      <c r="Z15" s="66"/>
      <c r="AA15" s="2"/>
      <c r="AB15" s="2"/>
    </row>
    <row r="16" ht="13.5" customHeight="1" hidden="1" spans="1:28" x14ac:dyDescent="0.25">
      <c r="A16" s="73" t="s">
        <v>69</v>
      </c>
      <c r="B16" s="68" t="s">
        <v>39</v>
      </c>
      <c r="C16" s="2" t="s">
        <v>61</v>
      </c>
      <c r="D16" s="2" t="s">
        <v>62</v>
      </c>
      <c r="E16" s="2" t="str">
        <f t="shared" si="12"/>
        <v>86790-0K141BPK</v>
      </c>
      <c r="F16" s="2" t="s">
        <v>70</v>
      </c>
      <c r="G16" s="2"/>
      <c r="H16" s="62">
        <f>IFERROR(VLOOKUP($E16,Analyze!$B$62:$F$102,2,0),0)</f>
        <v>1120</v>
      </c>
      <c r="I16" s="30">
        <f>IFERROR(VLOOKUP($E16,Analyze!$B$62:$F$104,3,0),0)</f>
        <v>1760</v>
      </c>
      <c r="J16" s="30">
        <f>IFERROR(VLOOKUP($E16,Analyze!$B$62:$F$104,4,0),0)</f>
        <v>2000</v>
      </c>
      <c r="K16" s="30">
        <f>IFERROR(VLOOKUP($E16,Analyze!$B$62:$F$104,5,0),0)</f>
        <v>1712</v>
      </c>
      <c r="L16" s="69"/>
      <c r="M16" s="70">
        <v>1712</v>
      </c>
      <c r="N16" s="70">
        <v>1856</v>
      </c>
      <c r="O16" s="70">
        <v>2304</v>
      </c>
      <c r="P16" s="71"/>
      <c r="Q16" s="2"/>
      <c r="R16" s="77">
        <f t="shared" ref="R16:T16" si="23">H16-M16</f>
        <v>-592</v>
      </c>
      <c r="S16" s="77">
        <f t="shared" si="23"/>
        <v>-96</v>
      </c>
      <c r="T16" s="77">
        <f t="shared" si="23"/>
        <v>-304</v>
      </c>
      <c r="U16" s="61"/>
      <c r="V16" s="2"/>
      <c r="W16" s="72">
        <f t="shared" ref="W16:Y16" si="24">(R16/M16)</f>
        <v>-0.3457943925</v>
      </c>
      <c r="X16" s="72">
        <f t="shared" si="24"/>
        <v>-0.05172413793</v>
      </c>
      <c r="Y16" s="72">
        <f t="shared" si="24"/>
        <v>-0.1319444444</v>
      </c>
      <c r="Z16" s="66"/>
      <c r="AA16" s="2"/>
      <c r="AB16" s="2"/>
    </row>
    <row r="17" ht="13.5" customHeight="1" hidden="1" spans="1:28" x14ac:dyDescent="0.25">
      <c r="A17" s="75" t="s">
        <v>71</v>
      </c>
      <c r="B17" s="2"/>
      <c r="C17" s="2"/>
      <c r="D17" s="2" t="s">
        <v>62</v>
      </c>
      <c r="E17" s="2"/>
      <c r="F17" s="2" t="s">
        <v>63</v>
      </c>
      <c r="G17" s="2">
        <v>8</v>
      </c>
      <c r="H17" s="62">
        <f>IFERROR(VLOOKUP($E17,Analyze!$B$62:$F$102,2,0),0)</f>
        <v>0</v>
      </c>
      <c r="I17" s="30">
        <f>IFERROR(VLOOKUP($E17,Analyze!$B$62:$F$104,3,0),0)</f>
        <v>0</v>
      </c>
      <c r="J17" s="30">
        <f>IFERROR(VLOOKUP($E17,Analyze!$B$62:$F$104,4,0),0)</f>
        <v>0</v>
      </c>
      <c r="K17" s="30">
        <f>IFERROR(VLOOKUP($E17,Analyze!$B$62:$F$104,5,0),0)</f>
        <v>0</v>
      </c>
      <c r="L17" s="2"/>
      <c r="M17" s="2">
        <v>0</v>
      </c>
      <c r="N17" s="2">
        <v>0</v>
      </c>
      <c r="O17" s="2">
        <v>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3.5" customHeight="1" hidden="1" spans="1:28" x14ac:dyDescent="0.25">
      <c r="A18" s="76" t="s">
        <v>72</v>
      </c>
      <c r="B18" s="68" t="s">
        <v>73</v>
      </c>
      <c r="C18" s="2" t="s">
        <v>61</v>
      </c>
      <c r="D18" s="2" t="s">
        <v>65</v>
      </c>
      <c r="E18" s="2" t="str">
        <f t="shared" ref="E18:E19" si="25">B18&amp;D18</f>
        <v>86790-0K230BP</v>
      </c>
      <c r="F18" s="2" t="s">
        <v>57</v>
      </c>
      <c r="G18" s="2">
        <v>10</v>
      </c>
      <c r="H18" s="62">
        <f>IFERROR(VLOOKUP($E18,Analyze!$B$62:$F$102,2,0),0)</f>
        <v>651</v>
      </c>
      <c r="I18" s="30">
        <f>IFERROR(VLOOKUP($E18,Analyze!$B$62:$F$104,3,0),0)</f>
        <v>618</v>
      </c>
      <c r="J18" s="30">
        <f>IFERROR(VLOOKUP($E18,Analyze!$B$62:$F$104,4,0),0)</f>
        <v>541</v>
      </c>
      <c r="K18" s="30">
        <f>IFERROR(VLOOKUP($E18,Analyze!$B$62:$F$104,5,0),0)</f>
        <v>408</v>
      </c>
      <c r="L18" s="69"/>
      <c r="M18" s="70">
        <v>651</v>
      </c>
      <c r="N18" s="70">
        <v>575</v>
      </c>
      <c r="O18" s="70">
        <v>534</v>
      </c>
      <c r="P18" s="71"/>
      <c r="Q18" s="2"/>
      <c r="R18" s="30">
        <f t="shared" ref="R18:T18" si="26">H18-M18</f>
        <v>0</v>
      </c>
      <c r="S18" s="30">
        <f t="shared" si="26"/>
        <v>43</v>
      </c>
      <c r="T18" s="30">
        <f t="shared" si="26"/>
        <v>7</v>
      </c>
      <c r="U18" s="61"/>
      <c r="V18" s="2"/>
      <c r="W18" s="72">
        <f t="shared" ref="W18:Y18" si="27">(R18/M18)</f>
        <v>0</v>
      </c>
      <c r="X18" s="72">
        <f t="shared" si="27"/>
        <v>0.0747826087</v>
      </c>
      <c r="Y18" s="72">
        <f t="shared" si="27"/>
        <v>0.01310861423</v>
      </c>
      <c r="Z18" s="66"/>
      <c r="AA18" s="2"/>
      <c r="AB18" s="2"/>
    </row>
    <row r="19" ht="13.5" customHeight="1" hidden="1" spans="1:28" x14ac:dyDescent="0.25">
      <c r="A19" s="60" t="s">
        <v>74</v>
      </c>
      <c r="B19" s="60" t="s">
        <v>54</v>
      </c>
      <c r="C19" s="61" t="s">
        <v>55</v>
      </c>
      <c r="D19" s="61" t="s">
        <v>62</v>
      </c>
      <c r="E19" s="61" t="str">
        <f t="shared" si="25"/>
        <v>86790-0K050BPK</v>
      </c>
      <c r="F19" s="61" t="s">
        <v>70</v>
      </c>
      <c r="G19" s="61">
        <v>20</v>
      </c>
      <c r="H19" s="62">
        <f>IFERROR(VLOOKUP($E19,Analyze!$B$62:$F$102,2,0),0)</f>
        <v>0</v>
      </c>
      <c r="I19" s="63">
        <f>IFERROR(VLOOKUP($E19,Analyze!$B$62:$F$102,3,0),0)</f>
        <v>0</v>
      </c>
      <c r="J19" s="63">
        <f>IFERROR(VLOOKUP($E19,Analyze!$B$62:$F$102,4,0),0)</f>
        <v>0</v>
      </c>
      <c r="K19" s="63">
        <f>IFERROR(VLOOKUP($E19,Analyze!$B$62:$F$102,5,0),0)</f>
        <v>0</v>
      </c>
      <c r="L19" s="64"/>
      <c r="M19" s="63">
        <v>0</v>
      </c>
      <c r="N19" s="63">
        <v>0</v>
      </c>
      <c r="O19" s="63">
        <v>0</v>
      </c>
      <c r="P19" s="63"/>
      <c r="Q19" s="61"/>
      <c r="R19" s="30">
        <f t="shared" ref="R19:T19" si="28">H19-M19</f>
        <v>0</v>
      </c>
      <c r="S19" s="30">
        <f t="shared" si="28"/>
        <v>0</v>
      </c>
      <c r="T19" s="30">
        <f t="shared" si="28"/>
        <v>0</v>
      </c>
      <c r="U19" s="61"/>
      <c r="V19" s="2"/>
      <c r="W19" s="65" t="str">
        <f t="shared" ref="W19:Y19" si="29">(R19/M19)</f>
        <v>#DIV/0!</v>
      </c>
      <c r="X19" s="65" t="str">
        <f t="shared" si="29"/>
        <v>#DIV/0!</v>
      </c>
      <c r="Y19" s="65" t="str">
        <f t="shared" si="29"/>
        <v>#DIV/0!</v>
      </c>
      <c r="Z19" s="66"/>
      <c r="AA19" s="2"/>
      <c r="AB19" s="2"/>
    </row>
    <row r="20" ht="13.5" customHeight="1" hidden="1" spans="1:28" x14ac:dyDescent="0.25">
      <c r="A20" s="60" t="s">
        <v>75</v>
      </c>
      <c r="B20" s="60" t="s">
        <v>54</v>
      </c>
      <c r="C20" s="61" t="s">
        <v>55</v>
      </c>
      <c r="D20" s="61" t="s">
        <v>62</v>
      </c>
      <c r="E20" s="61" t="str">
        <f>B20&amp;D20&amp;F20</f>
        <v>86790-0K050BPKTP1</v>
      </c>
      <c r="F20" s="61" t="s">
        <v>63</v>
      </c>
      <c r="G20" s="61">
        <v>25</v>
      </c>
      <c r="H20" s="62">
        <f>IFERROR(VLOOKUP($E20,Analyze!$B$62:$F$102,2,0),0)</f>
        <v>0</v>
      </c>
      <c r="I20" s="63">
        <f>IFERROR(VLOOKUP($E20,Analyze!$B$62:$F$102,3,0),0)</f>
        <v>0</v>
      </c>
      <c r="J20" s="63">
        <f>IFERROR(VLOOKUP($E20,Analyze!$B$62:$F$102,4,0),0)</f>
        <v>0</v>
      </c>
      <c r="K20" s="63">
        <f>IFERROR(VLOOKUP($E20,Analyze!$B$62:$F$102,5,0),0)</f>
        <v>0</v>
      </c>
      <c r="L20" s="64"/>
      <c r="M20" s="63">
        <v>0</v>
      </c>
      <c r="N20" s="63">
        <v>0</v>
      </c>
      <c r="O20" s="63">
        <v>0</v>
      </c>
      <c r="P20" s="63"/>
      <c r="Q20" s="61"/>
      <c r="R20" s="30">
        <f t="shared" ref="R20:T20" si="30">H20-M20</f>
        <v>0</v>
      </c>
      <c r="S20" s="30">
        <f t="shared" si="30"/>
        <v>0</v>
      </c>
      <c r="T20" s="30">
        <f t="shared" si="30"/>
        <v>0</v>
      </c>
      <c r="U20" s="61"/>
      <c r="V20" s="2"/>
      <c r="W20" s="65" t="str">
        <f t="shared" ref="W20:Y20" si="31">(R20/M20)</f>
        <v>#DIV/0!</v>
      </c>
      <c r="X20" s="65" t="str">
        <f t="shared" si="31"/>
        <v>#DIV/0!</v>
      </c>
      <c r="Y20" s="65" t="str">
        <f t="shared" si="31"/>
        <v>#DIV/0!</v>
      </c>
      <c r="Z20" s="66"/>
      <c r="AA20" s="2"/>
      <c r="AB20" s="2"/>
    </row>
    <row r="21" ht="13.5" customHeight="1" hidden="1" spans="1:28" x14ac:dyDescent="0.25">
      <c r="A21" s="67" t="s">
        <v>76</v>
      </c>
      <c r="B21" s="68" t="s">
        <v>67</v>
      </c>
      <c r="C21" s="2" t="s">
        <v>55</v>
      </c>
      <c r="D21" s="2" t="s">
        <v>62</v>
      </c>
      <c r="E21" s="2" t="str">
        <f>B21&amp;D21</f>
        <v>86790-0K110BPK</v>
      </c>
      <c r="F21" s="2" t="s">
        <v>70</v>
      </c>
      <c r="G21" s="2">
        <v>20</v>
      </c>
      <c r="H21" s="62">
        <f>IFERROR(VLOOKUP($E21,Analyze!$B$62:$F$102,2,0),0)</f>
        <v>5960</v>
      </c>
      <c r="I21" s="30">
        <f>IFERROR(VLOOKUP($E21,Analyze!$B$62:$F$104,3,0),0)</f>
        <v>6660</v>
      </c>
      <c r="J21" s="30">
        <f>IFERROR(VLOOKUP($E21,Analyze!$B$62:$F$104,4,0),0)</f>
        <v>5700</v>
      </c>
      <c r="K21" s="30">
        <f>IFERROR(VLOOKUP($E21,Analyze!$B$62:$F$104,5,0),0)</f>
        <v>5940</v>
      </c>
      <c r="L21" s="69"/>
      <c r="M21" s="70">
        <v>6360</v>
      </c>
      <c r="N21" s="70">
        <v>6400</v>
      </c>
      <c r="O21" s="70">
        <v>6000</v>
      </c>
      <c r="P21" s="71"/>
      <c r="Q21" s="2"/>
      <c r="R21" s="30">
        <f t="shared" ref="R21:T21" si="32">H21-M21</f>
        <v>-400</v>
      </c>
      <c r="S21" s="30">
        <f t="shared" si="32"/>
        <v>260</v>
      </c>
      <c r="T21" s="30">
        <f t="shared" si="32"/>
        <v>-300</v>
      </c>
      <c r="U21" s="61"/>
      <c r="V21" s="2"/>
      <c r="W21" s="72">
        <f t="shared" ref="W21:Y21" si="33">(R21/M21)</f>
        <v>-0.06289308176</v>
      </c>
      <c r="X21" s="72">
        <f t="shared" si="33"/>
        <v>0.040625</v>
      </c>
      <c r="Y21" s="72">
        <f t="shared" si="33"/>
        <v>-0.05</v>
      </c>
      <c r="Z21" s="66"/>
      <c r="AA21" s="2"/>
      <c r="AB21" s="2"/>
    </row>
    <row r="22" ht="13.5" customHeight="1" hidden="1" spans="1:28" x14ac:dyDescent="0.25">
      <c r="A22" s="67" t="s">
        <v>77</v>
      </c>
      <c r="B22" s="68" t="s">
        <v>67</v>
      </c>
      <c r="C22" s="2" t="s">
        <v>55</v>
      </c>
      <c r="D22" s="2" t="s">
        <v>62</v>
      </c>
      <c r="E22" s="2" t="str">
        <f>B22&amp;D22&amp;F22</f>
        <v>86790-0K110BPKTP1</v>
      </c>
      <c r="F22" s="2" t="s">
        <v>63</v>
      </c>
      <c r="G22" s="2">
        <v>18</v>
      </c>
      <c r="H22" s="62">
        <f>IFERROR(VLOOKUP($E22,Analyze!$B$62:$F$102,2,0),0)</f>
        <v>120</v>
      </c>
      <c r="I22" s="30">
        <f>IFERROR(VLOOKUP($E22,Analyze!$B$62:$F$104,3,0),0)</f>
        <v>230</v>
      </c>
      <c r="J22" s="30">
        <f>IFERROR(VLOOKUP($E22,Analyze!$B$62:$F$104,4,0),0)</f>
        <v>170</v>
      </c>
      <c r="K22" s="30">
        <f>IFERROR(VLOOKUP($E22,Analyze!$B$62:$F$104,5,0),0)</f>
        <v>160</v>
      </c>
      <c r="L22" s="69"/>
      <c r="M22" s="70">
        <v>120</v>
      </c>
      <c r="N22" s="70">
        <v>250</v>
      </c>
      <c r="O22" s="70">
        <v>200</v>
      </c>
      <c r="P22" s="71"/>
      <c r="Q22" s="2"/>
      <c r="R22" s="30">
        <f t="shared" ref="R22:T22" si="34">H22-M22</f>
        <v>0</v>
      </c>
      <c r="S22" s="30">
        <f t="shared" si="34"/>
        <v>-20</v>
      </c>
      <c r="T22" s="30">
        <f t="shared" si="34"/>
        <v>-30</v>
      </c>
      <c r="U22" s="61"/>
      <c r="V22" s="2"/>
      <c r="W22" s="72">
        <f t="shared" ref="W22:Y22" si="35">(R22/M22)</f>
        <v>0</v>
      </c>
      <c r="X22" s="72">
        <f t="shared" si="35"/>
        <v>-0.08</v>
      </c>
      <c r="Y22" s="72">
        <f t="shared" si="35"/>
        <v>-0.15</v>
      </c>
      <c r="Z22" s="66"/>
      <c r="AA22" s="2"/>
      <c r="AB22" s="2"/>
    </row>
    <row r="23" ht="13.5" customHeight="1" hidden="1" spans="1:28" x14ac:dyDescent="0.25">
      <c r="A23" s="60" t="s">
        <v>78</v>
      </c>
      <c r="B23" s="78" t="s">
        <v>78</v>
      </c>
      <c r="C23" s="61" t="s">
        <v>55</v>
      </c>
      <c r="D23" s="61" t="s">
        <v>62</v>
      </c>
      <c r="E23" s="61" t="str">
        <f t="shared" ref="E23:E26" si="36">B23&amp;D23</f>
        <v>86790-0K130BPK</v>
      </c>
      <c r="F23" s="61" t="s">
        <v>70</v>
      </c>
      <c r="G23" s="61">
        <v>20</v>
      </c>
      <c r="H23" s="62">
        <f>IFERROR(VLOOKUP($E23,Analyze!$B$62:$F$102,2,0),0)</f>
        <v>0</v>
      </c>
      <c r="I23" s="63">
        <f>IFERROR(VLOOKUP($E23,Analyze!$B$62:$F$102,3,0),0)</f>
        <v>0</v>
      </c>
      <c r="J23" s="63">
        <f>IFERROR(VLOOKUP($E23,Analyze!$B$62:$F$102,4,0),0)</f>
        <v>0</v>
      </c>
      <c r="K23" s="63">
        <f>IFERROR(VLOOKUP($E23,Analyze!$B$62:$F$102,5,0),0)</f>
        <v>0</v>
      </c>
      <c r="L23" s="64"/>
      <c r="M23" s="63">
        <v>0</v>
      </c>
      <c r="N23" s="63">
        <v>0</v>
      </c>
      <c r="O23" s="63">
        <v>0</v>
      </c>
      <c r="P23" s="63"/>
      <c r="Q23" s="61"/>
      <c r="R23" s="30">
        <f t="shared" ref="R23:T23" si="37">H23-M23</f>
        <v>0</v>
      </c>
      <c r="S23" s="30">
        <f t="shared" si="37"/>
        <v>0</v>
      </c>
      <c r="T23" s="30">
        <f t="shared" si="37"/>
        <v>0</v>
      </c>
      <c r="U23" s="61"/>
      <c r="V23" s="61"/>
      <c r="W23" s="65" t="str">
        <f t="shared" ref="W23:Y23" si="38">(R23/M23)</f>
        <v>#DIV/0!</v>
      </c>
      <c r="X23" s="65" t="str">
        <f t="shared" si="38"/>
        <v>#DIV/0!</v>
      </c>
      <c r="Y23" s="65" t="str">
        <f t="shared" si="38"/>
        <v>#DIV/0!</v>
      </c>
      <c r="Z23" s="66"/>
      <c r="AA23" s="2"/>
      <c r="AB23" s="2"/>
    </row>
    <row r="24" ht="13.5" customHeight="1" hidden="1" spans="1:28" x14ac:dyDescent="0.25">
      <c r="A24" s="76" t="s">
        <v>79</v>
      </c>
      <c r="B24" s="68" t="s">
        <v>41</v>
      </c>
      <c r="C24" s="2" t="s">
        <v>61</v>
      </c>
      <c r="D24" s="2" t="s">
        <v>56</v>
      </c>
      <c r="E24" s="2" t="str">
        <f t="shared" si="36"/>
        <v>86790-0K171SR</v>
      </c>
      <c r="F24" s="2" t="s">
        <v>57</v>
      </c>
      <c r="G24" s="2">
        <v>8</v>
      </c>
      <c r="H24" s="62">
        <f>IFERROR(VLOOKUP($E24,Analyze!$B$62:$F$102,2,0),0)</f>
        <v>244</v>
      </c>
      <c r="I24" s="30">
        <f>IFERROR(VLOOKUP($E24,Analyze!$B$62:$F$104,3,0),0)</f>
        <v>251</v>
      </c>
      <c r="J24" s="30">
        <f>IFERROR(VLOOKUP($E24,Analyze!$B$62:$F$104,4,0),0)</f>
        <v>215</v>
      </c>
      <c r="K24" s="30">
        <f>IFERROR(VLOOKUP($E24,Analyze!$B$62:$F$104,5,0),0)</f>
        <v>364</v>
      </c>
      <c r="L24" s="69"/>
      <c r="M24" s="70">
        <v>244</v>
      </c>
      <c r="N24" s="70">
        <v>247</v>
      </c>
      <c r="O24" s="70">
        <v>254</v>
      </c>
      <c r="P24" s="71"/>
      <c r="Q24" s="2"/>
      <c r="R24" s="30">
        <f t="shared" ref="R24:T24" si="39">H24-M24</f>
        <v>0</v>
      </c>
      <c r="S24" s="30">
        <f t="shared" si="39"/>
        <v>4</v>
      </c>
      <c r="T24" s="30">
        <f t="shared" si="39"/>
        <v>-39</v>
      </c>
      <c r="U24" s="61"/>
      <c r="V24" s="2"/>
      <c r="W24" s="72">
        <f t="shared" ref="W24:Y24" si="40">(R24/M24)</f>
        <v>0</v>
      </c>
      <c r="X24" s="72">
        <f t="shared" si="40"/>
        <v>0.01619433198</v>
      </c>
      <c r="Y24" s="72">
        <f t="shared" si="40"/>
        <v>-0.1535433071</v>
      </c>
      <c r="Z24" s="66"/>
      <c r="AA24" s="2"/>
      <c r="AB24" s="2"/>
    </row>
    <row r="25" ht="13.5" customHeight="1" hidden="1" spans="1:28" x14ac:dyDescent="0.25">
      <c r="A25" s="76" t="s">
        <v>79</v>
      </c>
      <c r="B25" s="68" t="s">
        <v>41</v>
      </c>
      <c r="C25" s="2" t="s">
        <v>61</v>
      </c>
      <c r="D25" s="2" t="s">
        <v>65</v>
      </c>
      <c r="E25" s="2" t="str">
        <f t="shared" si="36"/>
        <v>86790-0K171BP</v>
      </c>
      <c r="F25" s="2" t="s">
        <v>57</v>
      </c>
      <c r="G25" s="2">
        <v>8</v>
      </c>
      <c r="H25" s="62">
        <f>IFERROR(VLOOKUP($E25,Analyze!$B$62:$F$102,2,0),0)</f>
        <v>487</v>
      </c>
      <c r="I25" s="30">
        <f>IFERROR(VLOOKUP($E25,Analyze!$B$62:$F$104,3,0),0)</f>
        <v>485</v>
      </c>
      <c r="J25" s="30">
        <f>IFERROR(VLOOKUP($E25,Analyze!$B$62:$F$104,4,0),0)</f>
        <v>276</v>
      </c>
      <c r="K25" s="30">
        <f>IFERROR(VLOOKUP($E25,Analyze!$B$62:$F$104,5,0),0)</f>
        <v>295</v>
      </c>
      <c r="L25" s="69"/>
      <c r="M25" s="70">
        <v>487</v>
      </c>
      <c r="N25" s="70">
        <v>417</v>
      </c>
      <c r="O25" s="70">
        <v>185</v>
      </c>
      <c r="P25" s="71"/>
      <c r="Q25" s="2"/>
      <c r="R25" s="77">
        <f t="shared" ref="R25:T25" si="41">H25-M25</f>
        <v>0</v>
      </c>
      <c r="S25" s="77">
        <f t="shared" si="41"/>
        <v>68</v>
      </c>
      <c r="T25" s="77">
        <f t="shared" si="41"/>
        <v>91</v>
      </c>
      <c r="U25" s="61"/>
      <c r="V25" s="2"/>
      <c r="W25" s="72">
        <f t="shared" ref="W25:Y25" si="42">(R25/M25)</f>
        <v>0</v>
      </c>
      <c r="X25" s="72">
        <f t="shared" si="42"/>
        <v>0.1630695444</v>
      </c>
      <c r="Y25" s="72">
        <f t="shared" si="42"/>
        <v>0.4918918919</v>
      </c>
      <c r="Z25" s="66"/>
      <c r="AA25" s="2"/>
      <c r="AB25" s="2"/>
    </row>
    <row r="26" ht="13.5" customHeight="1" hidden="1" spans="1:28" x14ac:dyDescent="0.25">
      <c r="A26" s="73" t="s">
        <v>80</v>
      </c>
      <c r="B26" s="68" t="s">
        <v>41</v>
      </c>
      <c r="C26" s="2" t="s">
        <v>61</v>
      </c>
      <c r="D26" s="2" t="s">
        <v>62</v>
      </c>
      <c r="E26" s="2" t="str">
        <f t="shared" si="36"/>
        <v>86790-0K171BPK</v>
      </c>
      <c r="F26" s="2" t="s">
        <v>70</v>
      </c>
      <c r="G26" s="2"/>
      <c r="H26" s="62">
        <f>IFERROR(VLOOKUP($E26,Analyze!$B$62:$F$102,2,0),0)</f>
        <v>0</v>
      </c>
      <c r="I26" s="30">
        <f>IFERROR(VLOOKUP($E26,Analyze!$B$62:$F$104,3,0),0)</f>
        <v>0</v>
      </c>
      <c r="J26" s="30">
        <f>IFERROR(VLOOKUP($E26,Analyze!$B$62:$F$104,4,0),0)</f>
        <v>0</v>
      </c>
      <c r="K26" s="30">
        <f>IFERROR(VLOOKUP($E26,Analyze!$B$62:$F$104,5,0),0)</f>
        <v>0</v>
      </c>
      <c r="L26" s="30"/>
      <c r="M26" s="70">
        <v>0</v>
      </c>
      <c r="N26" s="70">
        <v>0</v>
      </c>
      <c r="O26" s="70">
        <v>0</v>
      </c>
      <c r="P26" s="71"/>
      <c r="Q26" s="2"/>
      <c r="R26" s="30">
        <f t="shared" ref="R26:T26" si="43">H26-M26</f>
        <v>0</v>
      </c>
      <c r="S26" s="30">
        <f t="shared" si="43"/>
        <v>0</v>
      </c>
      <c r="T26" s="30">
        <f t="shared" si="43"/>
        <v>0</v>
      </c>
      <c r="U26" s="61"/>
      <c r="V26" s="2"/>
      <c r="W26" s="72" t="str">
        <f t="shared" ref="W26:Y26" si="44">(R26/M26)</f>
        <v>#DIV/0!</v>
      </c>
      <c r="X26" s="72" t="str">
        <f t="shared" si="44"/>
        <v>#DIV/0!</v>
      </c>
      <c r="Y26" s="72" t="str">
        <f t="shared" si="44"/>
        <v>#DIV/0!</v>
      </c>
      <c r="Z26" s="66"/>
      <c r="AA26" s="2"/>
      <c r="AB26" s="2"/>
    </row>
    <row r="27" ht="13.5" customHeight="1" hidden="1" spans="1:28" x14ac:dyDescent="0.25">
      <c r="A27" s="73" t="s">
        <v>81</v>
      </c>
      <c r="B27" s="68" t="s">
        <v>41</v>
      </c>
      <c r="C27" s="2" t="s">
        <v>61</v>
      </c>
      <c r="D27" s="2" t="s">
        <v>62</v>
      </c>
      <c r="E27" s="2" t="str">
        <f>B27&amp;D27&amp;F27</f>
        <v>86790-0K171BPKTP1</v>
      </c>
      <c r="F27" s="74" t="s">
        <v>63</v>
      </c>
      <c r="G27" s="2"/>
      <c r="H27" s="62">
        <f>IFERROR(VLOOKUP($E27,Analyze!$B$62:$F$102,2,0),0)</f>
        <v>260</v>
      </c>
      <c r="I27" s="30">
        <f>IFERROR(VLOOKUP($E27,Analyze!$B$62:$F$104,3,0),0)</f>
        <v>440</v>
      </c>
      <c r="J27" s="30">
        <f>IFERROR(VLOOKUP($E27,Analyze!$B$62:$F$104,4,0),0)</f>
        <v>430</v>
      </c>
      <c r="K27" s="30">
        <f>IFERROR(VLOOKUP($E27,Analyze!$B$62:$F$104,5,0),0)</f>
        <v>350</v>
      </c>
      <c r="L27" s="2"/>
      <c r="M27" s="53">
        <v>320</v>
      </c>
      <c r="N27" s="53">
        <v>390</v>
      </c>
      <c r="O27" s="53">
        <v>350</v>
      </c>
      <c r="P27" s="71"/>
      <c r="Q27" s="2"/>
      <c r="R27" s="30">
        <f t="shared" ref="R27:T27" si="45">H27-M27</f>
        <v>-60</v>
      </c>
      <c r="S27" s="30">
        <f t="shared" si="45"/>
        <v>50</v>
      </c>
      <c r="T27" s="30">
        <f t="shared" si="45"/>
        <v>80</v>
      </c>
      <c r="U27" s="61"/>
      <c r="V27" s="2"/>
      <c r="W27" s="72">
        <f t="shared" ref="W27:Y27" si="46">(R27/M27)</f>
        <v>-0.1875</v>
      </c>
      <c r="X27" s="72">
        <f t="shared" si="46"/>
        <v>0.1282051282</v>
      </c>
      <c r="Y27" s="72">
        <f t="shared" si="46"/>
        <v>0.2285714286</v>
      </c>
      <c r="Z27" s="66"/>
      <c r="AA27" s="2"/>
      <c r="AB27" s="2"/>
    </row>
    <row r="28" ht="13.5" customHeight="1" hidden="1" spans="1:28" x14ac:dyDescent="0.25">
      <c r="A28" s="67" t="s">
        <v>82</v>
      </c>
      <c r="B28" s="68" t="s">
        <v>29</v>
      </c>
      <c r="C28" s="2" t="s">
        <v>55</v>
      </c>
      <c r="D28" s="2" t="s">
        <v>62</v>
      </c>
      <c r="E28" s="2" t="str">
        <f t="shared" ref="E28:E35" si="47">B28&amp;D28</f>
        <v>86790-0K120BPK</v>
      </c>
      <c r="F28" s="2" t="s">
        <v>70</v>
      </c>
      <c r="G28" s="2"/>
      <c r="H28" s="62">
        <f>IFERROR(VLOOKUP($E28,Analyze!$B$62:$F$102,2,0),0)</f>
        <v>280</v>
      </c>
      <c r="I28" s="30">
        <f>IFERROR(VLOOKUP($E28,Analyze!$B$62:$F$104,3,0),0)</f>
        <v>240</v>
      </c>
      <c r="J28" s="30">
        <f>IFERROR(VLOOKUP($E28,Analyze!$B$62:$F$104,4,0),0)</f>
        <v>360</v>
      </c>
      <c r="K28" s="30">
        <f>IFERROR(VLOOKUP($E28,Analyze!$B$62:$F$104,5,0),0)</f>
        <v>360</v>
      </c>
      <c r="L28" s="79" t="s">
        <v>83</v>
      </c>
      <c r="M28" s="53">
        <v>280</v>
      </c>
      <c r="N28" s="53">
        <v>260</v>
      </c>
      <c r="O28" s="53">
        <v>440</v>
      </c>
      <c r="P28" s="80"/>
      <c r="Q28" s="2"/>
      <c r="R28" s="30">
        <f t="shared" ref="R28:T28" si="48">H28-M28</f>
        <v>0</v>
      </c>
      <c r="S28" s="30">
        <f t="shared" si="48"/>
        <v>-20</v>
      </c>
      <c r="T28" s="30">
        <f t="shared" si="48"/>
        <v>-80</v>
      </c>
      <c r="U28" s="61"/>
      <c r="V28" s="2"/>
      <c r="W28" s="72">
        <f t="shared" ref="W28:Y28" si="49">(R28/M28)</f>
        <v>0</v>
      </c>
      <c r="X28" s="72">
        <f t="shared" si="49"/>
        <v>-0.07692307692</v>
      </c>
      <c r="Y28" s="72">
        <f t="shared" si="49"/>
        <v>-0.1818181818</v>
      </c>
      <c r="Z28" s="66"/>
      <c r="AA28" s="2"/>
      <c r="AB28" s="2"/>
    </row>
    <row r="29" ht="13.5" customHeight="1" hidden="1" spans="1:28" x14ac:dyDescent="0.25">
      <c r="A29" s="81" t="s">
        <v>84</v>
      </c>
      <c r="B29" s="68" t="s">
        <v>31</v>
      </c>
      <c r="C29" s="2" t="s">
        <v>55</v>
      </c>
      <c r="D29" s="2" t="s">
        <v>62</v>
      </c>
      <c r="E29" s="2" t="str">
        <f t="shared" si="47"/>
        <v>86790-0K200BPK</v>
      </c>
      <c r="F29" s="2" t="s">
        <v>70</v>
      </c>
      <c r="G29" s="4"/>
      <c r="H29" s="62">
        <f>IFERROR(VLOOKUP($E29,Analyze!$B$62:$F$102,2,0),0)</f>
        <v>3280</v>
      </c>
      <c r="I29" s="30">
        <f>IFERROR(VLOOKUP($E29,Analyze!$B$62:$F$104,3,0),0)</f>
        <v>3020</v>
      </c>
      <c r="J29" s="30">
        <f>IFERROR(VLOOKUP($E29,Analyze!$B$62:$F$104,4,0),0)</f>
        <v>2720</v>
      </c>
      <c r="K29" s="30">
        <f>IFERROR(VLOOKUP($E29,Analyze!$B$62:$F$104,5,0),0)</f>
        <v>2400</v>
      </c>
      <c r="L29" s="79" t="s">
        <v>83</v>
      </c>
      <c r="M29" s="53">
        <v>3280</v>
      </c>
      <c r="N29" s="53">
        <v>3020</v>
      </c>
      <c r="O29" s="53">
        <v>2820</v>
      </c>
      <c r="P29" s="80"/>
      <c r="Q29" s="2"/>
      <c r="R29" s="30">
        <f t="shared" ref="R29:T29" si="50">H29-M29</f>
        <v>0</v>
      </c>
      <c r="S29" s="30">
        <f t="shared" si="50"/>
        <v>0</v>
      </c>
      <c r="T29" s="30">
        <f t="shared" si="50"/>
        <v>-100</v>
      </c>
      <c r="U29" s="61"/>
      <c r="V29" s="2"/>
      <c r="W29" s="72">
        <f t="shared" ref="W29:Y29" si="51">(R29/M29)</f>
        <v>0</v>
      </c>
      <c r="X29" s="72">
        <f t="shared" si="51"/>
        <v>0</v>
      </c>
      <c r="Y29" s="72">
        <f t="shared" si="51"/>
        <v>-0.03546099291</v>
      </c>
      <c r="Z29" s="66"/>
      <c r="AA29" s="2"/>
      <c r="AB29" s="2"/>
    </row>
    <row r="30" ht="13.5" customHeight="1" hidden="1" spans="1:28" x14ac:dyDescent="0.25">
      <c r="A30" s="81" t="s">
        <v>85</v>
      </c>
      <c r="B30" s="82" t="s">
        <v>32</v>
      </c>
      <c r="C30" s="2" t="s">
        <v>55</v>
      </c>
      <c r="D30" s="2" t="s">
        <v>62</v>
      </c>
      <c r="E30" s="2" t="str">
        <f t="shared" si="47"/>
        <v>86790-0K220BPK</v>
      </c>
      <c r="F30" s="2" t="s">
        <v>70</v>
      </c>
      <c r="G30" s="2"/>
      <c r="H30" s="62">
        <f>IFERROR(VLOOKUP($E30,Analyze!$B$62:$F$102,2,0),0)</f>
        <v>960</v>
      </c>
      <c r="I30" s="30">
        <f>IFERROR(VLOOKUP($E30,Analyze!$B$62:$F$104,3,0),0)</f>
        <v>1300</v>
      </c>
      <c r="J30" s="30">
        <f>IFERROR(VLOOKUP($E30,Analyze!$B$62:$F$104,4,0),0)</f>
        <v>2160</v>
      </c>
      <c r="K30" s="30">
        <f>IFERROR(VLOOKUP($E30,Analyze!$B$62:$F$104,5,0),0)</f>
        <v>2220</v>
      </c>
      <c r="L30" s="79" t="s">
        <v>83</v>
      </c>
      <c r="M30" s="53">
        <v>1060</v>
      </c>
      <c r="N30" s="53">
        <v>1640</v>
      </c>
      <c r="O30" s="53">
        <v>2340</v>
      </c>
      <c r="P30" s="80"/>
      <c r="Q30" s="2"/>
      <c r="R30" s="30">
        <f t="shared" ref="R30:T30" si="52">H30-M30</f>
        <v>-100</v>
      </c>
      <c r="S30" s="30">
        <f t="shared" si="52"/>
        <v>-340</v>
      </c>
      <c r="T30" s="30">
        <f t="shared" si="52"/>
        <v>-180</v>
      </c>
      <c r="U30" s="61"/>
      <c r="V30" s="2"/>
      <c r="W30" s="72">
        <f t="shared" ref="W30:Y30" si="53">(R30/M30)</f>
        <v>-0.09433962264</v>
      </c>
      <c r="X30" s="72">
        <f t="shared" si="53"/>
        <v>-0.2073170732</v>
      </c>
      <c r="Y30" s="72">
        <f t="shared" si="53"/>
        <v>-0.07692307692</v>
      </c>
      <c r="Z30" s="66"/>
      <c r="AA30" s="2"/>
      <c r="AB30" s="2"/>
    </row>
    <row r="31" ht="13.5" customHeight="1" hidden="1" spans="1:28" x14ac:dyDescent="0.25">
      <c r="A31" s="73" t="s">
        <v>86</v>
      </c>
      <c r="B31" s="68" t="s">
        <v>73</v>
      </c>
      <c r="C31" s="2" t="s">
        <v>61</v>
      </c>
      <c r="D31" s="2" t="s">
        <v>62</v>
      </c>
      <c r="E31" s="2" t="str">
        <f t="shared" si="47"/>
        <v>86790-0K230BPK</v>
      </c>
      <c r="F31" s="2" t="s">
        <v>70</v>
      </c>
      <c r="G31" s="2"/>
      <c r="H31" s="62">
        <f>IFERROR(VLOOKUP($E31,Analyze!$B$62:$F$102,2,0),0)</f>
        <v>560</v>
      </c>
      <c r="I31" s="30">
        <f>IFERROR(VLOOKUP($E31,Analyze!$B$62:$F$104,3,0),0)</f>
        <v>432</v>
      </c>
      <c r="J31" s="30">
        <f>IFERROR(VLOOKUP($E31,Analyze!$B$62:$F$104,4,0),0)</f>
        <v>528</v>
      </c>
      <c r="K31" s="30">
        <f>IFERROR(VLOOKUP($E31,Analyze!$B$62:$F$104,5,0),0)</f>
        <v>464</v>
      </c>
      <c r="L31" s="30"/>
      <c r="M31" s="70">
        <v>560</v>
      </c>
      <c r="N31" s="70">
        <v>464</v>
      </c>
      <c r="O31" s="70">
        <v>592</v>
      </c>
      <c r="P31" s="71"/>
      <c r="Q31" s="2"/>
      <c r="R31" s="30">
        <f t="shared" ref="R31:T31" si="54">H31-M31</f>
        <v>0</v>
      </c>
      <c r="S31" s="30">
        <f t="shared" si="54"/>
        <v>-32</v>
      </c>
      <c r="T31" s="30">
        <f t="shared" si="54"/>
        <v>-64</v>
      </c>
      <c r="U31" s="61"/>
      <c r="V31" s="2"/>
      <c r="W31" s="72">
        <f t="shared" ref="W31:Y31" si="55">(R31/M31)</f>
        <v>0</v>
      </c>
      <c r="X31" s="72">
        <f t="shared" si="55"/>
        <v>-0.06896551724</v>
      </c>
      <c r="Y31" s="72">
        <f t="shared" si="55"/>
        <v>-0.1081081081</v>
      </c>
      <c r="Z31" s="66"/>
      <c r="AA31" s="2"/>
      <c r="AB31" s="2"/>
    </row>
    <row r="32" ht="13.5" customHeight="1" hidden="1" spans="1:28" x14ac:dyDescent="0.25">
      <c r="A32" s="83" t="s">
        <v>87</v>
      </c>
      <c r="B32" s="78" t="s">
        <v>88</v>
      </c>
      <c r="C32" s="61"/>
      <c r="D32" s="61" t="s">
        <v>89</v>
      </c>
      <c r="E32" s="61" t="str">
        <f t="shared" si="47"/>
        <v>86790-BZ270GW</v>
      </c>
      <c r="F32" s="84" t="s">
        <v>90</v>
      </c>
      <c r="G32" s="84"/>
      <c r="H32" s="62">
        <f>IFERROR(VLOOKUP($E32,Analyze!$B$62:$F$102,2,0),0)</f>
        <v>0</v>
      </c>
      <c r="I32" s="63">
        <f>IFERROR(VLOOKUP($E32,Analyze!$B$62:$F$102,3,0),0)</f>
        <v>0</v>
      </c>
      <c r="J32" s="61">
        <f>IFERROR(VLOOKUP($E32,Analyze!$B$62:$F$102,4,0),0)</f>
        <v>0</v>
      </c>
      <c r="K32" s="61">
        <f>IFERROR(VLOOKUP($E32,Analyze!$B$62:$F$102,5,0),0)</f>
        <v>0</v>
      </c>
      <c r="L32" s="63"/>
      <c r="M32" s="61">
        <v>0</v>
      </c>
      <c r="N32" s="61">
        <v>0</v>
      </c>
      <c r="O32" s="61">
        <v>0</v>
      </c>
      <c r="P32" s="61"/>
      <c r="Q32" s="61"/>
      <c r="R32" s="30">
        <f t="shared" ref="R32:T32" si="56">H32-M32</f>
        <v>0</v>
      </c>
      <c r="S32" s="30">
        <f t="shared" si="56"/>
        <v>0</v>
      </c>
      <c r="T32" s="2">
        <f t="shared" si="56"/>
        <v>0</v>
      </c>
      <c r="U32" s="61"/>
      <c r="V32" s="2"/>
      <c r="W32" s="65" t="str">
        <f t="shared" ref="W32:Y32" si="57">(R32/M32)</f>
        <v>#DIV/0!</v>
      </c>
      <c r="X32" s="65" t="str">
        <f t="shared" si="57"/>
        <v>#DIV/0!</v>
      </c>
      <c r="Y32" s="65" t="str">
        <f t="shared" si="57"/>
        <v>#DIV/0!</v>
      </c>
      <c r="Z32" s="66"/>
      <c r="AA32" s="2"/>
      <c r="AB32" s="2"/>
    </row>
    <row r="33" ht="13.5" customHeight="1" hidden="1" spans="1:28" x14ac:dyDescent="0.25">
      <c r="A33" s="85" t="s">
        <v>91</v>
      </c>
      <c r="B33" s="82" t="s">
        <v>92</v>
      </c>
      <c r="C33" s="2"/>
      <c r="D33" s="2" t="s">
        <v>89</v>
      </c>
      <c r="E33" s="2" t="str">
        <f t="shared" si="47"/>
        <v>86790-BZ280GW</v>
      </c>
      <c r="F33" s="2" t="s">
        <v>70</v>
      </c>
      <c r="G33" s="2">
        <v>10</v>
      </c>
      <c r="H33" s="62">
        <f>IFERROR(VLOOKUP($E33,Analyze!$B$62:$F$102,2,0),0)</f>
        <v>6770</v>
      </c>
      <c r="I33" s="30">
        <f>IFERROR(VLOOKUP($E33,Analyze!$B$62:$F$104,3,0),0)</f>
        <v>8040</v>
      </c>
      <c r="J33" s="30">
        <f>IFERROR(VLOOKUP($E33,Analyze!$B$62:$F$104,4,0),0)</f>
        <v>5500</v>
      </c>
      <c r="K33" s="30">
        <f>IFERROR(VLOOKUP($E33,Analyze!$B$62:$F$104,5,0),0)</f>
        <v>5570</v>
      </c>
      <c r="L33" s="30"/>
      <c r="M33" s="2">
        <v>6620</v>
      </c>
      <c r="N33" s="2">
        <v>7740</v>
      </c>
      <c r="O33" s="2">
        <v>5940</v>
      </c>
      <c r="P33" s="80"/>
      <c r="Q33" s="2"/>
      <c r="R33" s="30">
        <f t="shared" ref="R33:T33" si="58">H33-M33</f>
        <v>150</v>
      </c>
      <c r="S33" s="30">
        <f t="shared" si="58"/>
        <v>300</v>
      </c>
      <c r="T33" s="30">
        <f t="shared" si="58"/>
        <v>-440</v>
      </c>
      <c r="U33" s="61"/>
      <c r="V33" s="2"/>
      <c r="W33" s="72">
        <f t="shared" ref="W33:Y33" si="59">(R33/M33)</f>
        <v>0.02265861027</v>
      </c>
      <c r="X33" s="72">
        <f t="shared" si="59"/>
        <v>0.03875968992</v>
      </c>
      <c r="Y33" s="72">
        <f t="shared" si="59"/>
        <v>-0.07407407407</v>
      </c>
      <c r="Z33" s="66"/>
      <c r="AA33" s="2"/>
      <c r="AB33" s="2"/>
    </row>
    <row r="34" ht="13.5" customHeight="1" hidden="1" spans="1:28" x14ac:dyDescent="0.25">
      <c r="A34" s="85" t="s">
        <v>93</v>
      </c>
      <c r="B34" s="68" t="s">
        <v>94</v>
      </c>
      <c r="C34" s="2"/>
      <c r="D34" s="2" t="s">
        <v>89</v>
      </c>
      <c r="E34" s="2" t="str">
        <f t="shared" si="47"/>
        <v>86790-BZ210GW</v>
      </c>
      <c r="F34" s="2" t="s">
        <v>57</v>
      </c>
      <c r="G34" s="4"/>
      <c r="H34" s="62">
        <f>IFERROR(VLOOKUP($E34,Analyze!$B$62:$F$102,2,0),0)</f>
        <v>8327</v>
      </c>
      <c r="I34" s="30">
        <f>IFERROR(VLOOKUP($E34,Analyze!$B$62:$F$104,3,0),0)</f>
        <v>5661</v>
      </c>
      <c r="J34" s="30">
        <f>IFERROR(VLOOKUP($E34,Analyze!$B$62:$F$104,4,0),0)</f>
        <v>6900</v>
      </c>
      <c r="K34" s="30">
        <f>IFERROR(VLOOKUP($E34,Analyze!$B$62:$F$104,5,0),0)</f>
        <v>5595</v>
      </c>
      <c r="L34" s="30"/>
      <c r="M34" s="2">
        <v>8327</v>
      </c>
      <c r="N34" s="2">
        <v>6520</v>
      </c>
      <c r="O34" s="2">
        <v>6814</v>
      </c>
      <c r="P34" s="80"/>
      <c r="Q34" s="2"/>
      <c r="R34" s="30">
        <f t="shared" ref="R34:T34" si="60">H34-M34</f>
        <v>0</v>
      </c>
      <c r="S34" s="30">
        <f t="shared" si="60"/>
        <v>-859</v>
      </c>
      <c r="T34" s="30">
        <f t="shared" si="60"/>
        <v>86</v>
      </c>
      <c r="U34" s="61"/>
      <c r="V34" s="2"/>
      <c r="W34" s="72">
        <f t="shared" ref="W34:Y34" si="61">(R34/M34)</f>
        <v>0</v>
      </c>
      <c r="X34" s="72">
        <f t="shared" si="61"/>
        <v>-0.1317484663</v>
      </c>
      <c r="Y34" s="72">
        <f t="shared" si="61"/>
        <v>0.01262107426</v>
      </c>
      <c r="Z34" s="66"/>
      <c r="AA34" s="2"/>
      <c r="AB34" s="2"/>
    </row>
    <row r="35" ht="13.5" customHeight="1" hidden="1" spans="1:28" x14ac:dyDescent="0.25">
      <c r="A35" s="85" t="s">
        <v>95</v>
      </c>
      <c r="B35" s="68" t="s">
        <v>96</v>
      </c>
      <c r="C35" s="2"/>
      <c r="D35" s="2" t="s">
        <v>89</v>
      </c>
      <c r="E35" s="2" t="str">
        <f t="shared" si="47"/>
        <v>86790-BZ220GW</v>
      </c>
      <c r="F35" s="2" t="s">
        <v>57</v>
      </c>
      <c r="G35" s="2"/>
      <c r="H35" s="62">
        <f>IFERROR(VLOOKUP($E35,Analyze!$B$62:$F$102,2,0),0)</f>
        <v>1432</v>
      </c>
      <c r="I35" s="30">
        <f>IFERROR(VLOOKUP($E35,Analyze!$B$62:$F$104,3,0),0)</f>
        <v>772</v>
      </c>
      <c r="J35" s="30">
        <f>IFERROR(VLOOKUP($E35,Analyze!$B$62:$F$104,4,0),0)</f>
        <v>1133</v>
      </c>
      <c r="K35" s="30">
        <f>IFERROR(VLOOKUP($E35,Analyze!$B$62:$F$104,5,0),0)</f>
        <v>749</v>
      </c>
      <c r="L35" s="30"/>
      <c r="M35" s="2">
        <v>1432</v>
      </c>
      <c r="N35" s="2">
        <v>1087</v>
      </c>
      <c r="O35" s="2">
        <v>1023</v>
      </c>
      <c r="P35" s="80"/>
      <c r="Q35" s="2"/>
      <c r="R35" s="30">
        <f t="shared" ref="R35:T35" si="62">H35-M35</f>
        <v>0</v>
      </c>
      <c r="S35" s="30">
        <f t="shared" si="62"/>
        <v>-315</v>
      </c>
      <c r="T35" s="30">
        <f t="shared" si="62"/>
        <v>110</v>
      </c>
      <c r="U35" s="61"/>
      <c r="V35" s="2"/>
      <c r="W35" s="72">
        <f t="shared" ref="W35:Y35" si="63">(R35/M35)</f>
        <v>0</v>
      </c>
      <c r="X35" s="72">
        <f t="shared" si="63"/>
        <v>-0.2897884085</v>
      </c>
      <c r="Y35" s="72">
        <f t="shared" si="63"/>
        <v>0.1075268817</v>
      </c>
      <c r="Z35" s="66"/>
      <c r="AA35" s="2"/>
      <c r="AB35" s="2"/>
    </row>
    <row r="36" ht="13.5" customHeight="1" hidden="1" spans="1:28" x14ac:dyDescent="0.25">
      <c r="A36" s="85" t="s">
        <v>97</v>
      </c>
      <c r="B36" s="68" t="s">
        <v>98</v>
      </c>
      <c r="C36" s="2"/>
      <c r="D36" s="2" t="s">
        <v>89</v>
      </c>
      <c r="E36" s="2" t="str">
        <f>B36&amp;D36&amp;F36</f>
        <v>86790-BZ310GWSN1</v>
      </c>
      <c r="F36" s="2" t="s">
        <v>70</v>
      </c>
      <c r="G36" s="2"/>
      <c r="H36" s="62">
        <f>IFERROR(VLOOKUP($E36,Analyze!$B$62:$F$102,2,0),0)</f>
        <v>3390</v>
      </c>
      <c r="I36" s="30">
        <f>IFERROR(VLOOKUP($E36,Analyze!$B$62:$F$104,3,0),0)</f>
        <v>2490</v>
      </c>
      <c r="J36" s="30">
        <f>IFERROR(VLOOKUP($E36,Analyze!$B$62:$F$104,4,0),0)</f>
        <v>2715</v>
      </c>
      <c r="K36" s="30">
        <f>IFERROR(VLOOKUP($E36,Analyze!$B$62:$F$104,5,0),0)</f>
        <v>3585</v>
      </c>
      <c r="L36" s="2"/>
      <c r="M36" s="2">
        <v>3510</v>
      </c>
      <c r="N36" s="2">
        <v>2490</v>
      </c>
      <c r="O36" s="2">
        <v>2115</v>
      </c>
      <c r="P36" s="71"/>
      <c r="Q36" s="2"/>
      <c r="R36" s="30">
        <f t="shared" ref="R36:T36" si="64">H36-M36</f>
        <v>-120</v>
      </c>
      <c r="S36" s="30">
        <f t="shared" si="64"/>
        <v>0</v>
      </c>
      <c r="T36" s="30">
        <f t="shared" si="64"/>
        <v>600</v>
      </c>
      <c r="U36" s="61"/>
      <c r="V36" s="2"/>
      <c r="W36" s="72">
        <f t="shared" ref="W36:Y36" si="65">(R36/M36)</f>
        <v>-0.03418803419</v>
      </c>
      <c r="X36" s="72">
        <f t="shared" si="65"/>
        <v>0</v>
      </c>
      <c r="Y36" s="72">
        <f t="shared" si="65"/>
        <v>0.2836879433</v>
      </c>
      <c r="Z36" s="66"/>
      <c r="AA36" s="2"/>
      <c r="AB36" s="2"/>
    </row>
    <row r="37" ht="13.5" customHeight="1" hidden="1" spans="1:28" x14ac:dyDescent="0.25">
      <c r="A37" s="85" t="s">
        <v>99</v>
      </c>
      <c r="B37" s="68" t="s">
        <v>98</v>
      </c>
      <c r="C37" s="2"/>
      <c r="D37" s="2" t="s">
        <v>89</v>
      </c>
      <c r="E37" s="2" t="str">
        <f t="shared" ref="E37:E39" si="66">B37&amp;D37</f>
        <v>86790-BZ310GW</v>
      </c>
      <c r="F37" s="2" t="s">
        <v>57</v>
      </c>
      <c r="G37" s="2"/>
      <c r="H37" s="62">
        <f>IFERROR(VLOOKUP($E37,Analyze!$B$62:$F$102,2,0),0)</f>
        <v>2150</v>
      </c>
      <c r="I37" s="30">
        <f>IFERROR(VLOOKUP($E37,Analyze!$B$62:$F$104,3,0),0)</f>
        <v>3303</v>
      </c>
      <c r="J37" s="30">
        <f>IFERROR(VLOOKUP($E37,Analyze!$B$62:$F$104,4,0),0)</f>
        <v>2705</v>
      </c>
      <c r="K37" s="30">
        <f>IFERROR(VLOOKUP($E37,Analyze!$B$62:$F$104,5,0),0)</f>
        <v>2697</v>
      </c>
      <c r="L37" s="2"/>
      <c r="M37" s="2">
        <v>2150</v>
      </c>
      <c r="N37" s="2">
        <v>3303</v>
      </c>
      <c r="O37" s="2">
        <v>2405</v>
      </c>
      <c r="P37" s="71"/>
      <c r="Q37" s="2"/>
      <c r="R37" s="30">
        <f t="shared" ref="R37:T37" si="67">H37-M37</f>
        <v>0</v>
      </c>
      <c r="S37" s="30">
        <f t="shared" si="67"/>
        <v>0</v>
      </c>
      <c r="T37" s="30">
        <f t="shared" si="67"/>
        <v>300</v>
      </c>
      <c r="U37" s="61"/>
      <c r="V37" s="2"/>
      <c r="W37" s="72">
        <f t="shared" ref="W37:Y37" si="68">(R37/M37)</f>
        <v>0</v>
      </c>
      <c r="X37" s="72">
        <f t="shared" si="68"/>
        <v>0</v>
      </c>
      <c r="Y37" s="72">
        <f t="shared" si="68"/>
        <v>0.1247401247</v>
      </c>
      <c r="Z37" s="66"/>
      <c r="AA37" s="2"/>
      <c r="AB37" s="2"/>
    </row>
    <row r="38" ht="13.5" customHeight="1" spans="1:28" x14ac:dyDescent="0.25">
      <c r="A38" s="86" t="s">
        <v>100</v>
      </c>
      <c r="B38" s="68" t="s">
        <v>101</v>
      </c>
      <c r="C38" s="2" t="s">
        <v>55</v>
      </c>
      <c r="D38" s="2" t="s">
        <v>65</v>
      </c>
      <c r="E38" s="2" t="str">
        <f t="shared" si="66"/>
        <v>86790-0K051BP</v>
      </c>
      <c r="F38" s="2" t="s">
        <v>57</v>
      </c>
      <c r="G38" s="2"/>
      <c r="H38" s="62">
        <f>IFERROR(VLOOKUP($E38,Analyze!$B$62:$F$102,2,0),0)</f>
        <v>2296</v>
      </c>
      <c r="I38" s="30">
        <f>IFERROR(VLOOKUP($E38,Analyze!$B$62:$F$104,3,0),0)</f>
        <v>1891</v>
      </c>
      <c r="J38" s="30">
        <f>IFERROR(VLOOKUP($E38,Analyze!$B$62:$F$104,4,0),0)</f>
        <v>1159</v>
      </c>
      <c r="K38" s="30">
        <f>IFERROR(VLOOKUP($E38,Analyze!$B$62:$F$104,5,0),0)</f>
        <v>814</v>
      </c>
      <c r="L38" s="2"/>
      <c r="M38" s="2">
        <v>2296</v>
      </c>
      <c r="N38" s="2">
        <v>1803</v>
      </c>
      <c r="O38" s="2">
        <v>818</v>
      </c>
      <c r="P38" s="71"/>
      <c r="Q38" s="2"/>
      <c r="R38" s="30">
        <f t="shared" ref="R38:T38" si="69">H38-M38</f>
        <v>0</v>
      </c>
      <c r="S38" s="30">
        <f t="shared" si="69"/>
        <v>88</v>
      </c>
      <c r="T38" s="30">
        <f t="shared" si="69"/>
        <v>341</v>
      </c>
      <c r="U38" s="61"/>
      <c r="V38" s="2"/>
      <c r="W38" s="72">
        <f t="shared" ref="W38:Y38" si="70">(R38/M38)</f>
        <v>0</v>
      </c>
      <c r="X38" s="72">
        <f t="shared" si="70"/>
        <v>0.04880754298</v>
      </c>
      <c r="Y38" s="72">
        <f t="shared" si="70"/>
        <v>0.4168704156</v>
      </c>
      <c r="Z38" s="66"/>
      <c r="AA38" s="2"/>
      <c r="AB38" s="2"/>
    </row>
    <row r="39" ht="13.5" customHeight="1" spans="1:28" x14ac:dyDescent="0.25">
      <c r="A39" s="86" t="s">
        <v>100</v>
      </c>
      <c r="B39" s="68" t="s">
        <v>101</v>
      </c>
      <c r="C39" s="2" t="s">
        <v>55</v>
      </c>
      <c r="D39" s="2" t="s">
        <v>56</v>
      </c>
      <c r="E39" s="2" t="str">
        <f t="shared" si="66"/>
        <v>86790-0K051SR</v>
      </c>
      <c r="F39" s="2" t="s">
        <v>57</v>
      </c>
      <c r="G39" s="2">
        <v>25</v>
      </c>
      <c r="H39" s="62">
        <f>IFERROR(VLOOKUP($E39,Analyze!$B$62:$F$102,2,0),0)</f>
        <v>1163</v>
      </c>
      <c r="I39" s="30">
        <f>IFERROR(VLOOKUP($E39,Analyze!$B$62:$F$104,3,0),0)</f>
        <v>1352</v>
      </c>
      <c r="J39" s="30">
        <f>IFERROR(VLOOKUP($E39,Analyze!$B$62:$F$104,4,0),0)</f>
        <v>1710</v>
      </c>
      <c r="K39" s="30">
        <f>IFERROR(VLOOKUP($E39,Analyze!$B$62:$F$104,5,0),0)</f>
        <v>2152</v>
      </c>
      <c r="L39" s="2"/>
      <c r="M39" s="2">
        <v>1163</v>
      </c>
      <c r="N39" s="2">
        <v>1384</v>
      </c>
      <c r="O39" s="2">
        <v>2173</v>
      </c>
      <c r="P39" s="71"/>
      <c r="Q39" s="2"/>
      <c r="R39" s="30">
        <f t="shared" ref="R39:T39" si="71">H39-M39</f>
        <v>0</v>
      </c>
      <c r="S39" s="30">
        <f t="shared" si="71"/>
        <v>-32</v>
      </c>
      <c r="T39" s="77">
        <f t="shared" si="71"/>
        <v>-463</v>
      </c>
      <c r="U39" s="61"/>
      <c r="V39" s="2"/>
      <c r="W39" s="72">
        <f t="shared" ref="W39:Y39" si="72">(R39/M39)</f>
        <v>0</v>
      </c>
      <c r="X39" s="72">
        <f t="shared" si="72"/>
        <v>-0.02312138728</v>
      </c>
      <c r="Y39" s="72">
        <f t="shared" si="72"/>
        <v>-0.2130694892</v>
      </c>
      <c r="Z39" s="66"/>
      <c r="AA39" s="2"/>
      <c r="AB39" s="2"/>
    </row>
    <row r="40" ht="13.5" customHeight="1" spans="1:28" x14ac:dyDescent="0.25">
      <c r="A40" s="86" t="s">
        <v>102</v>
      </c>
      <c r="B40" s="68" t="s">
        <v>101</v>
      </c>
      <c r="C40" s="2" t="s">
        <v>55</v>
      </c>
      <c r="D40" s="2" t="s">
        <v>62</v>
      </c>
      <c r="E40" s="2" t="str">
        <f t="shared" ref="E40:E41" si="73">B40&amp;D40&amp;F40</f>
        <v>86790-0K051BPKSN1</v>
      </c>
      <c r="F40" s="2" t="s">
        <v>70</v>
      </c>
      <c r="G40" s="2"/>
      <c r="H40" s="62">
        <f>IFERROR(VLOOKUP($E40,Analyze!$B$62:$F$102,2,0),0)</f>
        <v>7260</v>
      </c>
      <c r="I40" s="30">
        <f>IFERROR(VLOOKUP($E40,Analyze!$B$62:$F$104,3,0),0)</f>
        <v>6090</v>
      </c>
      <c r="J40" s="30">
        <f>IFERROR(VLOOKUP($E40,Analyze!$B$62:$F$104,4,0),0)</f>
        <v>6090</v>
      </c>
      <c r="K40" s="30">
        <f>IFERROR(VLOOKUP($E40,Analyze!$B$62:$F$104,5,0),0)</f>
        <v>5130</v>
      </c>
      <c r="L40" s="2"/>
      <c r="M40" s="2">
        <v>7530</v>
      </c>
      <c r="N40" s="2">
        <v>6030</v>
      </c>
      <c r="O40" s="2">
        <v>6450</v>
      </c>
      <c r="P40" s="71"/>
      <c r="Q40" s="2"/>
      <c r="R40" s="77">
        <f t="shared" ref="R40:T40" si="74">H40-M40</f>
        <v>-270</v>
      </c>
      <c r="S40" s="77">
        <f t="shared" si="74"/>
        <v>60</v>
      </c>
      <c r="T40" s="77">
        <f t="shared" si="74"/>
        <v>-360</v>
      </c>
      <c r="U40" s="61"/>
      <c r="V40" s="2"/>
      <c r="W40" s="72">
        <f t="shared" ref="W40:Y40" si="75">(R40/M40)</f>
        <v>-0.03585657371</v>
      </c>
      <c r="X40" s="72">
        <f t="shared" si="75"/>
        <v>0.009950248756</v>
      </c>
      <c r="Y40" s="72">
        <f t="shared" si="75"/>
        <v>-0.05581395349</v>
      </c>
      <c r="Z40" s="66"/>
      <c r="AA40" s="2"/>
      <c r="AB40" s="2"/>
    </row>
    <row r="41" ht="13.5" customHeight="1" spans="1:28" x14ac:dyDescent="0.25">
      <c r="A41" s="86" t="s">
        <v>103</v>
      </c>
      <c r="B41" s="68" t="s">
        <v>101</v>
      </c>
      <c r="C41" s="2" t="s">
        <v>55</v>
      </c>
      <c r="D41" s="2" t="s">
        <v>62</v>
      </c>
      <c r="E41" s="2" t="str">
        <f t="shared" si="73"/>
        <v>86790-0K051BPKTP1</v>
      </c>
      <c r="F41" s="74" t="s">
        <v>63</v>
      </c>
      <c r="G41" s="2"/>
      <c r="H41" s="62">
        <f>IFERROR(VLOOKUP($E41,Analyze!$B$62:$F$102,2,0),0)</f>
        <v>610</v>
      </c>
      <c r="I41" s="30">
        <f>IFERROR(VLOOKUP($E41,Analyze!$B$62:$F$104,3,0),0)</f>
        <v>790</v>
      </c>
      <c r="J41" s="30">
        <f>IFERROR(VLOOKUP($E41,Analyze!$B$62:$F$104,4,0),0)</f>
        <v>680</v>
      </c>
      <c r="K41" s="30">
        <f>IFERROR(VLOOKUP($E41,Analyze!$B$62:$F$104,5,0),0)</f>
        <v>460</v>
      </c>
      <c r="L41" s="2"/>
      <c r="M41" s="53">
        <v>650</v>
      </c>
      <c r="N41" s="53">
        <v>630</v>
      </c>
      <c r="O41" s="53">
        <v>630</v>
      </c>
      <c r="P41" s="71"/>
      <c r="Q41" s="2"/>
      <c r="R41" s="30">
        <f t="shared" ref="R41:T41" si="76">H41-M41</f>
        <v>-40</v>
      </c>
      <c r="S41" s="30">
        <f t="shared" si="76"/>
        <v>160</v>
      </c>
      <c r="T41" s="30">
        <f t="shared" si="76"/>
        <v>50</v>
      </c>
      <c r="U41" s="61"/>
      <c r="V41" s="2"/>
      <c r="W41" s="72">
        <f t="shared" ref="W41:Y41" si="77">(R41/M41)</f>
        <v>-0.06153846154</v>
      </c>
      <c r="X41" s="72">
        <f t="shared" si="77"/>
        <v>0.253968254</v>
      </c>
      <c r="Y41" s="72">
        <f t="shared" si="77"/>
        <v>0.07936507937</v>
      </c>
      <c r="Z41" s="66"/>
      <c r="AA41" s="2"/>
      <c r="AB41" s="2"/>
    </row>
    <row r="42" ht="13.5" customHeight="1" hidden="1" spans="1:28" x14ac:dyDescent="0.25">
      <c r="A42" s="83" t="s">
        <v>104</v>
      </c>
      <c r="B42" s="60" t="s">
        <v>105</v>
      </c>
      <c r="C42" s="61"/>
      <c r="D42" s="61" t="s">
        <v>89</v>
      </c>
      <c r="E42" s="61" t="str">
        <f t="shared" ref="E42:E45" si="78">B42&amp;D42</f>
        <v>86790-BZ320GW</v>
      </c>
      <c r="F42" s="61" t="s">
        <v>57</v>
      </c>
      <c r="G42" s="61"/>
      <c r="H42" s="62">
        <f>IFERROR(VLOOKUP($E42,Analyze!$B$62:$F$102,2,0),0)</f>
        <v>0</v>
      </c>
      <c r="I42" s="63">
        <f>IFERROR(VLOOKUP($E42,Analyze!$B$62:$F$102,3,0),0)</f>
        <v>0</v>
      </c>
      <c r="J42" s="61">
        <f>IFERROR(VLOOKUP($E42,Analyze!$B$62:$F$102,4,0),0)</f>
        <v>0</v>
      </c>
      <c r="K42" s="61">
        <f>IFERROR(VLOOKUP($E42,Analyze!$B$62:$F$102,5,0),0)</f>
        <v>0</v>
      </c>
      <c r="L42" s="61"/>
      <c r="M42" s="61">
        <v>0</v>
      </c>
      <c r="N42" s="61">
        <v>0</v>
      </c>
      <c r="O42" s="61">
        <v>0</v>
      </c>
      <c r="P42" s="63"/>
      <c r="Q42" s="61"/>
      <c r="R42" s="30">
        <f t="shared" ref="R42:T42" si="79">H42-M42</f>
        <v>0</v>
      </c>
      <c r="S42" s="30">
        <f t="shared" si="79"/>
        <v>0</v>
      </c>
      <c r="T42" s="2">
        <f t="shared" si="79"/>
        <v>0</v>
      </c>
      <c r="U42" s="61"/>
      <c r="V42" s="2"/>
      <c r="W42" s="65" t="str">
        <f t="shared" ref="W42:Y42" si="80">(R42/M42)</f>
        <v>#DIV/0!</v>
      </c>
      <c r="X42" s="65" t="str">
        <f t="shared" si="80"/>
        <v>#DIV/0!</v>
      </c>
      <c r="Y42" s="65" t="str">
        <f t="shared" si="80"/>
        <v>#DIV/0!</v>
      </c>
      <c r="Z42" s="66"/>
      <c r="AA42" s="2"/>
      <c r="AB42" s="2"/>
    </row>
    <row r="43" ht="13.5" customHeight="1" hidden="1" spans="1:28" x14ac:dyDescent="0.25">
      <c r="A43" s="85" t="s">
        <v>106</v>
      </c>
      <c r="B43" s="68" t="s">
        <v>107</v>
      </c>
      <c r="C43" s="2"/>
      <c r="D43" s="2" t="s">
        <v>89</v>
      </c>
      <c r="E43" s="2" t="str">
        <f t="shared" si="78"/>
        <v>86790-BZ321GW</v>
      </c>
      <c r="F43" s="2" t="s">
        <v>57</v>
      </c>
      <c r="G43" s="2"/>
      <c r="H43" s="62">
        <f>IFERROR(VLOOKUP($E43,Analyze!$B$62:$F$102,2,0),0)</f>
        <v>0</v>
      </c>
      <c r="I43" s="30">
        <f>IFERROR(VLOOKUP($E43,Analyze!$B$62:$F$104,3,0),0)</f>
        <v>1335</v>
      </c>
      <c r="J43" s="30">
        <f>IFERROR(VLOOKUP($E43,Analyze!$B$62:$F$104,4,0),0)</f>
        <v>1277</v>
      </c>
      <c r="K43" s="30">
        <f>IFERROR(VLOOKUP($E43,Analyze!$B$62:$F$104,5,0),0)</f>
        <v>1277</v>
      </c>
      <c r="L43" s="2"/>
      <c r="M43" s="53">
        <v>835</v>
      </c>
      <c r="N43" s="53">
        <v>1500</v>
      </c>
      <c r="O43" s="53">
        <v>1145</v>
      </c>
      <c r="P43" s="71"/>
      <c r="Q43" s="2"/>
      <c r="R43" s="30">
        <f t="shared" ref="R43:T43" si="81">H43-M43</f>
        <v>-835</v>
      </c>
      <c r="S43" s="30">
        <f t="shared" si="81"/>
        <v>-165</v>
      </c>
      <c r="T43" s="30">
        <f t="shared" si="81"/>
        <v>132</v>
      </c>
      <c r="U43" s="61"/>
      <c r="V43" s="2"/>
      <c r="W43" s="72">
        <f t="shared" ref="W43:Y43" si="82">(R43/M43)</f>
        <v>-1</v>
      </c>
      <c r="X43" s="72">
        <f t="shared" si="82"/>
        <v>-0.11</v>
      </c>
      <c r="Y43" s="72">
        <f t="shared" si="82"/>
        <v>0.1152838428</v>
      </c>
      <c r="Z43" s="66"/>
      <c r="AA43" s="2"/>
      <c r="AB43" s="2"/>
    </row>
    <row r="44" ht="13.5" customHeight="1" hidden="1" spans="1:28" x14ac:dyDescent="0.25">
      <c r="A44" s="76" t="s">
        <v>108</v>
      </c>
      <c r="B44" s="68" t="s">
        <v>42</v>
      </c>
      <c r="C44" s="2" t="s">
        <v>61</v>
      </c>
      <c r="D44" s="2" t="s">
        <v>65</v>
      </c>
      <c r="E44" s="2" t="str">
        <f t="shared" si="78"/>
        <v>86790-0K181BP</v>
      </c>
      <c r="F44" s="2" t="s">
        <v>57</v>
      </c>
      <c r="G44" s="2">
        <v>8</v>
      </c>
      <c r="H44" s="62">
        <f>IFERROR(VLOOKUP($E44,Analyze!$B$62:$F$102,2,0),0)</f>
        <v>68</v>
      </c>
      <c r="I44" s="30">
        <f>IFERROR(VLOOKUP($E44,Analyze!$B$62:$F$104,3,0),0)</f>
        <v>70</v>
      </c>
      <c r="J44" s="30">
        <f>IFERROR(VLOOKUP($E44,Analyze!$B$62:$F$104,4,0),0)</f>
        <v>4</v>
      </c>
      <c r="K44" s="30">
        <f>IFERROR(VLOOKUP($E44,Analyze!$B$62:$F$104,5,0),0)</f>
        <v>4</v>
      </c>
      <c r="L44" s="69"/>
      <c r="M44" s="53">
        <v>68</v>
      </c>
      <c r="N44" s="53">
        <v>69</v>
      </c>
      <c r="O44" s="53">
        <v>5</v>
      </c>
      <c r="P44" s="80"/>
      <c r="Q44" s="2"/>
      <c r="R44" s="30">
        <f t="shared" ref="R44:T44" si="83">H44-M44</f>
        <v>0</v>
      </c>
      <c r="S44" s="30">
        <f t="shared" si="83"/>
        <v>1</v>
      </c>
      <c r="T44" s="30">
        <f t="shared" si="83"/>
        <v>-1</v>
      </c>
      <c r="U44" s="61"/>
      <c r="V44" s="2"/>
      <c r="W44" s="72">
        <f t="shared" ref="W44:Y44" si="84">(R44/M44)</f>
        <v>0</v>
      </c>
      <c r="X44" s="72">
        <f t="shared" si="84"/>
        <v>0.01449275362</v>
      </c>
      <c r="Y44" s="72">
        <f t="shared" si="84"/>
        <v>-0.2</v>
      </c>
      <c r="Z44" s="66"/>
      <c r="AA44" s="2"/>
      <c r="AB44" s="2"/>
    </row>
    <row r="45" ht="13.5" customHeight="1" hidden="1" spans="1:28" x14ac:dyDescent="0.25">
      <c r="A45" s="73" t="s">
        <v>109</v>
      </c>
      <c r="B45" s="68" t="s">
        <v>42</v>
      </c>
      <c r="C45" s="2" t="s">
        <v>61</v>
      </c>
      <c r="D45" s="2" t="s">
        <v>62</v>
      </c>
      <c r="E45" s="2" t="str">
        <f t="shared" si="78"/>
        <v>86790-0K181BPK</v>
      </c>
      <c r="F45" s="2" t="s">
        <v>70</v>
      </c>
      <c r="G45" s="2"/>
      <c r="H45" s="62">
        <f>IFERROR(VLOOKUP($E45,Analyze!$B$62:$F$102,2,0),0)</f>
        <v>320</v>
      </c>
      <c r="I45" s="30">
        <f>IFERROR(VLOOKUP($E45,Analyze!$B$62:$F$104,3,0),0)</f>
        <v>480</v>
      </c>
      <c r="J45" s="30">
        <f>IFERROR(VLOOKUP($E45,Analyze!$B$62:$F$104,4,0),0)</f>
        <v>288</v>
      </c>
      <c r="K45" s="30">
        <f>IFERROR(VLOOKUP($E45,Analyze!$B$62:$F$104,5,0),0)</f>
        <v>336</v>
      </c>
      <c r="L45" s="30"/>
      <c r="M45" s="70">
        <v>368</v>
      </c>
      <c r="N45" s="70">
        <v>480</v>
      </c>
      <c r="O45" s="70">
        <v>368</v>
      </c>
      <c r="P45" s="71"/>
      <c r="Q45" s="2"/>
      <c r="R45" s="87">
        <f t="shared" ref="R45:T45" si="85">H45-M45</f>
        <v>-48</v>
      </c>
      <c r="S45" s="87">
        <f t="shared" si="85"/>
        <v>0</v>
      </c>
      <c r="T45" s="87">
        <f t="shared" si="85"/>
        <v>-80</v>
      </c>
      <c r="U45" s="61"/>
      <c r="V45" s="2"/>
      <c r="W45" s="72">
        <f t="shared" ref="W45:Y45" si="86">(R45/M45)</f>
        <v>-0.1304347826</v>
      </c>
      <c r="X45" s="72">
        <f t="shared" si="86"/>
        <v>0</v>
      </c>
      <c r="Y45" s="72">
        <f t="shared" si="86"/>
        <v>-0.2173913043</v>
      </c>
      <c r="Z45" s="66"/>
      <c r="AA45" s="2"/>
      <c r="AB45" s="2"/>
    </row>
    <row r="46" ht="13.5" customHeight="1" hidden="1" spans="1:28" x14ac:dyDescent="0.25">
      <c r="A46" s="85" t="s">
        <v>110</v>
      </c>
      <c r="B46" s="68" t="s">
        <v>111</v>
      </c>
      <c r="C46" s="2"/>
      <c r="D46" s="2" t="s">
        <v>89</v>
      </c>
      <c r="E46" s="2" t="s">
        <v>112</v>
      </c>
      <c r="F46" s="4" t="s">
        <v>90</v>
      </c>
      <c r="G46" s="2"/>
      <c r="H46" s="62">
        <f>IFERROR(VLOOKUP($E46,Analyze!$B$62:$F$102,2,0),0)</f>
        <v>2232</v>
      </c>
      <c r="I46" s="30">
        <f>IFERROR(VLOOKUP($E46,Analyze!$B$62:$F$104,3,0),0)</f>
        <v>1944</v>
      </c>
      <c r="J46" s="30">
        <f>IFERROR(VLOOKUP($E46,Analyze!$B$62:$F$104,4,0),0)</f>
        <v>1620</v>
      </c>
      <c r="K46" s="30">
        <f>IFERROR(VLOOKUP($E46,Analyze!$B$62:$F$104,5,0),0)</f>
        <v>1620</v>
      </c>
      <c r="L46" s="2"/>
      <c r="M46" s="53">
        <v>1944</v>
      </c>
      <c r="N46" s="53">
        <v>1980</v>
      </c>
      <c r="O46" s="53">
        <v>1764</v>
      </c>
      <c r="P46" s="71"/>
      <c r="Q46" s="2"/>
      <c r="R46" s="30">
        <f t="shared" ref="R46:T46" si="87">H46-M46</f>
        <v>288</v>
      </c>
      <c r="S46" s="30">
        <f t="shared" si="87"/>
        <v>-36</v>
      </c>
      <c r="T46" s="30">
        <f t="shared" si="87"/>
        <v>-144</v>
      </c>
      <c r="U46" s="61"/>
      <c r="V46" s="2"/>
      <c r="W46" s="72">
        <f t="shared" ref="W46:Y46" si="88">(R46/M46)</f>
        <v>0.1481481481</v>
      </c>
      <c r="X46" s="72">
        <f t="shared" si="88"/>
        <v>-0.01818181818</v>
      </c>
      <c r="Y46" s="72">
        <f t="shared" si="88"/>
        <v>-0.08163265306</v>
      </c>
      <c r="Z46" s="66"/>
      <c r="AA46" s="2"/>
      <c r="AB46" s="2"/>
    </row>
    <row r="47" ht="13.5" customHeight="1" hidden="1" spans="1:28" x14ac:dyDescent="0.25">
      <c r="A47" s="85" t="s">
        <v>97</v>
      </c>
      <c r="B47" s="68" t="s">
        <v>98</v>
      </c>
      <c r="C47" s="2"/>
      <c r="D47" s="2" t="s">
        <v>62</v>
      </c>
      <c r="E47" s="2" t="str">
        <f>B47&amp;D47&amp;F47</f>
        <v>86790-BZ310BPK</v>
      </c>
      <c r="F47" s="2"/>
      <c r="G47" s="2"/>
      <c r="H47" s="62">
        <f>IFERROR(VLOOKUP($E47,Analyze!$B$62:$F$102,2,0),0)</f>
        <v>1965</v>
      </c>
      <c r="I47" s="30">
        <f>IFERROR(VLOOKUP($E47,Analyze!$B$62:$F$104,3,0),0)</f>
        <v>6225</v>
      </c>
      <c r="J47" s="30">
        <f>IFERROR(VLOOKUP($E47,Analyze!$B$62:$F$104,4,0),0)</f>
        <v>6210</v>
      </c>
      <c r="K47" s="30">
        <f>IFERROR(VLOOKUP($E47,Analyze!$B$62:$F$104,5,0),0)</f>
        <v>6735</v>
      </c>
      <c r="L47" s="2"/>
      <c r="M47" s="53">
        <v>2145</v>
      </c>
      <c r="N47" s="53">
        <v>6585</v>
      </c>
      <c r="O47" s="53">
        <v>6285</v>
      </c>
      <c r="P47" s="71"/>
      <c r="Q47" s="2"/>
      <c r="R47" s="30">
        <f t="shared" ref="R47:T47" si="89">H47-M47</f>
        <v>-180</v>
      </c>
      <c r="S47" s="30">
        <f t="shared" si="89"/>
        <v>-360</v>
      </c>
      <c r="T47" s="30">
        <f t="shared" si="89"/>
        <v>-75</v>
      </c>
      <c r="U47" s="61"/>
      <c r="V47" s="2"/>
      <c r="W47" s="72">
        <f t="shared" ref="W47:Y47" si="90">(R47/M47)</f>
        <v>-0.08391608392</v>
      </c>
      <c r="X47" s="72">
        <f t="shared" si="90"/>
        <v>-0.05466970387</v>
      </c>
      <c r="Y47" s="72">
        <f t="shared" si="90"/>
        <v>-0.01193317422</v>
      </c>
      <c r="Z47" s="66"/>
      <c r="AA47" s="2"/>
      <c r="AB47" s="2"/>
    </row>
    <row r="48" ht="13.5" customHeight="1" hidden="1" spans="1:28" x14ac:dyDescent="0.25">
      <c r="A48" s="76" t="s">
        <v>113</v>
      </c>
      <c r="B48" s="68" t="s">
        <v>114</v>
      </c>
      <c r="C48" s="2" t="s">
        <v>61</v>
      </c>
      <c r="D48" s="2" t="s">
        <v>65</v>
      </c>
      <c r="E48" s="2" t="str">
        <f t="shared" ref="E48:E49" si="91">B48&amp;D48</f>
        <v>86790-0K190BP</v>
      </c>
      <c r="F48" s="2" t="s">
        <v>57</v>
      </c>
      <c r="G48" s="2">
        <v>6</v>
      </c>
      <c r="H48" s="62">
        <f>IFERROR(VLOOKUP($E48,Analyze!$B$62:$F$102,2,0),0)</f>
        <v>382</v>
      </c>
      <c r="I48" s="30">
        <f>IFERROR(VLOOKUP($E48,Analyze!$B$62:$F$104,3,0),0)</f>
        <v>603</v>
      </c>
      <c r="J48" s="30">
        <f>IFERROR(VLOOKUP($E48,Analyze!$B$62:$F$104,4,0),0)</f>
        <v>604</v>
      </c>
      <c r="K48" s="30">
        <f>IFERROR(VLOOKUP($E48,Analyze!$B$62:$F$104,5,0),0)</f>
        <v>379</v>
      </c>
      <c r="L48" s="69"/>
      <c r="M48" s="53">
        <v>382</v>
      </c>
      <c r="N48" s="53">
        <v>454</v>
      </c>
      <c r="O48" s="53">
        <v>491</v>
      </c>
      <c r="P48" s="80"/>
      <c r="Q48" s="2"/>
      <c r="R48" s="30">
        <f t="shared" ref="R48:T48" si="92">H48-M48</f>
        <v>0</v>
      </c>
      <c r="S48" s="30">
        <f t="shared" si="92"/>
        <v>149</v>
      </c>
      <c r="T48" s="30">
        <f t="shared" si="92"/>
        <v>113</v>
      </c>
      <c r="U48" s="61"/>
      <c r="V48" s="2"/>
      <c r="W48" s="72">
        <f t="shared" ref="W48:Y48" si="93">(R48/M48)</f>
        <v>0</v>
      </c>
      <c r="X48" s="72">
        <f t="shared" si="93"/>
        <v>0.3281938326</v>
      </c>
      <c r="Y48" s="72">
        <f t="shared" si="93"/>
        <v>0.2301425662</v>
      </c>
      <c r="Z48" s="66"/>
      <c r="AA48" s="2"/>
      <c r="AB48" s="2"/>
    </row>
    <row r="49" ht="13.5" customHeight="1" hidden="1" spans="1:28" x14ac:dyDescent="0.25">
      <c r="A49" s="76" t="s">
        <v>115</v>
      </c>
      <c r="B49" s="68" t="s">
        <v>114</v>
      </c>
      <c r="C49" s="2" t="s">
        <v>61</v>
      </c>
      <c r="D49" s="2" t="s">
        <v>62</v>
      </c>
      <c r="E49" s="2" t="str">
        <f t="shared" si="91"/>
        <v>86790-0K190BPK</v>
      </c>
      <c r="F49" s="2" t="s">
        <v>90</v>
      </c>
      <c r="G49" s="2"/>
      <c r="H49" s="62">
        <f>IFERROR(VLOOKUP($E49,Analyze!$B$62:$F$102,2,0),0)</f>
        <v>3696</v>
      </c>
      <c r="I49" s="30">
        <f>IFERROR(VLOOKUP($E49,Analyze!$B$62:$F$104,3,0),0)</f>
        <v>4032</v>
      </c>
      <c r="J49" s="30">
        <f>IFERROR(VLOOKUP($E49,Analyze!$B$62:$F$104,4,0),0)</f>
        <v>3780</v>
      </c>
      <c r="K49" s="30">
        <f>IFERROR(VLOOKUP($E49,Analyze!$B$62:$F$104,5,0),0)</f>
        <v>3570</v>
      </c>
      <c r="L49" s="30"/>
      <c r="M49" s="53">
        <v>4032</v>
      </c>
      <c r="N49" s="53">
        <v>3822</v>
      </c>
      <c r="O49" s="53">
        <v>3990</v>
      </c>
      <c r="P49" s="80"/>
      <c r="Q49" s="2"/>
      <c r="R49" s="30">
        <f t="shared" ref="R49:T49" si="94">H49-M49</f>
        <v>-336</v>
      </c>
      <c r="S49" s="30">
        <f t="shared" si="94"/>
        <v>210</v>
      </c>
      <c r="T49" s="30">
        <f t="shared" si="94"/>
        <v>-210</v>
      </c>
      <c r="U49" s="61"/>
      <c r="V49" s="2"/>
      <c r="W49" s="72">
        <f t="shared" ref="W49:Y49" si="95">(R49/M49)</f>
        <v>-0.08333333333</v>
      </c>
      <c r="X49" s="72">
        <f t="shared" si="95"/>
        <v>0.05494505495</v>
      </c>
      <c r="Y49" s="72">
        <f t="shared" si="95"/>
        <v>-0.05263157895</v>
      </c>
      <c r="Z49" s="66"/>
      <c r="AA49" s="2"/>
      <c r="AB49" s="2"/>
    </row>
    <row r="50" ht="13.5" customHeight="1" hidden="1" spans="1:28" x14ac:dyDescent="0.25">
      <c r="A50" s="88" t="s">
        <v>113</v>
      </c>
      <c r="B50" s="68" t="s">
        <v>114</v>
      </c>
      <c r="C50" s="2" t="s">
        <v>61</v>
      </c>
      <c r="D50" s="2" t="s">
        <v>62</v>
      </c>
      <c r="E50" s="2" t="str">
        <f>B50&amp;D50&amp;F50</f>
        <v>86790-0K190BPKTP1</v>
      </c>
      <c r="F50" s="2" t="s">
        <v>63</v>
      </c>
      <c r="G50" s="2"/>
      <c r="H50" s="62">
        <f>IFERROR(VLOOKUP($E50,Analyze!$B$62:$F$102,2,0),0)</f>
        <v>60</v>
      </c>
      <c r="I50" s="30">
        <f>IFERROR(VLOOKUP($E50,Analyze!$B$62:$F$104,3,0),0)</f>
        <v>170</v>
      </c>
      <c r="J50" s="30">
        <f>IFERROR(VLOOKUP($E50,Analyze!$B$62:$F$104,4,0),0)</f>
        <v>80</v>
      </c>
      <c r="K50" s="30">
        <f>IFERROR(VLOOKUP($E50,Analyze!$B$62:$F$104,5,0),0)</f>
        <v>70</v>
      </c>
      <c r="L50" s="30"/>
      <c r="M50" s="53">
        <v>60</v>
      </c>
      <c r="N50" s="53">
        <v>190</v>
      </c>
      <c r="O50" s="53">
        <v>140</v>
      </c>
      <c r="P50" s="80"/>
      <c r="Q50" s="2"/>
      <c r="R50" s="30">
        <f t="shared" ref="R50:T50" si="96">H50-M50</f>
        <v>0</v>
      </c>
      <c r="S50" s="30">
        <f t="shared" si="96"/>
        <v>-20</v>
      </c>
      <c r="T50" s="30">
        <f t="shared" si="96"/>
        <v>-60</v>
      </c>
      <c r="U50" s="61"/>
      <c r="V50" s="2"/>
      <c r="W50" s="72">
        <f t="shared" ref="W50:Y50" si="97">(R50/M50)</f>
        <v>0</v>
      </c>
      <c r="X50" s="72">
        <f t="shared" si="97"/>
        <v>-0.1052631579</v>
      </c>
      <c r="Y50" s="72">
        <f t="shared" si="97"/>
        <v>-0.4285714286</v>
      </c>
      <c r="Z50" s="66"/>
      <c r="AA50" s="2"/>
      <c r="AB50" s="2"/>
    </row>
    <row r="51" ht="13.5" customHeight="1" hidden="1" spans="1:28" x14ac:dyDescent="0.25">
      <c r="A51" s="76" t="s">
        <v>116</v>
      </c>
      <c r="B51" s="68" t="s">
        <v>117</v>
      </c>
      <c r="C51" s="2"/>
      <c r="D51" s="2" t="s">
        <v>89</v>
      </c>
      <c r="E51" s="2" t="str">
        <f t="shared" ref="E51:E57" si="98">B51&amp;D51</f>
        <v>86790-BZ350GW</v>
      </c>
      <c r="F51" s="2"/>
      <c r="G51" s="2"/>
      <c r="H51" s="62">
        <f>IFERROR(VLOOKUP($E51,Analyze!$B$62:$F$102,2,0),0)</f>
        <v>0</v>
      </c>
      <c r="I51" s="30">
        <f>IFERROR(VLOOKUP($E51,Analyze!$B$62:$F$104,3,0),0)</f>
        <v>883</v>
      </c>
      <c r="J51" s="30">
        <f>IFERROR(VLOOKUP($E51,Analyze!$B$62:$F$104,4,0),0)</f>
        <v>1727</v>
      </c>
      <c r="K51" s="30">
        <f>IFERROR(VLOOKUP($E51,Analyze!$B$62:$F$104,5,0),0)</f>
        <v>1877</v>
      </c>
      <c r="L51" s="30"/>
      <c r="M51" s="53">
        <v>1540</v>
      </c>
      <c r="N51" s="53">
        <v>1527</v>
      </c>
      <c r="O51" s="53">
        <v>2024</v>
      </c>
      <c r="P51" s="80"/>
      <c r="Q51" s="2"/>
      <c r="R51" s="30">
        <f t="shared" ref="R51:T51" si="99">H51-M51</f>
        <v>-1540</v>
      </c>
      <c r="S51" s="30">
        <f t="shared" si="99"/>
        <v>-644</v>
      </c>
      <c r="T51" s="30">
        <f t="shared" si="99"/>
        <v>-297</v>
      </c>
      <c r="U51" s="61"/>
      <c r="V51" s="2"/>
      <c r="W51" s="65">
        <f t="shared" ref="W51:Y51" si="100">(R51/M51)</f>
        <v>-1</v>
      </c>
      <c r="X51" s="65">
        <f t="shared" si="100"/>
        <v>-0.4217419777</v>
      </c>
      <c r="Y51" s="65">
        <f t="shared" si="100"/>
        <v>-0.1467391304</v>
      </c>
      <c r="Z51" s="66"/>
      <c r="AA51" s="2"/>
      <c r="AB51" s="2"/>
    </row>
    <row r="52" ht="13.5" customHeight="1" hidden="1" spans="1:28" x14ac:dyDescent="0.25">
      <c r="A52" s="76" t="s">
        <v>118</v>
      </c>
      <c r="B52" s="68" t="s">
        <v>118</v>
      </c>
      <c r="C52" s="2"/>
      <c r="D52" s="2" t="s">
        <v>65</v>
      </c>
      <c r="E52" s="2" t="str">
        <f t="shared" si="98"/>
        <v>86790-0K310BP</v>
      </c>
      <c r="F52" s="2"/>
      <c r="G52" s="2"/>
      <c r="H52" s="62">
        <f>IFERROR(VLOOKUP($E52,Analyze!$B$62:$F$102,2,0),0)</f>
        <v>1874</v>
      </c>
      <c r="I52" s="30">
        <f>IFERROR(VLOOKUP($E52,Analyze!$B$62:$F$104,3,0),0)</f>
        <v>1871</v>
      </c>
      <c r="J52" s="30">
        <f>IFERROR(VLOOKUP($E52,Analyze!$B$62:$F$104,4,0),0)</f>
        <v>3117</v>
      </c>
      <c r="K52" s="30">
        <f>IFERROR(VLOOKUP($E52,Analyze!$B$62:$F$104,5,0),0)</f>
        <v>2361</v>
      </c>
      <c r="L52" s="30"/>
      <c r="M52" s="53">
        <v>1870</v>
      </c>
      <c r="N52" s="53">
        <v>1852</v>
      </c>
      <c r="O52" s="53">
        <v>3158</v>
      </c>
      <c r="P52" s="80"/>
      <c r="Q52" s="2"/>
      <c r="R52" s="30">
        <f t="shared" ref="R52:T52" si="101">H52-M52</f>
        <v>4</v>
      </c>
      <c r="S52" s="30">
        <f t="shared" si="101"/>
        <v>19</v>
      </c>
      <c r="T52" s="30">
        <f t="shared" si="101"/>
        <v>-41</v>
      </c>
      <c r="U52" s="61"/>
      <c r="V52" s="2"/>
      <c r="W52" s="72">
        <f t="shared" ref="W52:Y52" si="102">(R52/M52)</f>
        <v>0.002139037433</v>
      </c>
      <c r="X52" s="72">
        <f t="shared" si="102"/>
        <v>0.01025917927</v>
      </c>
      <c r="Y52" s="72">
        <f t="shared" si="102"/>
        <v>-0.01298290057</v>
      </c>
      <c r="Z52" s="66"/>
      <c r="AA52" s="2"/>
      <c r="AB52" s="2"/>
    </row>
    <row r="53" ht="13.5" customHeight="1" hidden="1" spans="1:28" x14ac:dyDescent="0.25">
      <c r="A53" s="76" t="s">
        <v>119</v>
      </c>
      <c r="B53" s="68" t="s">
        <v>119</v>
      </c>
      <c r="C53" s="2"/>
      <c r="D53" s="2" t="s">
        <v>65</v>
      </c>
      <c r="E53" s="2" t="str">
        <f t="shared" si="98"/>
        <v>86790-0K400BP</v>
      </c>
      <c r="F53" s="2"/>
      <c r="G53" s="2"/>
      <c r="H53" s="62">
        <f>IFERROR(VLOOKUP($E53,Analyze!$B$62:$F$102,2,0),0)</f>
        <v>1874</v>
      </c>
      <c r="I53" s="30">
        <f>IFERROR(VLOOKUP($E53,Analyze!$B$62:$F$104,3,0),0)</f>
        <v>1871</v>
      </c>
      <c r="J53" s="30">
        <f>IFERROR(VLOOKUP($E53,Analyze!$B$62:$F$104,4,0),0)</f>
        <v>3117</v>
      </c>
      <c r="K53" s="30">
        <f>IFERROR(VLOOKUP($E53,Analyze!$B$62:$F$104,5,0),0)</f>
        <v>2361</v>
      </c>
      <c r="L53" s="30"/>
      <c r="M53" s="53">
        <v>1870</v>
      </c>
      <c r="N53" s="53">
        <v>1852</v>
      </c>
      <c r="O53" s="53">
        <v>3158</v>
      </c>
      <c r="P53" s="80"/>
      <c r="Q53" s="2"/>
      <c r="R53" s="30">
        <f t="shared" ref="R53:T53" si="103">H53-M53</f>
        <v>4</v>
      </c>
      <c r="S53" s="30">
        <f t="shared" si="103"/>
        <v>19</v>
      </c>
      <c r="T53" s="30">
        <f t="shared" si="103"/>
        <v>-41</v>
      </c>
      <c r="U53" s="61"/>
      <c r="V53" s="2"/>
      <c r="W53" s="72">
        <f t="shared" ref="W53:Y53" si="104">(R53/M53)</f>
        <v>0.002139037433</v>
      </c>
      <c r="X53" s="72">
        <f t="shared" si="104"/>
        <v>0.01025917927</v>
      </c>
      <c r="Y53" s="72">
        <f t="shared" si="104"/>
        <v>-0.01298290057</v>
      </c>
      <c r="Z53" s="66"/>
      <c r="AA53" s="2"/>
      <c r="AB53" s="2"/>
    </row>
    <row r="54" ht="13.5" customHeight="1" hidden="1" spans="1:28" x14ac:dyDescent="0.25">
      <c r="A54" s="76" t="s">
        <v>118</v>
      </c>
      <c r="B54" s="68" t="s">
        <v>118</v>
      </c>
      <c r="C54" s="2"/>
      <c r="D54" s="2" t="s">
        <v>56</v>
      </c>
      <c r="E54" s="2" t="str">
        <f t="shared" si="98"/>
        <v>86790-0K310SR</v>
      </c>
      <c r="F54" s="2"/>
      <c r="G54" s="2"/>
      <c r="H54" s="62">
        <f>IFERROR(VLOOKUP($E54,Analyze!$B$62:$F$102,2,0),0)</f>
        <v>98</v>
      </c>
      <c r="I54" s="30">
        <f>IFERROR(VLOOKUP($E54,Analyze!$B$62:$F$104,3,0),0)</f>
        <v>70</v>
      </c>
      <c r="J54" s="30">
        <f>IFERROR(VLOOKUP($E54,Analyze!$B$62:$F$104,4,0),0)</f>
        <v>76</v>
      </c>
      <c r="K54" s="30">
        <f>IFERROR(VLOOKUP($E54,Analyze!$B$62:$F$104,5,0),0)</f>
        <v>364</v>
      </c>
      <c r="L54" s="30"/>
      <c r="M54" s="53">
        <v>98</v>
      </c>
      <c r="N54" s="53">
        <v>73</v>
      </c>
      <c r="O54" s="53">
        <v>78</v>
      </c>
      <c r="P54" s="80"/>
      <c r="Q54" s="2"/>
      <c r="R54" s="30">
        <f t="shared" ref="R54:T54" si="105">H54-M54</f>
        <v>0</v>
      </c>
      <c r="S54" s="30">
        <f t="shared" si="105"/>
        <v>-3</v>
      </c>
      <c r="T54" s="30">
        <f t="shared" si="105"/>
        <v>-2</v>
      </c>
      <c r="U54" s="61"/>
      <c r="V54" s="2"/>
      <c r="W54" s="72">
        <f t="shared" ref="W54:Y54" si="106">(R54/M54)</f>
        <v>0</v>
      </c>
      <c r="X54" s="72">
        <f t="shared" si="106"/>
        <v>-0.04109589041</v>
      </c>
      <c r="Y54" s="72">
        <f t="shared" si="106"/>
        <v>-0.02564102564</v>
      </c>
      <c r="Z54" s="66"/>
      <c r="AA54" s="2"/>
      <c r="AB54" s="2"/>
    </row>
    <row r="55" ht="13.5" customHeight="1" hidden="1" spans="1:28" x14ac:dyDescent="0.25">
      <c r="A55" s="76" t="s">
        <v>119</v>
      </c>
      <c r="B55" s="68" t="s">
        <v>119</v>
      </c>
      <c r="C55" s="2"/>
      <c r="D55" s="2" t="s">
        <v>56</v>
      </c>
      <c r="E55" s="2" t="str">
        <f t="shared" si="98"/>
        <v>86790-0K400SR</v>
      </c>
      <c r="F55" s="2"/>
      <c r="G55" s="2"/>
      <c r="H55" s="62">
        <f>IFERROR(VLOOKUP($E55,Analyze!$B$62:$F$102,2,0),0)</f>
        <v>98</v>
      </c>
      <c r="I55" s="30">
        <f>IFERROR(VLOOKUP($E55,Analyze!$B$62:$F$104,3,0),0)</f>
        <v>70</v>
      </c>
      <c r="J55" s="30">
        <f>IFERROR(VLOOKUP($E55,Analyze!$B$62:$F$104,4,0),0)</f>
        <v>76</v>
      </c>
      <c r="K55" s="30">
        <f>IFERROR(VLOOKUP($E55,Analyze!$B$62:$F$104,5,0),0)</f>
        <v>364</v>
      </c>
      <c r="L55" s="30"/>
      <c r="M55" s="53">
        <v>98</v>
      </c>
      <c r="N55" s="53">
        <v>73</v>
      </c>
      <c r="O55" s="53">
        <v>78</v>
      </c>
      <c r="P55" s="80"/>
      <c r="Q55" s="2"/>
      <c r="R55" s="30">
        <f t="shared" ref="R55:T55" si="107">H55-M55</f>
        <v>0</v>
      </c>
      <c r="S55" s="30">
        <f t="shared" si="107"/>
        <v>-3</v>
      </c>
      <c r="T55" s="30">
        <f t="shared" si="107"/>
        <v>-2</v>
      </c>
      <c r="U55" s="61"/>
      <c r="V55" s="2"/>
      <c r="W55" s="72">
        <f t="shared" ref="W55:Y55" si="108">(R55/M55)</f>
        <v>0</v>
      </c>
      <c r="X55" s="72">
        <f t="shared" si="108"/>
        <v>-0.04109589041</v>
      </c>
      <c r="Y55" s="72">
        <f t="shared" si="108"/>
        <v>-0.02564102564</v>
      </c>
      <c r="Z55" s="66"/>
      <c r="AA55" s="2"/>
      <c r="AB55" s="2"/>
    </row>
    <row r="56" ht="13.5" customHeight="1" hidden="1" spans="1:28" x14ac:dyDescent="0.25">
      <c r="A56" s="76" t="s">
        <v>118</v>
      </c>
      <c r="B56" s="68" t="s">
        <v>118</v>
      </c>
      <c r="C56" s="2"/>
      <c r="D56" s="2" t="s">
        <v>62</v>
      </c>
      <c r="E56" s="2" t="str">
        <f t="shared" si="98"/>
        <v>86790-0K310BPK</v>
      </c>
      <c r="F56" s="2"/>
      <c r="G56" s="2"/>
      <c r="H56" s="62">
        <f>IFERROR(VLOOKUP($E56,Analyze!$B$62:$F$102,2,0),0)</f>
        <v>0</v>
      </c>
      <c r="I56" s="30">
        <f>IFERROR(VLOOKUP($E56,Analyze!$B$62:$F$104,3,0),0)</f>
        <v>0</v>
      </c>
      <c r="J56" s="30">
        <f>IFERROR(VLOOKUP($E56,Analyze!$B$62:$F$104,4,0),0)</f>
        <v>2040</v>
      </c>
      <c r="K56" s="30">
        <f>IFERROR(VLOOKUP($E56,Analyze!$B$62:$F$104,5,0),0)</f>
        <v>2160</v>
      </c>
      <c r="L56" s="30"/>
      <c r="M56" s="53">
        <v>0</v>
      </c>
      <c r="N56" s="53">
        <v>0</v>
      </c>
      <c r="O56" s="53">
        <v>1080</v>
      </c>
      <c r="P56" s="80"/>
      <c r="Q56" s="2"/>
      <c r="R56" s="2"/>
      <c r="S56" s="2"/>
      <c r="T56" s="2"/>
      <c r="U56" s="61"/>
      <c r="V56" s="2"/>
      <c r="W56" s="72"/>
      <c r="X56" s="72"/>
      <c r="Y56" s="72"/>
      <c r="Z56" s="66"/>
      <c r="AA56" s="2"/>
      <c r="AB56" s="2"/>
    </row>
    <row r="57" ht="13.5" customHeight="1" hidden="1" spans="1:28" x14ac:dyDescent="0.25">
      <c r="A57" s="76" t="s">
        <v>119</v>
      </c>
      <c r="B57" s="68" t="s">
        <v>119</v>
      </c>
      <c r="C57" s="2"/>
      <c r="D57" s="2" t="s">
        <v>62</v>
      </c>
      <c r="E57" s="2" t="str">
        <f t="shared" si="98"/>
        <v>86790-0K400BPK</v>
      </c>
      <c r="F57" s="2"/>
      <c r="G57" s="2"/>
      <c r="H57" s="62">
        <f>IFERROR(VLOOKUP($E57,Analyze!$B$62:$F$102,2,0),0)</f>
        <v>0</v>
      </c>
      <c r="I57" s="30">
        <f>IFERROR(VLOOKUP($E57,Analyze!$B$62:$F$104,3,0),0)</f>
        <v>0</v>
      </c>
      <c r="J57" s="30">
        <f>IFERROR(VLOOKUP($E57,Analyze!$B$62:$F$104,4,0),0)</f>
        <v>2100</v>
      </c>
      <c r="K57" s="30">
        <f>IFERROR(VLOOKUP($E57,Analyze!$B$62:$F$104,5,0),0)</f>
        <v>2100</v>
      </c>
      <c r="L57" s="30"/>
      <c r="M57" s="53">
        <v>0</v>
      </c>
      <c r="N57" s="53">
        <v>0</v>
      </c>
      <c r="O57" s="53">
        <v>1092</v>
      </c>
      <c r="P57" s="80"/>
      <c r="Q57" s="2"/>
      <c r="R57" s="2"/>
      <c r="S57" s="2"/>
      <c r="T57" s="2"/>
      <c r="U57" s="61"/>
      <c r="V57" s="2"/>
      <c r="W57" s="72"/>
      <c r="X57" s="72"/>
      <c r="Y57" s="72"/>
      <c r="Z57" s="66"/>
      <c r="AA57" s="2"/>
      <c r="AB57" s="2"/>
    </row>
    <row r="58" ht="13.5" customHeight="1" hidden="1" spans="1:28" x14ac:dyDescent="0.25">
      <c r="A58" s="1"/>
      <c r="B58" s="1"/>
      <c r="C58" s="1"/>
      <c r="D58" s="5"/>
      <c r="E58" s="5"/>
      <c r="F58" s="5"/>
      <c r="G58" s="89" t="s">
        <v>120</v>
      </c>
      <c r="H58" s="90">
        <f t="shared" ref="H58:K58" si="109">SUM(H7:H57)</f>
        <v>62275</v>
      </c>
      <c r="I58" s="90">
        <f t="shared" si="109"/>
        <v>67859</v>
      </c>
      <c r="J58" s="90">
        <f t="shared" si="109"/>
        <v>72308</v>
      </c>
      <c r="K58" s="90">
        <f t="shared" si="109"/>
        <v>68840</v>
      </c>
      <c r="L58" s="91">
        <f>SUM(H58:K58)</f>
        <v>271282</v>
      </c>
      <c r="M58" s="90">
        <f t="shared" ref="M58:O58" si="110">SUM(M7:M55)</f>
        <v>66350</v>
      </c>
      <c r="N58" s="90">
        <f t="shared" si="110"/>
        <v>69173</v>
      </c>
      <c r="O58" s="90">
        <f t="shared" si="110"/>
        <v>69593</v>
      </c>
      <c r="P58" s="30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3.5" customHeight="1" hidden="1" spans="1:28" x14ac:dyDescent="0.25">
      <c r="A59" s="6" t="s">
        <v>121</v>
      </c>
      <c r="B59" s="6"/>
      <c r="C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3.5" customHeight="1" hidden="1" spans="1:28" x14ac:dyDescent="0.25">
      <c r="A60" s="2" t="s">
        <v>122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3.5" customHeight="1" hidden="1" spans="1:28" x14ac:dyDescent="0.25">
      <c r="A61" s="74" t="s">
        <v>75</v>
      </c>
      <c r="B61" s="74"/>
      <c r="C61" s="74"/>
      <c r="D61" s="74" t="s">
        <v>62</v>
      </c>
      <c r="E61" s="74"/>
      <c r="F61" s="74" t="s">
        <v>63</v>
      </c>
      <c r="G61" s="74">
        <v>25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3.5" customHeight="1" hidden="1" spans="1:28" x14ac:dyDescent="0.25">
      <c r="A62" s="92" t="s">
        <v>77</v>
      </c>
      <c r="B62" s="74"/>
      <c r="C62" s="74"/>
      <c r="D62" s="74" t="s">
        <v>62</v>
      </c>
      <c r="E62" s="74"/>
      <c r="F62" s="74" t="s">
        <v>63</v>
      </c>
      <c r="G62" s="74">
        <v>18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3.5" customHeight="1" spans="1:28" x14ac:dyDescent="0.25">
      <c r="A63" s="92" t="s">
        <v>123</v>
      </c>
      <c r="B63" s="2"/>
      <c r="C63" s="2"/>
      <c r="D63" s="2" t="s">
        <v>62</v>
      </c>
      <c r="E63" s="2"/>
      <c r="F63" s="2" t="s">
        <v>63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3.5" customHeight="1" hidden="1" spans="1:28" x14ac:dyDescent="0.25">
      <c r="A64" s="93" t="s">
        <v>124</v>
      </c>
      <c r="B64" s="93" t="s">
        <v>114</v>
      </c>
      <c r="C64" s="94" t="s">
        <v>61</v>
      </c>
      <c r="D64" s="94" t="s">
        <v>65</v>
      </c>
      <c r="E64" s="94" t="str">
        <f t="shared" ref="E64:E65" si="111">B64&amp;D64</f>
        <v>86790-0K190BP</v>
      </c>
      <c r="F64" s="94" t="s">
        <v>57</v>
      </c>
      <c r="G64" s="94">
        <v>6</v>
      </c>
      <c r="H64" s="2"/>
      <c r="I64" s="94">
        <f>IFERROR(VLOOKUP($E64,Analyze!$B$62:$F$97,3,0),0)</f>
        <v>603</v>
      </c>
      <c r="J64" s="94">
        <f>IFERROR(VLOOKUP($E64,Analyze!$B$62:$F$97,4,0),0)</f>
        <v>604</v>
      </c>
      <c r="K64" s="94">
        <f>IFERROR(VLOOKUP($E64,Analyze!$B$62:$F$97,5,0),0)</f>
        <v>379</v>
      </c>
      <c r="L64" s="95"/>
      <c r="M64" s="94">
        <v>87</v>
      </c>
      <c r="N64" s="94">
        <v>120</v>
      </c>
      <c r="O64" s="94">
        <v>90</v>
      </c>
      <c r="P64" s="94"/>
      <c r="Q64" s="94"/>
      <c r="R64" s="94">
        <f t="shared" ref="R64:T64" si="112">H64-M64</f>
        <v>-87</v>
      </c>
      <c r="S64" s="94">
        <f t="shared" si="112"/>
        <v>483</v>
      </c>
      <c r="T64" s="94">
        <f t="shared" si="112"/>
        <v>514</v>
      </c>
      <c r="U64" s="94"/>
      <c r="V64" s="94"/>
      <c r="W64" s="65">
        <f t="shared" ref="W64:Y64" si="113">(R64/M64)</f>
        <v>-1</v>
      </c>
      <c r="X64" s="65">
        <f t="shared" si="113"/>
        <v>4.025</v>
      </c>
      <c r="Y64" s="65">
        <f t="shared" si="113"/>
        <v>5.711111111</v>
      </c>
      <c r="Z64" s="65"/>
      <c r="AA64" s="94"/>
      <c r="AB64" s="94"/>
    </row>
    <row r="65" ht="13.5" customHeight="1" hidden="1" spans="1:28" x14ac:dyDescent="0.25">
      <c r="A65" s="93" t="s">
        <v>115</v>
      </c>
      <c r="B65" s="93" t="s">
        <v>114</v>
      </c>
      <c r="C65" s="94" t="s">
        <v>61</v>
      </c>
      <c r="D65" s="94" t="s">
        <v>62</v>
      </c>
      <c r="E65" s="94" t="str">
        <f t="shared" si="111"/>
        <v>86790-0K190BPK</v>
      </c>
      <c r="F65" s="94" t="s">
        <v>90</v>
      </c>
      <c r="G65" s="94"/>
      <c r="H65" s="2"/>
      <c r="I65" s="94">
        <f>IFERROR(VLOOKUP($E65,Analyze!$B$62:$F$97,3,0),0)</f>
        <v>4032</v>
      </c>
      <c r="J65" s="94">
        <f>IFERROR(VLOOKUP($E65,Analyze!$B$62:$F$97,4,0),0)</f>
        <v>3780</v>
      </c>
      <c r="K65" s="94">
        <f>IFERROR(VLOOKUP($E65,Analyze!$B$62:$F$97,5,0),0)</f>
        <v>3570</v>
      </c>
      <c r="L65" s="96"/>
      <c r="M65" s="94">
        <v>3318</v>
      </c>
      <c r="N65" s="94">
        <v>3402</v>
      </c>
      <c r="O65" s="94">
        <v>2142</v>
      </c>
      <c r="P65" s="94"/>
      <c r="Q65" s="94"/>
      <c r="R65" s="94">
        <f t="shared" ref="R65:T65" si="114">H65-M65</f>
        <v>-3318</v>
      </c>
      <c r="S65" s="94">
        <f t="shared" si="114"/>
        <v>630</v>
      </c>
      <c r="T65" s="94">
        <f t="shared" si="114"/>
        <v>1638</v>
      </c>
      <c r="U65" s="94"/>
      <c r="V65" s="94"/>
      <c r="W65" s="65">
        <f t="shared" ref="W65:Y65" si="115">(R65/M65)</f>
        <v>-1</v>
      </c>
      <c r="X65" s="65">
        <f t="shared" si="115"/>
        <v>0.1851851852</v>
      </c>
      <c r="Y65" s="65">
        <f t="shared" si="115"/>
        <v>0.7647058824</v>
      </c>
      <c r="Z65" s="65"/>
      <c r="AA65" s="94"/>
      <c r="AB65" s="94"/>
    </row>
    <row r="66" ht="13.5" customHeight="1" spans="1:2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3.5" customHeight="1" spans="1:2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3.5" customHeight="1" spans="1:2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3.5" customHeight="1" spans="1:2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3.5" customHeight="1" spans="1:2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3.5" customHeight="1" spans="1:2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3.5" customHeight="1" spans="1:2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3.5" customHeight="1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3.5" customHeight="1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3.5" customHeight="1" spans="1:2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3.5" customHeight="1" spans="1:2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3.5" customHeight="1" spans="1:2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3.5" customHeight="1" spans="1:2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3.5" customHeight="1" spans="1:2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3.5" customHeight="1" spans="1:2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3.5" customHeight="1" spans="1:2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3.5" customHeight="1" spans="1:2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3.5" customHeight="1" spans="1:2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3.5" customHeight="1" spans="1:2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3.5" customHeight="1" spans="1:2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3.5" customHeight="1" spans="1:2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3.5" customHeight="1" spans="1:2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3.5" customHeight="1" spans="1:2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3.5" customHeight="1" spans="1:2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3.5" customHeight="1" spans="1:2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3.5" customHeight="1" spans="1:2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3.5" customHeight="1" spans="1:2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3.5" customHeight="1" spans="1:2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3.5" customHeight="1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3.5" customHeight="1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3.5" customHeight="1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3.5" customHeight="1" spans="1:2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3.5" customHeight="1" spans="1:2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3.5" customHeight="1" spans="1:2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3.5" customHeight="1" spans="1:2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3.5" customHeight="1" spans="1:2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3.5" customHeight="1" spans="1:2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3.5" customHeight="1" spans="1:2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3.5" customHeight="1" spans="1:2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3.5" customHeight="1" spans="1:2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3.5" customHeight="1" spans="1:2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3.5" customHeight="1" spans="1:2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3.5" customHeight="1" spans="1:2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3.5" customHeight="1" spans="1:2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3.5" customHeight="1" spans="1:2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3.5" customHeight="1" spans="1:2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3.5" customHeight="1" spans="1:2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3.5" customHeight="1" spans="1:2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3.5" customHeight="1" spans="1:2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3.5" customHeight="1" spans="1:2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3.5" customHeight="1" spans="1:2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3.5" customHeight="1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3.5" customHeight="1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3.5" customHeight="1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3.5" customHeight="1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3.5" customHeight="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3.5" customHeight="1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3.5" customHeight="1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3.5" customHeight="1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3.5" customHeight="1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3.5" customHeight="1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3.5" customHeight="1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3.5" customHeight="1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3.5" customHeight="1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3.5" customHeight="1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3.5" customHeight="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3.5" customHeight="1" spans="1:2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3.5" customHeight="1" spans="1:2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3.5" customHeight="1" spans="1:2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3.5" customHeight="1" spans="1:2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3.5" customHeight="1" spans="1:2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3.5" customHeight="1" spans="1:2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3.5" customHeight="1" spans="1:2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3.5" customHeight="1" spans="1:2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3.5" customHeight="1" spans="1:2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3.5" customHeight="1" spans="1:2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3.5" customHeight="1" spans="1:2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3.5" customHeight="1" spans="1:2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3.5" customHeight="1" spans="1:2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3.5" customHeight="1" spans="1:2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3.5" customHeight="1" spans="1:2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3.5" customHeight="1" spans="1:2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3.5" customHeight="1" spans="1:2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3.5" customHeight="1" spans="1:2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3.5" customHeight="1" spans="1:2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3.5" customHeight="1" spans="1:2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3.5" customHeight="1" spans="1:2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3.5" customHeight="1" spans="1:2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3.5" customHeight="1" spans="1:2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3.5" customHeight="1" spans="1:2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3.5" customHeight="1" spans="1:2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3.5" customHeight="1" spans="1:2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3.5" customHeight="1" spans="1:2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3.5" customHeight="1" spans="1:2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3.5" customHeight="1" spans="1:2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3.5" customHeight="1" spans="1:2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3.5" customHeight="1" spans="1:2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3.5" customHeight="1" spans="1:2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3.5" customHeight="1" spans="1:2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3.5" customHeight="1" spans="1:2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3.5" customHeight="1" spans="1:2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3.5" customHeight="1" spans="1:2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3.5" customHeight="1" spans="1:2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3.5" customHeight="1" spans="1:2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3.5" customHeight="1" spans="1:2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3.5" customHeight="1" spans="1:2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3.5" customHeight="1" spans="1:2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3.5" customHeight="1" spans="1:2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3.5" customHeight="1" spans="1:2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3.5" customHeight="1" spans="1:2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3.5" customHeight="1" spans="1:2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3.5" customHeight="1" spans="1:2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3.5" customHeight="1" spans="1:2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3.5" customHeight="1" spans="1:2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3.5" customHeight="1" spans="1:2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3.5" customHeight="1" spans="1:2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3.5" customHeight="1" spans="1:2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3.5" customHeight="1" spans="1:2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3.5" customHeight="1" spans="1:2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3.5" customHeight="1" spans="1:2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3.5" customHeight="1" spans="1:2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3.5" customHeight="1" spans="1:2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3.5" customHeight="1" spans="1:2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3.5" customHeight="1" spans="1:2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3.5" customHeight="1" spans="1:2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3.5" customHeight="1" spans="1:2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3.5" customHeight="1" spans="1:2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3.5" customHeight="1" spans="1:2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3.5" customHeight="1" spans="1:2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3.5" customHeight="1" spans="1:2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3.5" customHeight="1" spans="1:2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3.5" customHeight="1" spans="1:2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3.5" customHeight="1" spans="1:2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3.5" customHeight="1" spans="1:2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3.5" customHeight="1" spans="1:2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3.5" customHeight="1" spans="1:2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3.5" customHeight="1" spans="1:2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3.5" customHeight="1" spans="1:2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3.5" customHeight="1" spans="1:2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3.5" customHeight="1" spans="1:2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3.5" customHeight="1" spans="1:2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3.5" customHeight="1" spans="1:2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3.5" customHeight="1" spans="1:2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3.5" customHeight="1" spans="1:2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3.5" customHeight="1" spans="1:2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3.5" customHeight="1" spans="1:2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3.5" customHeight="1" spans="1:2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3.5" customHeight="1" spans="1:2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3.5" customHeight="1" spans="1:2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3.5" customHeight="1" spans="1:2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3.5" customHeight="1" spans="1:2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3.5" customHeight="1" spans="1:2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3.5" customHeight="1" spans="1:2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3.5" customHeight="1" spans="1:2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3.5" customHeight="1" spans="1:2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3.5" customHeight="1" spans="1:2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3.5" customHeight="1" spans="1:2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3.5" customHeight="1" spans="1:2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3.5" customHeight="1" spans="1:2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3.5" customHeight="1" spans="1:2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3.5" customHeight="1" spans="1:2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3.5" customHeight="1" spans="1:2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3.5" customHeight="1" spans="1:2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3.5" customHeight="1" spans="1:2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3.5" customHeight="1" spans="1:2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3.5" customHeight="1" spans="1:2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3.5" customHeight="1" spans="1:2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3.5" customHeight="1" spans="1:2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3.5" customHeight="1" spans="1:2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3.5" customHeight="1" spans="1:2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3.5" customHeight="1" spans="1:2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3.5" customHeight="1" spans="1:2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3.5" customHeight="1" spans="1:2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3.5" customHeight="1" spans="1:2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3.5" customHeight="1" spans="1:2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3.5" customHeight="1" spans="1:2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3.5" customHeight="1" spans="1:2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3.5" customHeight="1" spans="1:2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3.5" customHeight="1" spans="1:2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3.5" customHeight="1" spans="1:2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3.5" customHeight="1" spans="1:2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3.5" customHeight="1" spans="1:2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3.5" customHeight="1" spans="1:2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3.5" customHeight="1" spans="1:2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3.5" customHeight="1" spans="1:2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3.5" customHeight="1" spans="1:2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3.5" customHeight="1" spans="1:2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3.5" customHeight="1" spans="1:2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3.5" customHeight="1" spans="1:2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3.5" customHeight="1" spans="1:2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3.5" customHeight="1" spans="1:2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3.5" customHeight="1" spans="1:2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3.5" customHeight="1" spans="1:2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3.5" customHeight="1" spans="1:2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3.5" customHeight="1" spans="1:2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3.5" customHeight="1" spans="1:2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3.5" customHeight="1" spans="1:2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3.5" customHeight="1" spans="1:2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3.5" customHeight="1" spans="1:2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3.5" customHeight="1" spans="1:2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3.5" customHeight="1" spans="1:2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3.5" customHeight="1" spans="1:2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3.5" customHeight="1" spans="1:2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3.5" customHeight="1" spans="1:2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3.5" customHeight="1" spans="1:2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3.5" customHeight="1" spans="1:2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3.5" customHeight="1" spans="1:2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3.5" customHeight="1" spans="1:2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3.5" customHeight="1" spans="1:2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3.5" customHeight="1" spans="1:2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3.5" customHeight="1" spans="1:2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3.5" customHeight="1" spans="1:2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3.5" customHeight="1" spans="1:2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3.5" customHeight="1" spans="1:2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3.5" customHeight="1" spans="1:2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3.5" customHeight="1" spans="1:2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3.5" customHeight="1" spans="1:2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3.5" customHeight="1" spans="1:2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3.5" customHeight="1" spans="1:2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3.5" customHeight="1" spans="1:2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3.5" customHeight="1" spans="1:2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3.5" customHeight="1" spans="1:2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3.5" customHeight="1" spans="1:2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3.5" customHeight="1" spans="1:2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3.5" customHeight="1" spans="1:2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3.5" customHeight="1" spans="1:2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3.5" customHeight="1" spans="1:2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3.5" customHeight="1" spans="1:2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3.5" customHeight="1" spans="1:2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3.5" customHeight="1" spans="1:2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3.5" customHeight="1" spans="1:2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3.5" customHeight="1" spans="1:2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3.5" customHeight="1" spans="1:2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3.5" customHeight="1" spans="1:2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3.5" customHeight="1" spans="1:2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3.5" customHeight="1" spans="1:2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3.5" customHeight="1" spans="1:2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3.5" customHeight="1" spans="1:2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3.5" customHeight="1" spans="1:2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3.5" customHeight="1" spans="1:2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3.5" customHeight="1" spans="1:2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3.5" customHeight="1" spans="1:2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3.5" customHeight="1" spans="1:2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3.5" customHeight="1" spans="1:2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3.5" customHeight="1" spans="1:2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3.5" customHeight="1" spans="1:2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3.5" customHeight="1" spans="1:2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3.5" customHeight="1" spans="1:2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3.5" customHeight="1" spans="1:2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3.5" customHeight="1" spans="1:2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3.5" customHeight="1" spans="1:2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3.5" customHeight="1" spans="1:2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3.5" customHeight="1" spans="1:2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3.5" customHeight="1" spans="1:2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3.5" customHeight="1" spans="1:2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3.5" customHeight="1" spans="1:2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3.5" customHeight="1" spans="1:2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3.5" customHeight="1" spans="1:2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3.5" customHeight="1" spans="1:2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3.5" customHeight="1" spans="1:2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3.5" customHeight="1" spans="1:2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3.5" customHeight="1" spans="1:2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3.5" customHeight="1" spans="1:2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3.5" customHeight="1" spans="1:2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3.5" customHeight="1" spans="1:2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3.5" customHeight="1" spans="1:2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3.5" customHeight="1" spans="1:2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3.5" customHeight="1" spans="1:2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3.5" customHeight="1" spans="1:2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3.5" customHeight="1" spans="1:2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3.5" customHeight="1" spans="1:2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3.5" customHeight="1" spans="1:2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3.5" customHeight="1" spans="1:2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3.5" customHeight="1" spans="1:2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3.5" customHeight="1" spans="1:2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3.5" customHeight="1" spans="1:2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3.5" customHeight="1" spans="1:2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3.5" customHeight="1" spans="1:2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3.5" customHeight="1" spans="1:2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3.5" customHeight="1" spans="1:2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3.5" customHeight="1" spans="1:2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3.5" customHeight="1" spans="1:2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3.5" customHeight="1" spans="1:2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3.5" customHeight="1" spans="1:2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3.5" customHeight="1" spans="1:2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3.5" customHeight="1" spans="1:2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3.5" customHeight="1" spans="1:2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3.5" customHeight="1" spans="1:2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3.5" customHeight="1" spans="1:2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3.5" customHeight="1" spans="1:2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3.5" customHeight="1" spans="1:2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3.5" customHeight="1" spans="1:2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3.5" customHeight="1" spans="1:2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3.5" customHeight="1" spans="1:2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3.5" customHeight="1" spans="1:2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3.5" customHeight="1" spans="1:2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3.5" customHeight="1" spans="1:2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3.5" customHeight="1" spans="1:2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3.5" customHeight="1" spans="1:2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3.5" customHeight="1" spans="1:2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3.5" customHeight="1" spans="1:2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3.5" customHeight="1" spans="1:2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3.5" customHeight="1" spans="1:2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3.5" customHeight="1" spans="1:2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3.5" customHeight="1" spans="1:2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3.5" customHeight="1" spans="1:2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3.5" customHeight="1" spans="1:2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3.5" customHeight="1" spans="1:2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3.5" customHeight="1" spans="1:2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3.5" customHeight="1" spans="1:2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3.5" customHeight="1" spans="1:2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3.5" customHeight="1" spans="1:2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3.5" customHeight="1" spans="1:2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3.5" customHeight="1" spans="1:2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3.5" customHeight="1" spans="1:2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3.5" customHeight="1" spans="1:2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3.5" customHeight="1" spans="1:2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3.5" customHeight="1" spans="1:2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3.5" customHeight="1" spans="1:2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3.5" customHeight="1" spans="1:2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3.5" customHeight="1" spans="1:2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3.5" customHeight="1" spans="1:2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3.5" customHeight="1" spans="1:2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3.5" customHeight="1" spans="1:2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3.5" customHeight="1" spans="1:2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3.5" customHeight="1" spans="1:2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3.5" customHeight="1" spans="1:2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3.5" customHeight="1" spans="1:2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3.5" customHeight="1" spans="1:2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3.5" customHeight="1" spans="1:2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3.5" customHeight="1" spans="1:2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3.5" customHeight="1" spans="1:2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3.5" customHeight="1" spans="1:2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3.5" customHeight="1" spans="1:2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3.5" customHeight="1" spans="1:2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3.5" customHeight="1" spans="1:2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3.5" customHeight="1" spans="1:2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3.5" customHeight="1" spans="1:2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3.5" customHeight="1" spans="1:2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3.5" customHeight="1" spans="1:2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3.5" customHeight="1" spans="1:2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3.5" customHeight="1" spans="1:2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3.5" customHeight="1" spans="1:2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3.5" customHeight="1" spans="1:2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3.5" customHeight="1" spans="1:2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3.5" customHeight="1" spans="1:2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3.5" customHeight="1" spans="1:2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3.5" customHeight="1" spans="1:2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3.5" customHeight="1" spans="1:2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3.5" customHeight="1" spans="1:2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3.5" customHeight="1" spans="1:2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3.5" customHeight="1" spans="1:2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3.5" customHeight="1" spans="1:2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3.5" customHeight="1" spans="1:2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3.5" customHeight="1" spans="1:2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3.5" customHeight="1" spans="1:2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3.5" customHeight="1" spans="1:2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3.5" customHeight="1" spans="1:2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3.5" customHeight="1" spans="1:2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3.5" customHeight="1" spans="1:2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3.5" customHeight="1" spans="1:2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3.5" customHeight="1" spans="1:2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3.5" customHeight="1" spans="1:2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3.5" customHeight="1" spans="1:2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3.5" customHeight="1" spans="1:2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3.5" customHeight="1" spans="1:2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3.5" customHeight="1" spans="1:2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3.5" customHeight="1" spans="1:2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3.5" customHeight="1" spans="1:2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3.5" customHeight="1" spans="1:2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3.5" customHeight="1" spans="1:2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3.5" customHeight="1" spans="1:2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3.5" customHeight="1" spans="1:2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3.5" customHeight="1" spans="1:2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3.5" customHeight="1" spans="1:2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3.5" customHeight="1" spans="1:2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3.5" customHeight="1" spans="1:2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3.5" customHeight="1" spans="1:2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3.5" customHeight="1" spans="1:2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3.5" customHeight="1" spans="1:2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3.5" customHeight="1" spans="1:2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3.5" customHeight="1" spans="1:2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3.5" customHeight="1" spans="1:2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3.5" customHeight="1" spans="1:2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3.5" customHeight="1" spans="1:2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3.5" customHeight="1" spans="1:2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3.5" customHeight="1" spans="1:2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3.5" customHeight="1" spans="1:2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3.5" customHeight="1" spans="1:2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3.5" customHeight="1" spans="1:2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3.5" customHeight="1" spans="1:2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3.5" customHeight="1" spans="1:2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3.5" customHeight="1" spans="1:2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3.5" customHeight="1" spans="1:2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3.5" customHeight="1" spans="1:2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3.5" customHeight="1" spans="1:2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3.5" customHeight="1" spans="1:2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3.5" customHeight="1" spans="1:2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3.5" customHeight="1" spans="1:2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3.5" customHeight="1" spans="1:2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3.5" customHeight="1" spans="1:2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3.5" customHeight="1" spans="1:2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3.5" customHeight="1" spans="1:2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3.5" customHeight="1" spans="1:2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3.5" customHeight="1" spans="1:2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3.5" customHeight="1" spans="1:2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3.5" customHeight="1" spans="1:2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3.5" customHeight="1" spans="1:2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3.5" customHeight="1" spans="1:2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3.5" customHeight="1" spans="1:2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3.5" customHeight="1" spans="1:2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3.5" customHeight="1" spans="1:2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3.5" customHeight="1" spans="1:2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3.5" customHeight="1" spans="1:2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3.5" customHeight="1" spans="1:2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3.5" customHeight="1" spans="1:2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3.5" customHeight="1" spans="1:2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3.5" customHeight="1" spans="1:2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3.5" customHeight="1" spans="1:2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3.5" customHeight="1" spans="1:2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3.5" customHeight="1" spans="1:2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3.5" customHeight="1" spans="1:2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3.5" customHeight="1" spans="1:2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3.5" customHeight="1" spans="1:2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3.5" customHeight="1" spans="1:2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3.5" customHeight="1" spans="1:2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3.5" customHeight="1" spans="1:2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3.5" customHeight="1" spans="1:2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3.5" customHeight="1" spans="1:2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3.5" customHeight="1" spans="1:2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3.5" customHeight="1" spans="1:2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3.5" customHeight="1" spans="1:2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3.5" customHeight="1" spans="1:2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3.5" customHeight="1" spans="1:2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3.5" customHeight="1" spans="1:2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3.5" customHeight="1" spans="1:2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3.5" customHeight="1" spans="1:2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3.5" customHeight="1" spans="1:2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3.5" customHeight="1" spans="1:2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3.5" customHeight="1" spans="1:2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3.5" customHeight="1" spans="1:2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3.5" customHeight="1" spans="1:2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3.5" customHeight="1" spans="1:2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3.5" customHeight="1" spans="1:2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3.5" customHeight="1" spans="1:2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3.5" customHeight="1" spans="1:2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3.5" customHeight="1" spans="1:2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3.5" customHeight="1" spans="1:2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3.5" customHeight="1" spans="1:2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3.5" customHeight="1" spans="1:2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3.5" customHeight="1" spans="1:2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3.5" customHeight="1" spans="1:2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3.5" customHeight="1" spans="1:2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3.5" customHeight="1" spans="1:2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3.5" customHeight="1" spans="1:2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3.5" customHeight="1" spans="1:2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3.5" customHeight="1" spans="1:2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3.5" customHeight="1" spans="1:2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3.5" customHeight="1" spans="1:2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3.5" customHeight="1" spans="1:2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3.5" customHeight="1" spans="1:2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3.5" customHeight="1" spans="1:2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3.5" customHeight="1" spans="1:2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3.5" customHeight="1" spans="1:2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3.5" customHeight="1" spans="1:2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3.5" customHeight="1" spans="1:2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3.5" customHeight="1" spans="1:2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3.5" customHeight="1" spans="1:2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3.5" customHeight="1" spans="1:2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3.5" customHeight="1" spans="1:2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3.5" customHeight="1" spans="1:2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3.5" customHeight="1" spans="1:2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3.5" customHeight="1" spans="1:2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3.5" customHeight="1" spans="1:2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3.5" customHeight="1" spans="1:2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3.5" customHeight="1" spans="1:2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3.5" customHeight="1" spans="1:2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3.5" customHeight="1" spans="1:2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3.5" customHeight="1" spans="1:2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3.5" customHeight="1" spans="1:2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3.5" customHeight="1" spans="1:2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3.5" customHeight="1" spans="1:2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3.5" customHeight="1" spans="1:2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3.5" customHeight="1" spans="1:2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3.5" customHeight="1" spans="1:2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3.5" customHeight="1" spans="1:2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3.5" customHeight="1" spans="1:2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3.5" customHeight="1" spans="1:2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3.5" customHeight="1" spans="1:2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3.5" customHeight="1" spans="1:2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3.5" customHeight="1" spans="1:2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3.5" customHeight="1" spans="1:2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3.5" customHeight="1" spans="1:2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3.5" customHeight="1" spans="1:2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3.5" customHeight="1" spans="1:2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3.5" customHeight="1" spans="1:2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3.5" customHeight="1" spans="1:2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3.5" customHeight="1" spans="1:2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3.5" customHeight="1" spans="1:2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3.5" customHeight="1" spans="1:2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3.5" customHeight="1" spans="1:2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3.5" customHeight="1" spans="1:2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3.5" customHeight="1" spans="1:2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3.5" customHeight="1" spans="1:2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3.5" customHeight="1" spans="1:2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3.5" customHeight="1" spans="1:2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3.5" customHeight="1" spans="1:2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3.5" customHeight="1" spans="1:2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3.5" customHeight="1" spans="1:2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3.5" customHeight="1" spans="1:2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3.5" customHeight="1" spans="1:2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3.5" customHeight="1" spans="1:2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3.5" customHeight="1" spans="1:2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3.5" customHeight="1" spans="1:2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3.5" customHeight="1" spans="1:2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3.5" customHeight="1" spans="1:2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3.5" customHeight="1" spans="1:2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3.5" customHeight="1" spans="1:2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3.5" customHeight="1" spans="1:2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3.5" customHeight="1" spans="1:2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3.5" customHeight="1" spans="1:2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3.5" customHeight="1" spans="1:2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3.5" customHeight="1" spans="1:2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3.5" customHeight="1" spans="1:2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3.5" customHeight="1" spans="1:2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3.5" customHeight="1" spans="1:2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3.5" customHeight="1" spans="1:2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3.5" customHeight="1" spans="1:2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3.5" customHeight="1" spans="1:2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3.5" customHeight="1" spans="1:2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3.5" customHeight="1" spans="1:2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3.5" customHeight="1" spans="1:2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3.5" customHeight="1" spans="1:2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3.5" customHeight="1" spans="1:2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3.5" customHeight="1" spans="1:2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3.5" customHeight="1" spans="1:2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3.5" customHeight="1" spans="1:2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3.5" customHeight="1" spans="1:2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3.5" customHeight="1" spans="1:2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3.5" customHeight="1" spans="1:2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3.5" customHeight="1" spans="1:2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3.5" customHeight="1" spans="1:2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3.5" customHeight="1" spans="1:2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3.5" customHeight="1" spans="1:2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3.5" customHeight="1" spans="1:2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3.5" customHeight="1" spans="1:2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3.5" customHeight="1" spans="1:2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3.5" customHeight="1" spans="1:2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3.5" customHeight="1" spans="1:2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3.5" customHeight="1" spans="1:2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3.5" customHeight="1" spans="1:2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3.5" customHeight="1" spans="1:2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3.5" customHeight="1" spans="1:2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3.5" customHeight="1" spans="1:2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3.5" customHeight="1" spans="1:2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3.5" customHeight="1" spans="1:2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3.5" customHeight="1" spans="1:2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3.5" customHeight="1" spans="1:2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3.5" customHeight="1" spans="1:2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3.5" customHeight="1" spans="1:2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3.5" customHeight="1" spans="1:2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3.5" customHeight="1" spans="1:2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3.5" customHeight="1" spans="1:2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3.5" customHeight="1" spans="1:2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3.5" customHeight="1" spans="1:2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3.5" customHeight="1" spans="1:2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3.5" customHeight="1" spans="1:2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3.5" customHeight="1" spans="1:2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3.5" customHeight="1" spans="1:2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3.5" customHeight="1" spans="1:2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3.5" customHeight="1" spans="1:2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3.5" customHeight="1" spans="1:2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3.5" customHeight="1" spans="1:2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3.5" customHeight="1" spans="1:2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3.5" customHeight="1" spans="1:2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3.5" customHeight="1" spans="1:2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3.5" customHeight="1" spans="1:2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3.5" customHeight="1" spans="1:2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3.5" customHeight="1" spans="1:2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3.5" customHeight="1" spans="1:2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3.5" customHeight="1" spans="1:2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3.5" customHeight="1" spans="1:2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3.5" customHeight="1" spans="1:2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3.5" customHeight="1" spans="1:2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3.5" customHeight="1" spans="1:2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3.5" customHeight="1" spans="1:2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3.5" customHeight="1" spans="1:2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3.5" customHeight="1" spans="1:2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3.5" customHeight="1" spans="1:2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3.5" customHeight="1" spans="1:2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3.5" customHeight="1" spans="1:2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3.5" customHeight="1" spans="1:2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3.5" customHeight="1" spans="1:2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3.5" customHeight="1" spans="1:2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3.5" customHeight="1" spans="1:2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3.5" customHeight="1" spans="1:2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3.5" customHeight="1" spans="1:2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3.5" customHeight="1" spans="1:2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3.5" customHeight="1" spans="1:2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3.5" customHeight="1" spans="1:2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3.5" customHeight="1" spans="1:2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3.5" customHeight="1" spans="1:2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3.5" customHeight="1" spans="1:2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3.5" customHeight="1" spans="1:2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3.5" customHeight="1" spans="1:2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3.5" customHeight="1" spans="1:2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3.5" customHeight="1" spans="1:2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3.5" customHeight="1" spans="1:2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3.5" customHeight="1" spans="1:2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3.5" customHeight="1" spans="1:2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3.5" customHeight="1" spans="1:2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3.5" customHeight="1" spans="1:2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3.5" customHeight="1" spans="1:2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3.5" customHeight="1" spans="1:2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3.5" customHeight="1" spans="1:2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3.5" customHeight="1" spans="1:2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3.5" customHeight="1" spans="1:2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3.5" customHeight="1" spans="1:2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3.5" customHeight="1" spans="1:2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3.5" customHeight="1" spans="1:2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3.5" customHeight="1" spans="1:2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3.5" customHeight="1" spans="1:2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3.5" customHeight="1" spans="1:2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3.5" customHeight="1" spans="1:2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3.5" customHeight="1" spans="1:2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3.5" customHeight="1" spans="1:2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3.5" customHeight="1" spans="1:2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3.5" customHeight="1" spans="1:2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3.5" customHeight="1" spans="1:2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3.5" customHeight="1" spans="1:2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3.5" customHeight="1" spans="1:2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3.5" customHeight="1" spans="1:2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3.5" customHeight="1" spans="1:2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3.5" customHeight="1" spans="1:2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3.5" customHeight="1" spans="1:2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3.5" customHeight="1" spans="1:2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3.5" customHeight="1" spans="1:2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3.5" customHeight="1" spans="1:2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3.5" customHeight="1" spans="1:2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3.5" customHeight="1" spans="1:2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3.5" customHeight="1" spans="1:2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3.5" customHeight="1" spans="1:2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3.5" customHeight="1" spans="1:2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3.5" customHeight="1" spans="1:2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3.5" customHeight="1" spans="1:2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3.5" customHeight="1" spans="1:2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3.5" customHeight="1" spans="1:2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3.5" customHeight="1" spans="1:2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3.5" customHeight="1" spans="1:2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3.5" customHeight="1" spans="1:2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3.5" customHeight="1" spans="1:2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3.5" customHeight="1" spans="1:2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3.5" customHeight="1" spans="1:2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3.5" customHeight="1" spans="1:2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3.5" customHeight="1" spans="1:2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3.5" customHeight="1" spans="1:2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3.5" customHeight="1" spans="1:2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3.5" customHeight="1" spans="1:2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3.5" customHeight="1" spans="1:2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3.5" customHeight="1" spans="1:2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3.5" customHeight="1" spans="1:2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3.5" customHeight="1" spans="1:2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3.5" customHeight="1" spans="1:2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3.5" customHeight="1" spans="1:2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3.5" customHeight="1" spans="1:2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3.5" customHeight="1" spans="1:2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3.5" customHeight="1" spans="1:2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3.5" customHeight="1" spans="1:2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3.5" customHeight="1" spans="1:2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3.5" customHeight="1" spans="1:2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3.5" customHeight="1" spans="1:2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3.5" customHeight="1" spans="1:2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3.5" customHeight="1" spans="1:2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3.5" customHeight="1" spans="1:2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3.5" customHeight="1" spans="1:2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3.5" customHeight="1" spans="1:2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3.5" customHeight="1" spans="1:2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3.5" customHeight="1" spans="1:2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3.5" customHeight="1" spans="1:2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3.5" customHeight="1" spans="1:2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3.5" customHeight="1" spans="1:2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3.5" customHeight="1" spans="1:2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3.5" customHeight="1" spans="1:2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3.5" customHeight="1" spans="1:2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3.5" customHeight="1" spans="1:2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3.5" customHeight="1" spans="1:2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3.5" customHeight="1" spans="1:2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3.5" customHeight="1" spans="1:2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3.5" customHeight="1" spans="1:2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3.5" customHeight="1" spans="1:2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3.5" customHeight="1" spans="1:2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3.5" customHeight="1" spans="1:2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3.5" customHeight="1" spans="1:2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3.5" customHeight="1" spans="1:2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3.5" customHeight="1" spans="1:2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3.5" customHeight="1" spans="1:2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3.5" customHeight="1" spans="1:2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3.5" customHeight="1" spans="1:2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3.5" customHeight="1" spans="1:2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3.5" customHeight="1" spans="1:2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3.5" customHeight="1" spans="1:2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3.5" customHeight="1" spans="1:2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3.5" customHeight="1" spans="1:2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3.5" customHeight="1" spans="1:2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3.5" customHeight="1" spans="1:2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3.5" customHeight="1" spans="1:2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3.5" customHeight="1" spans="1:2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3.5" customHeight="1" spans="1:2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3.5" customHeight="1" spans="1:2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3.5" customHeight="1" spans="1:2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3.5" customHeight="1" spans="1:2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3.5" customHeight="1" spans="1:2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3.5" customHeight="1" spans="1:2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3.5" customHeight="1" spans="1:2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3.5" customHeight="1" spans="1:2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3.5" customHeight="1" spans="1:2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3.5" customHeight="1" spans="1:2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3.5" customHeight="1" spans="1:2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3.5" customHeight="1" spans="1:2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3.5" customHeight="1" spans="1:2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3.5" customHeight="1" spans="1:2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3.5" customHeight="1" spans="1:2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3.5" customHeight="1" spans="1:2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3.5" customHeight="1" spans="1:2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3.5" customHeight="1" spans="1:2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3.5" customHeight="1" spans="1:2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3.5" customHeight="1" spans="1:2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3.5" customHeight="1" spans="1:2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3.5" customHeight="1" spans="1:2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3.5" customHeight="1" spans="1:2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3.5" customHeight="1" spans="1:2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3.5" customHeight="1" spans="1:2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3.5" customHeight="1" spans="1:2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3.5" customHeight="1" spans="1:2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3.5" customHeight="1" spans="1:2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3.5" customHeight="1" spans="1:2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3.5" customHeight="1" spans="1:2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3.5" customHeight="1" spans="1:2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3.5" customHeight="1" spans="1:2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3.5" customHeight="1" spans="1:2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3.5" customHeight="1" spans="1:2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3.5" customHeight="1" spans="1:2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3.5" customHeight="1" spans="1:2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3.5" customHeight="1" spans="1:2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3.5" customHeight="1" spans="1:2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3.5" customHeight="1" spans="1:2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3.5" customHeight="1" spans="1:2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3.5" customHeight="1" spans="1:2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3.5" customHeight="1" spans="1:2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3.5" customHeight="1" spans="1:2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3.5" customHeight="1" spans="1:2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3.5" customHeight="1" spans="1:2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3.5" customHeight="1" spans="1:2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3.5" customHeight="1" spans="1:2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3.5" customHeight="1" spans="1:2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3.5" customHeight="1" spans="1:2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3.5" customHeight="1" spans="1:2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3.5" customHeight="1" spans="1:2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3.5" customHeight="1" spans="1:2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3.5" customHeight="1" spans="1:2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3.5" customHeight="1" spans="1:2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3.5" customHeight="1" spans="1:2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3.5" customHeight="1" spans="1:2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3.5" customHeight="1" spans="1:2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3.5" customHeight="1" spans="1:2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3.5" customHeight="1" spans="1:2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3.5" customHeight="1" spans="1:2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3.5" customHeight="1" spans="1:2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3.5" customHeight="1" spans="1:2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3.5" customHeight="1" spans="1:2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3.5" customHeight="1" spans="1:2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3.5" customHeight="1" spans="1:2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3.5" customHeight="1" spans="1:2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3.5" customHeight="1" spans="1:2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3.5" customHeight="1" spans="1:2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3.5" customHeight="1" spans="1:2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3.5" customHeight="1" spans="1:2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3.5" customHeight="1" spans="1:2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3.5" customHeight="1" spans="1:2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3.5" customHeight="1" spans="1:2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3.5" customHeight="1" spans="1:2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3.5" customHeight="1" spans="1:2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3.5" customHeight="1" spans="1:2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3.5" customHeight="1" spans="1:2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3.5" customHeight="1" spans="1:2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3.5" customHeight="1" spans="1:2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3.5" customHeight="1" spans="1:2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3.5" customHeight="1" spans="1:2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3.5" customHeight="1" spans="1:2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3.5" customHeight="1" spans="1:2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3.5" customHeight="1" spans="1:2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3.5" customHeight="1" spans="1:2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3.5" customHeight="1" spans="1:2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3.5" customHeight="1" spans="1:2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3.5" customHeight="1" spans="1:2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3.5" customHeight="1" spans="1:2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3.5" customHeight="1" spans="1:2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3.5" customHeight="1" spans="1:2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3.5" customHeight="1" spans="1:2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3.5" customHeight="1" spans="1:2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3.5" customHeight="1" spans="1:2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3.5" customHeight="1" spans="1:2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3.5" customHeight="1" spans="1:2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3.5" customHeight="1" spans="1:2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3.5" customHeight="1" spans="1:2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3.5" customHeight="1" spans="1:2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3.5" customHeight="1" spans="1:2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3.5" customHeight="1" spans="1:2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3.5" customHeight="1" spans="1:2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3.5" customHeight="1" spans="1:2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3.5" customHeight="1" spans="1:2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3.5" customHeight="1" spans="1:2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3.5" customHeight="1" spans="1:2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3.5" customHeight="1" spans="1:2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3.5" customHeight="1" spans="1:2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3.5" customHeight="1" spans="1:2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3.5" customHeight="1" spans="1:2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3.5" customHeight="1" spans="1:2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3.5" customHeight="1" spans="1:2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3.5" customHeight="1" spans="1:2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3.5" customHeight="1" spans="1:2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3.5" customHeight="1" spans="1:2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3.5" customHeight="1" spans="1:2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3.5" customHeight="1" spans="1:2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3.5" customHeight="1" spans="1:2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3.5" customHeight="1" spans="1:2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3.5" customHeight="1" spans="1:2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3.5" customHeight="1" spans="1:2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3.5" customHeight="1" spans="1:2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3.5" customHeight="1" spans="1:2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3.5" customHeight="1" spans="1:2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3.5" customHeight="1" spans="1:2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3.5" customHeight="1" spans="1:2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3.5" customHeight="1" spans="1:2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3.5" customHeight="1" spans="1:2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3.5" customHeight="1" spans="1:2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3.5" customHeight="1" spans="1:2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3.5" customHeight="1" spans="1:2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3.5" customHeight="1" spans="1:2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3.5" customHeight="1" spans="1:2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3.5" customHeight="1" spans="1:2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3.5" customHeight="1" spans="1:2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3.5" customHeight="1" spans="1:2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3.5" customHeight="1" spans="1:2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3.5" customHeight="1" spans="1:2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3.5" customHeight="1" spans="1:2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3.5" customHeight="1" spans="1:2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3.5" customHeight="1" spans="1:2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3.5" customHeight="1" spans="1:2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3.5" customHeight="1" spans="1:2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3.5" customHeight="1" spans="1:2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3.5" customHeight="1" spans="1:2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3.5" customHeight="1" spans="1:2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3.5" customHeight="1" spans="1:2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3.5" customHeight="1" spans="1:2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3.5" customHeight="1" spans="1:2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3.5" customHeight="1" spans="1:2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3.5" customHeight="1" spans="1:2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3.5" customHeight="1" spans="1:2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3.5" customHeight="1" spans="1:2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3.5" customHeight="1" spans="1:2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3.5" customHeight="1" spans="1:2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3.5" customHeight="1" spans="1:2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3.5" customHeight="1" spans="1:2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3.5" customHeight="1" spans="1:2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3.5" customHeight="1" spans="1:2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3.5" customHeight="1" spans="1:2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3.5" customHeight="1" spans="1:2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3.5" customHeight="1" spans="1:2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3.5" customHeight="1" spans="1:2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3.5" customHeight="1" spans="1:2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3.5" customHeight="1" spans="1:2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3.5" customHeight="1" spans="1:2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3.5" customHeight="1" spans="1:2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3.5" customHeight="1" spans="1:2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3.5" customHeight="1" spans="1:2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3.5" customHeight="1" spans="1:2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3.5" customHeight="1" spans="1:2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3.5" customHeight="1" spans="1:2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3.5" customHeight="1" spans="1:2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3.5" customHeight="1" spans="1:2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3.5" customHeight="1" spans="1:2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3.5" customHeight="1" spans="1:2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3.5" customHeight="1" spans="1:2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3.5" customHeight="1" spans="1:2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3.5" customHeight="1" spans="1:2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3.5" customHeight="1" spans="1:2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3.5" customHeight="1" spans="1:2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3.5" customHeight="1" spans="1:2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3.5" customHeight="1" spans="1:2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3.5" customHeight="1" spans="1:2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3.5" customHeight="1" spans="1:2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3.5" customHeight="1" spans="1:2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3.5" customHeight="1" spans="1:2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3.5" customHeight="1" spans="1:2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3.5" customHeight="1" spans="1:2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3.5" customHeight="1" spans="1:2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3.5" customHeight="1" spans="1:2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3.5" customHeight="1" spans="1:2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3.5" customHeight="1" spans="1:2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3.5" customHeight="1" spans="1:2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3.5" customHeight="1" spans="1:2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3.5" customHeight="1" spans="1:2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3.5" customHeight="1" spans="1:2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3.5" customHeight="1" spans="1:2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3.5" customHeight="1" spans="1:2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3.5" customHeight="1" spans="1:2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3.5" customHeight="1" spans="1:2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3.5" customHeight="1" spans="1:2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3.5" customHeight="1" spans="1:2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3.5" customHeight="1" spans="1:2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3.5" customHeight="1" spans="1:2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3.5" customHeight="1" spans="1:2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3.5" customHeight="1" spans="1:2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3.5" customHeight="1" spans="1:2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3.5" customHeight="1" spans="1:2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3.5" customHeight="1" spans="1:2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3.5" customHeight="1" spans="1:2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3.5" customHeight="1" spans="1:2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3.5" customHeight="1" spans="1:2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3.5" customHeight="1" spans="1:2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3.5" customHeight="1" spans="1:2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3.5" customHeight="1" spans="1:2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3.5" customHeight="1" spans="1:2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3.5" customHeight="1" spans="1:2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3.5" customHeight="1" spans="1:2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3.5" customHeight="1" spans="1:2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3.5" customHeight="1" spans="1:2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3.5" customHeight="1" spans="1:2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3.5" customHeight="1" spans="1:2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3.5" customHeight="1" spans="1:2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3.5" customHeight="1" spans="1:2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3.5" customHeight="1" spans="1:2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3.5" customHeight="1" spans="1:2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3.5" customHeight="1" spans="1:2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autoFilter ref="$A$6:$AB$65"/>
  <conditionalFormatting sqref="W7:Y57">
    <cfRule type="cellIs" dxfId="28" priority="1" operator="lessThan">
      <formula>-0.1</formula>
    </cfRule>
  </conditionalFormatting>
  <conditionalFormatting sqref="W7:Y57">
    <cfRule type="cellIs" dxfId="29" priority="2" operator="greaterThan">
      <formula>0.1</formula>
    </cfRule>
  </conditionalFormatting>
  <conditionalFormatting sqref="W7:Y57">
    <cfRule type="cellIs" dxfId="30" priority="3" operator="lessThan">
      <formula>-0.2</formula>
    </cfRule>
  </conditionalFormatting>
  <conditionalFormatting sqref="W7:Y57">
    <cfRule type="cellIs" dxfId="31" priority="4" operator="greaterThan">
      <formula>0.2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R1000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" outlineLevelRow="1" outlineLevelCol="1" x14ac:dyDescent="0" defaultColWidth="14.43"/>
  <cols>
    <col min="1" max="1" width="6.71" customWidth="1"/>
    <col min="2" max="2" width="8.71" customWidth="1"/>
    <col min="3" max="3" width="12.71" customWidth="1"/>
    <col min="4" max="4" width="12.57" customWidth="1"/>
    <col min="5" max="5" width="21.71" customWidth="1"/>
    <col min="6" max="7" width="18.29" hidden="1" outlineLevel="1" collapsed="1" customWidth="1"/>
    <col min="8" max="8" width="14.29" hidden="1" outlineLevel="1" collapsed="1" customWidth="1"/>
    <col min="9" max="9" width="13.57" customWidth="1"/>
    <col min="10" max="10" width="29.29" customWidth="1"/>
    <col min="11" max="11" width="9.86" customWidth="1"/>
    <col min="12" max="12" width="18.29" customWidth="1"/>
    <col min="13" max="13" width="10.43" customWidth="1"/>
    <col min="14" max="14" width="7.71" hidden="1" outlineLevel="1" collapsed="1" customWidth="1"/>
    <col min="15" max="15" width="29.57" hidden="1" outlineLevel="1" collapsed="1" customWidth="1"/>
    <col min="16" max="19" width="9.86" customWidth="1"/>
    <col min="20" max="20" width="10" outlineLevel="1" collapsed="1" customWidth="1"/>
    <col min="21" max="21" width="9.29" customWidth="1"/>
    <col min="22" max="24" width="8.71" customWidth="1"/>
    <col min="25" max="25" width="5.71" customWidth="1"/>
    <col min="26" max="26" width="2.71" customWidth="1"/>
    <col min="27" max="27" width="6.43" customWidth="1"/>
    <col min="28" max="28" width="7.57" customWidth="1"/>
    <col min="29" max="29" width="7.71" customWidth="1"/>
    <col min="30" max="30" width="2" customWidth="1"/>
    <col min="31" max="33" width="8.29" hidden="1" outlineLevel="1" collapsed="1" customWidth="1"/>
    <col min="34" max="35" width="9.29" hidden="1" outlineLevel="1" collapsed="1" customWidth="1"/>
    <col min="36" max="38" width="8.29" customWidth="1"/>
    <col min="39" max="39" width="9.29" customWidth="1"/>
    <col min="40" max="40" width="5.29" customWidth="1"/>
    <col min="41" max="41" width="33" customWidth="1"/>
    <col min="42" max="42" width="37" customWidth="1"/>
    <col min="43" max="43" width="65" customWidth="1"/>
    <col min="44" max="44" width="32.43" customWidth="1"/>
  </cols>
  <sheetData>
    <row r="1" ht="24.75" customHeight="1" spans="1:44" x14ac:dyDescent="0.25">
      <c r="A1" s="2"/>
      <c r="B1" s="2"/>
      <c r="C1" s="2"/>
      <c r="D1" s="97" t="s">
        <v>125</v>
      </c>
      <c r="E1" s="98">
        <f>'By Plant'!C2</f>
        <v>46010</v>
      </c>
      <c r="F1" s="98"/>
      <c r="G1" s="98"/>
      <c r="H1" s="98"/>
      <c r="I1" s="99" t="str">
        <f>"Production Month:"&amp;'By Plant'!C3</f>
        <v>Production Month:Dec'25</v>
      </c>
      <c r="J1" s="2"/>
      <c r="K1" s="2"/>
      <c r="L1" s="2"/>
      <c r="M1" s="2"/>
      <c r="N1" s="2"/>
      <c r="O1" s="2"/>
      <c r="P1" s="2"/>
      <c r="Q1" s="2"/>
      <c r="R1" s="2"/>
      <c r="S1" s="2"/>
      <c r="T1" s="100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00"/>
      <c r="AO1" s="2"/>
      <c r="AP1" s="2"/>
      <c r="AQ1" s="2"/>
      <c r="AR1" s="2"/>
    </row>
    <row r="2" ht="13.5" customHeight="1" spans="1:44" x14ac:dyDescent="0.25">
      <c r="A2" s="2"/>
      <c r="B2" s="2"/>
      <c r="C2" s="2"/>
      <c r="D2" s="6"/>
      <c r="E2" s="3"/>
      <c r="F2" s="3"/>
      <c r="G2" s="3"/>
      <c r="H2" s="3"/>
      <c r="I2" s="101"/>
      <c r="J2" s="2"/>
      <c r="K2" s="2"/>
      <c r="L2" s="2"/>
      <c r="M2" s="2"/>
      <c r="N2" s="2"/>
      <c r="O2" s="2"/>
      <c r="P2" s="2"/>
      <c r="Q2" s="2"/>
      <c r="R2" s="2"/>
      <c r="S2" s="2"/>
      <c r="T2" s="100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00"/>
      <c r="AO2" s="2"/>
      <c r="AP2" s="2"/>
      <c r="AQ2" s="2"/>
      <c r="AR2" s="2"/>
    </row>
    <row r="3" ht="36.75" customHeight="1" spans="1:4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02" t="s">
        <v>126</v>
      </c>
      <c r="Q3" s="102" t="s">
        <v>126</v>
      </c>
      <c r="R3" s="102" t="s">
        <v>126</v>
      </c>
      <c r="S3" s="102" t="s">
        <v>126</v>
      </c>
      <c r="T3" s="103" t="s">
        <v>127</v>
      </c>
      <c r="U3" s="103" t="s">
        <v>128</v>
      </c>
      <c r="V3" s="104" t="s">
        <v>20</v>
      </c>
      <c r="W3" s="104" t="s">
        <v>20</v>
      </c>
      <c r="X3" s="104" t="s">
        <v>20</v>
      </c>
      <c r="Y3" s="2"/>
      <c r="Z3" s="2"/>
      <c r="AA3" s="2"/>
      <c r="AB3" s="2"/>
      <c r="AC3" s="2"/>
      <c r="AD3" s="2"/>
      <c r="AE3" s="72"/>
      <c r="AF3" s="2"/>
      <c r="AG3" s="2"/>
      <c r="AH3" s="2"/>
      <c r="AI3" s="2"/>
      <c r="AJ3" s="72"/>
      <c r="AK3" s="2"/>
      <c r="AL3" s="2"/>
      <c r="AM3" s="2"/>
      <c r="AN3" s="100"/>
      <c r="AO3" s="2"/>
      <c r="AP3" s="2"/>
      <c r="AQ3" s="2"/>
      <c r="AR3" s="2"/>
    </row>
    <row r="4" ht="15" customHeight="1" spans="1:4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5" t="str">
        <f>'By Plant'!H6</f>
        <v>Jan</v>
      </c>
      <c r="Q4" s="105" t="str">
        <f>'By Plant'!I6</f>
        <v>Feb</v>
      </c>
      <c r="R4" s="105" t="str">
        <f>'By Plant'!J6</f>
        <v>Mar</v>
      </c>
      <c r="S4" s="105" t="str">
        <f>'By Plant'!K6</f>
        <v>Apr</v>
      </c>
      <c r="T4" s="106">
        <f>T7+T17+T31+T54</f>
        <v>288288</v>
      </c>
      <c r="U4" s="30" t="b">
        <f>T4=Total!N35</f>
        <v>0</v>
      </c>
      <c r="V4" s="105" t="str">
        <f t="shared" ref="V4:Y4" si="0">P4</f>
        <v>Jan</v>
      </c>
      <c r="W4" s="105" t="str">
        <f t="shared" si="0"/>
        <v>Feb</v>
      </c>
      <c r="X4" s="105" t="str">
        <f t="shared" si="0"/>
        <v>Mar</v>
      </c>
      <c r="Y4" s="105" t="str">
        <f t="shared" si="0"/>
        <v>Apr</v>
      </c>
      <c r="Z4" s="2"/>
      <c r="AA4" s="2"/>
      <c r="AB4" s="2"/>
      <c r="AC4" s="2"/>
      <c r="AD4" s="2"/>
      <c r="AE4" s="105" t="str">
        <f t="shared" ref="AE4:AH4" si="1">P4</f>
        <v>Jan</v>
      </c>
      <c r="AF4" s="105" t="str">
        <f t="shared" si="1"/>
        <v>Feb</v>
      </c>
      <c r="AG4" s="105" t="str">
        <f t="shared" si="1"/>
        <v>Mar</v>
      </c>
      <c r="AH4" s="105" t="str">
        <f t="shared" si="1"/>
        <v>Apr</v>
      </c>
      <c r="AI4" s="2"/>
      <c r="AJ4" s="107" t="str">
        <f t="shared" ref="AJ4:AM4" si="2">V4</f>
        <v>Jan</v>
      </c>
      <c r="AK4" s="107" t="str">
        <f t="shared" si="2"/>
        <v>Feb</v>
      </c>
      <c r="AL4" s="107" t="str">
        <f t="shared" si="2"/>
        <v>Mar</v>
      </c>
      <c r="AM4" s="107" t="str">
        <f t="shared" si="2"/>
        <v>Apr</v>
      </c>
      <c r="AN4" s="100"/>
      <c r="AO4" s="2"/>
      <c r="AP4" s="2"/>
      <c r="AQ4" s="2"/>
      <c r="AR4" s="2"/>
    </row>
    <row r="5" ht="15" customHeight="1" spans="1:44" x14ac:dyDescent="0.25">
      <c r="A5" s="2"/>
      <c r="B5" s="2"/>
      <c r="C5" s="2"/>
      <c r="D5" s="108" t="s">
        <v>129</v>
      </c>
      <c r="E5" s="98">
        <f>E2</f>
      </c>
      <c r="F5" s="98"/>
      <c r="G5" s="98"/>
      <c r="H5" s="98"/>
      <c r="I5" s="109" t="s">
        <v>46</v>
      </c>
      <c r="J5" s="2"/>
      <c r="K5" s="2"/>
      <c r="L5" s="2"/>
      <c r="M5" s="2"/>
      <c r="N5" s="2"/>
      <c r="O5" s="2"/>
      <c r="P5" s="105" t="s">
        <v>130</v>
      </c>
      <c r="Q5" s="10" t="s">
        <v>131</v>
      </c>
      <c r="R5" s="110"/>
      <c r="S5" s="110"/>
      <c r="T5" s="100"/>
      <c r="U5" s="2"/>
      <c r="V5" s="10" t="s">
        <v>132</v>
      </c>
      <c r="W5" s="110"/>
      <c r="X5" s="110"/>
      <c r="Y5" s="110"/>
      <c r="Z5" s="2"/>
      <c r="AA5" s="2"/>
      <c r="AB5" s="2"/>
      <c r="AC5" s="2"/>
      <c r="AD5" s="2"/>
      <c r="AE5" s="10" t="s">
        <v>133</v>
      </c>
      <c r="AF5" s="110"/>
      <c r="AG5" s="110"/>
      <c r="AH5" s="110"/>
      <c r="AI5" s="100"/>
      <c r="AJ5" s="10" t="s">
        <v>133</v>
      </c>
      <c r="AK5" s="110"/>
      <c r="AL5" s="110"/>
      <c r="AM5" s="110"/>
      <c r="AN5" s="100"/>
      <c r="AO5" s="2"/>
      <c r="AP5" s="2"/>
      <c r="AQ5" s="2"/>
      <c r="AR5" s="2"/>
    </row>
    <row r="6" ht="21" customHeight="1" spans="1:44" x14ac:dyDescent="0.25">
      <c r="A6" s="2"/>
      <c r="B6" s="2"/>
      <c r="C6" s="2"/>
      <c r="D6" s="111" t="s">
        <v>134</v>
      </c>
      <c r="E6" s="111" t="s">
        <v>4</v>
      </c>
      <c r="F6" s="111"/>
      <c r="G6" s="111"/>
      <c r="H6" s="111"/>
      <c r="I6" s="111" t="s">
        <v>135</v>
      </c>
      <c r="J6" s="111" t="s">
        <v>136</v>
      </c>
      <c r="K6" s="111" t="s">
        <v>137</v>
      </c>
      <c r="L6" s="111" t="s">
        <v>138</v>
      </c>
      <c r="M6" s="111" t="s">
        <v>139</v>
      </c>
      <c r="N6" s="112" t="s">
        <v>50</v>
      </c>
      <c r="O6" s="112"/>
      <c r="P6" s="113" t="s">
        <v>140</v>
      </c>
      <c r="Q6" s="113" t="s">
        <v>141</v>
      </c>
      <c r="R6" s="113" t="s">
        <v>142</v>
      </c>
      <c r="S6" s="113" t="s">
        <v>143</v>
      </c>
      <c r="T6" s="100"/>
      <c r="U6" s="2"/>
      <c r="V6" s="113" t="s">
        <v>140</v>
      </c>
      <c r="W6" s="113" t="s">
        <v>141</v>
      </c>
      <c r="X6" s="113" t="s">
        <v>142</v>
      </c>
      <c r="Y6" s="113" t="s">
        <v>143</v>
      </c>
      <c r="Z6" s="2"/>
      <c r="AA6" s="2" t="s">
        <v>21</v>
      </c>
      <c r="AB6" s="2" t="s">
        <v>21</v>
      </c>
      <c r="AC6" s="2" t="s">
        <v>21</v>
      </c>
      <c r="AD6" s="2"/>
      <c r="AE6" s="111" t="s">
        <v>140</v>
      </c>
      <c r="AF6" s="111" t="s">
        <v>141</v>
      </c>
      <c r="AG6" s="111" t="s">
        <v>142</v>
      </c>
      <c r="AH6" s="111" t="s">
        <v>143</v>
      </c>
      <c r="AI6" s="114"/>
      <c r="AJ6" s="111" t="s">
        <v>140</v>
      </c>
      <c r="AK6" s="111" t="s">
        <v>141</v>
      </c>
      <c r="AL6" s="111" t="s">
        <v>142</v>
      </c>
      <c r="AM6" s="111" t="s">
        <v>143</v>
      </c>
      <c r="AN6" s="100"/>
      <c r="AO6" s="6" t="s">
        <v>144</v>
      </c>
      <c r="AP6" s="6" t="s">
        <v>145</v>
      </c>
      <c r="AQ6" s="115" t="s">
        <v>146</v>
      </c>
      <c r="AR6" s="6" t="s">
        <v>147</v>
      </c>
    </row>
    <row r="7" ht="15" customHeight="1" spans="1:44" x14ac:dyDescent="0.25">
      <c r="A7" s="108" t="s">
        <v>56</v>
      </c>
      <c r="B7" s="108" t="s">
        <v>148</v>
      </c>
      <c r="C7" s="108" t="s">
        <v>149</v>
      </c>
      <c r="D7" s="53">
        <v>1</v>
      </c>
      <c r="E7" s="116" t="s">
        <v>150</v>
      </c>
      <c r="F7" s="116"/>
      <c r="G7" s="116"/>
      <c r="H7" s="116"/>
      <c r="I7" s="117" t="s">
        <v>151</v>
      </c>
      <c r="J7" s="117" t="s">
        <v>152</v>
      </c>
      <c r="K7" s="117" t="s">
        <v>153</v>
      </c>
      <c r="L7" s="118" t="s">
        <v>154</v>
      </c>
      <c r="M7" s="117">
        <v>25</v>
      </c>
      <c r="N7" s="117" t="s">
        <v>56</v>
      </c>
      <c r="O7" s="117" t="str">
        <f t="shared" ref="O7:O10" si="3">LEFT(E7,11)&amp;N7</f>
        <v>86790-0K051SR</v>
      </c>
      <c r="P7" s="119">
        <v>2893</v>
      </c>
      <c r="Q7" s="120">
        <v>2992</v>
      </c>
      <c r="R7" s="120">
        <v>950</v>
      </c>
      <c r="S7" s="120">
        <v>1258</v>
      </c>
      <c r="T7" s="121">
        <f>SUM(P7:S12)</f>
        <v>13654</v>
      </c>
      <c r="U7" s="30" t="b">
        <f>T7='SR Daily'!EG20</f>
        <v>0</v>
      </c>
      <c r="V7" s="119">
        <v>2893</v>
      </c>
      <c r="W7" s="119">
        <v>2913</v>
      </c>
      <c r="X7" s="119">
        <v>2946</v>
      </c>
      <c r="Y7" s="122">
        <v>0</v>
      </c>
      <c r="Z7" s="30"/>
      <c r="AA7" s="30">
        <f t="shared" ref="AA7:AC7" si="4">P7-V7</f>
        <v>0</v>
      </c>
      <c r="AB7" s="62">
        <f t="shared" si="4"/>
        <v>79</v>
      </c>
      <c r="AC7" s="62">
        <f t="shared" si="4"/>
        <v>-1996</v>
      </c>
      <c r="AD7" s="30"/>
      <c r="AE7" s="123">
        <f t="shared" ref="AE7:AG7" si="5">P7/V7</f>
        <v>1</v>
      </c>
      <c r="AF7" s="123">
        <f t="shared" si="5"/>
        <v>1.027119808</v>
      </c>
      <c r="AG7" s="123">
        <f t="shared" si="5"/>
        <v>0.3224711473</v>
      </c>
      <c r="AH7" s="124"/>
      <c r="AI7" s="72"/>
      <c r="AJ7" s="123">
        <f t="shared" ref="AJ7:AL7" si="6">AA7/V7</f>
        <v>0</v>
      </c>
      <c r="AK7" s="123">
        <f t="shared" si="6"/>
        <v>0.02711980776</v>
      </c>
      <c r="AL7" s="123">
        <f t="shared" si="6"/>
        <v>-0.6775288527</v>
      </c>
      <c r="AM7" s="124"/>
      <c r="AN7" s="100" t="s">
        <v>155</v>
      </c>
      <c r="AO7" s="2" t="s">
        <v>156</v>
      </c>
      <c r="AP7" s="125" t="s">
        <v>157</v>
      </c>
      <c r="AQ7" s="2" t="s">
        <v>158</v>
      </c>
      <c r="AR7" s="2"/>
    </row>
    <row r="8" ht="15" customHeight="1" spans="1:44" x14ac:dyDescent="0.25">
      <c r="A8" s="108" t="s">
        <v>56</v>
      </c>
      <c r="B8" s="108" t="s">
        <v>148</v>
      </c>
      <c r="C8" s="108" t="s">
        <v>149</v>
      </c>
      <c r="D8" s="53">
        <v>2</v>
      </c>
      <c r="E8" s="126" t="s">
        <v>22</v>
      </c>
      <c r="F8" s="126"/>
      <c r="G8" s="126"/>
      <c r="H8" s="126"/>
      <c r="I8" s="117" t="s">
        <v>159</v>
      </c>
      <c r="J8" s="117" t="s">
        <v>152</v>
      </c>
      <c r="K8" s="117" t="s">
        <v>153</v>
      </c>
      <c r="L8" s="118" t="s">
        <v>154</v>
      </c>
      <c r="M8" s="117">
        <v>42</v>
      </c>
      <c r="N8" s="117" t="s">
        <v>56</v>
      </c>
      <c r="O8" s="117" t="str">
        <f t="shared" si="3"/>
        <v>86790-0K080SR</v>
      </c>
      <c r="P8" s="119">
        <v>745</v>
      </c>
      <c r="Q8" s="120">
        <v>503</v>
      </c>
      <c r="R8" s="120">
        <v>523</v>
      </c>
      <c r="S8" s="120">
        <v>661</v>
      </c>
      <c r="T8" s="127"/>
      <c r="U8" s="30"/>
      <c r="V8" s="119">
        <v>745</v>
      </c>
      <c r="W8" s="119">
        <v>595</v>
      </c>
      <c r="X8" s="119">
        <v>630</v>
      </c>
      <c r="Y8" s="122">
        <v>0</v>
      </c>
      <c r="Z8" s="30"/>
      <c r="AA8" s="30">
        <f t="shared" ref="AA8:AC8" si="7">P8-V8</f>
        <v>0</v>
      </c>
      <c r="AB8" s="30">
        <f t="shared" si="7"/>
        <v>-92</v>
      </c>
      <c r="AC8" s="30">
        <f t="shared" si="7"/>
        <v>-107</v>
      </c>
      <c r="AD8" s="30"/>
      <c r="AE8" s="123">
        <f t="shared" ref="AE8:AG8" si="8">P8/V8</f>
        <v>1</v>
      </c>
      <c r="AF8" s="123">
        <f t="shared" si="8"/>
        <v>0.8453781513</v>
      </c>
      <c r="AG8" s="123">
        <f t="shared" si="8"/>
        <v>0.8301587302</v>
      </c>
      <c r="AH8" s="124"/>
      <c r="AI8" s="72"/>
      <c r="AJ8" s="123">
        <f t="shared" ref="AJ8:AL8" si="9">AA8/V8</f>
        <v>0</v>
      </c>
      <c r="AK8" s="123">
        <f t="shared" si="9"/>
        <v>-0.1546218487</v>
      </c>
      <c r="AL8" s="123">
        <f t="shared" si="9"/>
        <v>-0.1698412698</v>
      </c>
      <c r="AM8" s="124"/>
      <c r="AN8" s="100" t="s">
        <v>155</v>
      </c>
      <c r="AO8" s="2" t="s">
        <v>156</v>
      </c>
      <c r="AP8" s="125" t="s">
        <v>157</v>
      </c>
      <c r="AQ8" s="2" t="s">
        <v>160</v>
      </c>
      <c r="AR8" s="2"/>
    </row>
    <row r="9" ht="15" customHeight="1" spans="1:44" x14ac:dyDescent="0.25">
      <c r="A9" s="108" t="s">
        <v>56</v>
      </c>
      <c r="B9" s="108" t="s">
        <v>148</v>
      </c>
      <c r="C9" s="108" t="s">
        <v>149</v>
      </c>
      <c r="D9" s="53">
        <v>3</v>
      </c>
      <c r="E9" s="126" t="s">
        <v>161</v>
      </c>
      <c r="F9" s="126"/>
      <c r="G9" s="126"/>
      <c r="H9" s="126"/>
      <c r="I9" s="117" t="s">
        <v>162</v>
      </c>
      <c r="J9" s="117" t="s">
        <v>152</v>
      </c>
      <c r="K9" s="117" t="s">
        <v>153</v>
      </c>
      <c r="L9" s="118" t="s">
        <v>154</v>
      </c>
      <c r="M9" s="117">
        <v>8</v>
      </c>
      <c r="N9" s="117" t="s">
        <v>56</v>
      </c>
      <c r="O9" s="117" t="str">
        <f t="shared" si="3"/>
        <v>86790-0K141SR</v>
      </c>
      <c r="P9" s="119">
        <v>26</v>
      </c>
      <c r="Q9" s="120">
        <v>12</v>
      </c>
      <c r="R9" s="120">
        <v>9</v>
      </c>
      <c r="S9" s="120">
        <v>9</v>
      </c>
      <c r="T9" s="127"/>
      <c r="U9" s="30"/>
      <c r="V9" s="119">
        <v>26</v>
      </c>
      <c r="W9" s="119">
        <v>13</v>
      </c>
      <c r="X9" s="119">
        <v>13</v>
      </c>
      <c r="Y9" s="122">
        <v>0</v>
      </c>
      <c r="Z9" s="30"/>
      <c r="AA9" s="30">
        <f t="shared" ref="AA9:AC9" si="10">P9-V9</f>
        <v>0</v>
      </c>
      <c r="AB9" s="30">
        <f t="shared" si="10"/>
        <v>-1</v>
      </c>
      <c r="AC9" s="30">
        <f t="shared" si="10"/>
        <v>-4</v>
      </c>
      <c r="AD9" s="30"/>
      <c r="AE9" s="123">
        <f t="shared" ref="AE9:AG9" si="11">P9/V9</f>
        <v>1</v>
      </c>
      <c r="AF9" s="123">
        <f t="shared" si="11"/>
        <v>0.9230769231</v>
      </c>
      <c r="AG9" s="123">
        <f t="shared" si="11"/>
        <v>0.6923076923</v>
      </c>
      <c r="AH9" s="124"/>
      <c r="AI9" s="72"/>
      <c r="AJ9" s="123">
        <f t="shared" ref="AJ9:AL9" si="12">AA9/V9</f>
        <v>0</v>
      </c>
      <c r="AK9" s="123">
        <f t="shared" si="12"/>
        <v>-0.07692307692</v>
      </c>
      <c r="AL9" s="123">
        <f t="shared" si="12"/>
        <v>-0.3076923077</v>
      </c>
      <c r="AM9" s="124"/>
      <c r="AN9" s="100"/>
      <c r="AO9" s="2" t="s">
        <v>156</v>
      </c>
      <c r="AP9" s="125" t="s">
        <v>157</v>
      </c>
      <c r="AQ9" s="2"/>
      <c r="AR9" s="2"/>
    </row>
    <row r="10" ht="15" customHeight="1" spans="1:44" x14ac:dyDescent="0.25">
      <c r="A10" s="108" t="s">
        <v>56</v>
      </c>
      <c r="B10" s="108" t="s">
        <v>148</v>
      </c>
      <c r="C10" s="108" t="s">
        <v>149</v>
      </c>
      <c r="D10" s="53">
        <v>4</v>
      </c>
      <c r="E10" s="126" t="s">
        <v>163</v>
      </c>
      <c r="F10" s="126"/>
      <c r="G10" s="126"/>
      <c r="H10" s="126"/>
      <c r="I10" s="117" t="s">
        <v>164</v>
      </c>
      <c r="J10" s="117" t="s">
        <v>152</v>
      </c>
      <c r="K10" s="117" t="s">
        <v>153</v>
      </c>
      <c r="L10" s="118" t="s">
        <v>154</v>
      </c>
      <c r="M10" s="117">
        <v>8</v>
      </c>
      <c r="N10" s="117" t="s">
        <v>56</v>
      </c>
      <c r="O10" s="117" t="str">
        <f t="shared" si="3"/>
        <v>86790-0K171SR</v>
      </c>
      <c r="P10" s="119">
        <v>726</v>
      </c>
      <c r="Q10" s="120">
        <v>308</v>
      </c>
      <c r="R10" s="120">
        <v>372</v>
      </c>
      <c r="S10" s="120">
        <v>523</v>
      </c>
      <c r="T10" s="127"/>
      <c r="U10" s="30"/>
      <c r="V10" s="119">
        <v>726</v>
      </c>
      <c r="W10" s="119">
        <v>465</v>
      </c>
      <c r="X10" s="119">
        <v>437</v>
      </c>
      <c r="Y10" s="122">
        <v>0</v>
      </c>
      <c r="Z10" s="30"/>
      <c r="AA10" s="30">
        <f t="shared" ref="AA10:AC10" si="13">P10-V10</f>
        <v>0</v>
      </c>
      <c r="AB10" s="30">
        <f t="shared" si="13"/>
        <v>-157</v>
      </c>
      <c r="AC10" s="30">
        <f t="shared" si="13"/>
        <v>-65</v>
      </c>
      <c r="AD10" s="30"/>
      <c r="AE10" s="123">
        <f t="shared" ref="AE10:AG10" si="14">P10/V10</f>
        <v>1</v>
      </c>
      <c r="AF10" s="123">
        <f t="shared" si="14"/>
        <v>0.6623655914</v>
      </c>
      <c r="AG10" s="123">
        <f t="shared" si="14"/>
        <v>0.8512585812</v>
      </c>
      <c r="AH10" s="124"/>
      <c r="AI10" s="72"/>
      <c r="AJ10" s="123">
        <f t="shared" ref="AJ10:AL10" si="15">AA10/V10</f>
        <v>0</v>
      </c>
      <c r="AK10" s="123">
        <f t="shared" si="15"/>
        <v>-0.3376344086</v>
      </c>
      <c r="AL10" s="123">
        <f t="shared" si="15"/>
        <v>-0.1487414188</v>
      </c>
      <c r="AM10" s="124"/>
      <c r="AN10" s="100" t="s">
        <v>155</v>
      </c>
      <c r="AO10" s="2" t="s">
        <v>156</v>
      </c>
      <c r="AP10" s="125" t="s">
        <v>157</v>
      </c>
      <c r="AQ10" s="2" t="s">
        <v>165</v>
      </c>
      <c r="AR10" s="2"/>
    </row>
    <row r="11" ht="15" customHeight="1" spans="1:44" x14ac:dyDescent="0.25">
      <c r="A11" s="108" t="s">
        <v>56</v>
      </c>
      <c r="B11" s="108" t="s">
        <v>148</v>
      </c>
      <c r="C11" s="108" t="s">
        <v>166</v>
      </c>
      <c r="D11" s="53">
        <v>5</v>
      </c>
      <c r="E11" s="126" t="s">
        <v>167</v>
      </c>
      <c r="F11" s="126"/>
      <c r="G11" s="126"/>
      <c r="H11" s="126"/>
      <c r="I11" s="117" t="s">
        <v>168</v>
      </c>
      <c r="J11" s="117" t="s">
        <v>152</v>
      </c>
      <c r="K11" s="117" t="s">
        <v>153</v>
      </c>
      <c r="L11" s="118" t="s">
        <v>154</v>
      </c>
      <c r="M11" s="117">
        <v>25</v>
      </c>
      <c r="N11" s="117"/>
      <c r="O11" s="117"/>
      <c r="P11" s="119">
        <v>164</v>
      </c>
      <c r="Q11" s="120">
        <v>44</v>
      </c>
      <c r="R11" s="120">
        <v>174</v>
      </c>
      <c r="S11" s="120">
        <v>190</v>
      </c>
      <c r="T11" s="127"/>
      <c r="U11" s="30"/>
      <c r="V11" s="119">
        <v>138</v>
      </c>
      <c r="W11" s="119">
        <v>38</v>
      </c>
      <c r="X11" s="119">
        <v>194</v>
      </c>
      <c r="Y11" s="122"/>
      <c r="Z11" s="30"/>
      <c r="AA11" s="30">
        <f t="shared" ref="AA11:AC11" si="16">P11-V11</f>
        <v>26</v>
      </c>
      <c r="AB11" s="30">
        <f t="shared" si="16"/>
        <v>6</v>
      </c>
      <c r="AC11" s="30">
        <f t="shared" si="16"/>
        <v>-20</v>
      </c>
      <c r="AD11" s="30"/>
      <c r="AE11" s="123"/>
      <c r="AF11" s="123"/>
      <c r="AG11" s="123"/>
      <c r="AH11" s="124"/>
      <c r="AI11" s="72"/>
      <c r="AJ11" s="123">
        <f t="shared" ref="AJ11:AL11" si="17">AA11/V11</f>
        <v>0.1884057971</v>
      </c>
      <c r="AK11" s="123">
        <f t="shared" si="17"/>
        <v>0.1578947368</v>
      </c>
      <c r="AL11" s="123">
        <f t="shared" si="17"/>
        <v>-0.1030927835</v>
      </c>
      <c r="AM11" s="124"/>
      <c r="AN11" s="100"/>
      <c r="AO11" s="2"/>
      <c r="AP11" s="125"/>
      <c r="AQ11" s="2"/>
      <c r="AR11" s="2"/>
    </row>
    <row r="12" ht="15" customHeight="1" spans="1:44" x14ac:dyDescent="0.25">
      <c r="A12" s="108" t="s">
        <v>56</v>
      </c>
      <c r="B12" s="108" t="s">
        <v>148</v>
      </c>
      <c r="C12" s="108" t="s">
        <v>166</v>
      </c>
      <c r="D12" s="53">
        <v>6</v>
      </c>
      <c r="E12" s="126" t="s">
        <v>169</v>
      </c>
      <c r="F12" s="126"/>
      <c r="G12" s="126"/>
      <c r="H12" s="126"/>
      <c r="I12" s="117" t="s">
        <v>170</v>
      </c>
      <c r="J12" s="117" t="s">
        <v>152</v>
      </c>
      <c r="K12" s="117" t="s">
        <v>153</v>
      </c>
      <c r="L12" s="118" t="s">
        <v>154</v>
      </c>
      <c r="M12" s="117">
        <v>38</v>
      </c>
      <c r="N12" s="117"/>
      <c r="O12" s="117"/>
      <c r="P12" s="119">
        <v>164</v>
      </c>
      <c r="Q12" s="120">
        <v>44</v>
      </c>
      <c r="R12" s="120">
        <v>174</v>
      </c>
      <c r="S12" s="120">
        <v>190</v>
      </c>
      <c r="T12" s="127"/>
      <c r="U12" s="30"/>
      <c r="V12" s="119">
        <v>138</v>
      </c>
      <c r="W12" s="119">
        <v>38</v>
      </c>
      <c r="X12" s="119">
        <v>194</v>
      </c>
      <c r="Y12" s="122"/>
      <c r="Z12" s="30"/>
      <c r="AA12" s="30">
        <f t="shared" ref="AA12:AC12" si="18">P12-V12</f>
        <v>26</v>
      </c>
      <c r="AB12" s="30">
        <f t="shared" si="18"/>
        <v>6</v>
      </c>
      <c r="AC12" s="30">
        <f t="shared" si="18"/>
        <v>-20</v>
      </c>
      <c r="AD12" s="30"/>
      <c r="AE12" s="123"/>
      <c r="AF12" s="123"/>
      <c r="AG12" s="123"/>
      <c r="AH12" s="124"/>
      <c r="AI12" s="72"/>
      <c r="AJ12" s="123">
        <f t="shared" ref="AJ12:AL12" si="19">AA12/V12</f>
        <v>0.1884057971</v>
      </c>
      <c r="AK12" s="123">
        <f t="shared" si="19"/>
        <v>0.1578947368</v>
      </c>
      <c r="AL12" s="123">
        <f t="shared" si="19"/>
        <v>-0.1030927835</v>
      </c>
      <c r="AM12" s="124"/>
      <c r="AN12" s="100"/>
      <c r="AO12" s="2"/>
      <c r="AP12" s="125"/>
      <c r="AQ12" s="2"/>
      <c r="AR12" s="2"/>
    </row>
    <row r="13" ht="15" customHeight="1" spans="1:4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28"/>
      <c r="M13" s="2"/>
      <c r="N13" s="2"/>
      <c r="O13" s="2"/>
      <c r="P13" s="30"/>
      <c r="Q13" s="30"/>
      <c r="R13" s="30"/>
      <c r="S13" s="30"/>
      <c r="T13" s="127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127"/>
      <c r="AO13" s="2"/>
      <c r="AP13" s="2"/>
      <c r="AQ13" s="2"/>
      <c r="AR13" s="2"/>
    </row>
    <row r="14" ht="15" customHeight="1" spans="1:4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0"/>
      <c r="Q14" s="30"/>
      <c r="R14" s="129" t="s">
        <v>126</v>
      </c>
      <c r="S14" s="129" t="s">
        <v>126</v>
      </c>
      <c r="T14" s="127"/>
      <c r="U14" s="30"/>
      <c r="V14" s="30"/>
      <c r="W14" s="30"/>
      <c r="X14" s="30"/>
      <c r="Y14" s="30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27"/>
      <c r="AO14" s="2"/>
      <c r="AP14" s="2"/>
      <c r="AQ14" s="2"/>
      <c r="AR14" s="2"/>
    </row>
    <row r="15" ht="15" customHeight="1" spans="1:44" x14ac:dyDescent="0.25">
      <c r="A15" s="2"/>
      <c r="B15" s="2"/>
      <c r="C15" s="2"/>
      <c r="D15" s="108" t="s">
        <v>171</v>
      </c>
      <c r="E15" s="98">
        <f>E4</f>
      </c>
      <c r="F15" s="98"/>
      <c r="G15" s="98"/>
      <c r="H15" s="98"/>
      <c r="I15" s="109">
        <f>I4</f>
      </c>
      <c r="J15" s="2"/>
      <c r="K15" s="2"/>
      <c r="L15" s="2"/>
      <c r="M15" s="2"/>
      <c r="N15" s="2"/>
      <c r="O15" s="2"/>
      <c r="P15" s="105" t="str">
        <f t="shared" ref="P15:S15" si="20">P4</f>
        <v>Jan</v>
      </c>
      <c r="Q15" s="105" t="str">
        <f t="shared" si="20"/>
        <v>Feb</v>
      </c>
      <c r="R15" s="105" t="str">
        <f t="shared" si="20"/>
        <v>Mar</v>
      </c>
      <c r="S15" s="105" t="str">
        <f t="shared" si="20"/>
        <v>Apr</v>
      </c>
      <c r="T15" s="127"/>
      <c r="U15" s="2"/>
      <c r="V15" s="10" t="s">
        <v>132</v>
      </c>
      <c r="W15" s="110"/>
      <c r="X15" s="110"/>
      <c r="Y15" s="110"/>
      <c r="Z15" s="2"/>
      <c r="AA15" s="2"/>
      <c r="AB15" s="2"/>
      <c r="AC15" s="2"/>
      <c r="AD15" s="2"/>
      <c r="AE15" s="10" t="s">
        <v>133</v>
      </c>
      <c r="AF15" s="110"/>
      <c r="AG15" s="110"/>
      <c r="AH15" s="110"/>
      <c r="AI15" s="100"/>
      <c r="AJ15" s="10" t="s">
        <v>133</v>
      </c>
      <c r="AK15" s="110"/>
      <c r="AL15" s="110"/>
      <c r="AM15" s="110"/>
      <c r="AN15" s="127"/>
      <c r="AO15" s="2"/>
      <c r="AP15" s="2"/>
      <c r="AQ15" s="2"/>
      <c r="AR15" s="2"/>
    </row>
    <row r="16" ht="15" customHeight="1" spans="1:44" x14ac:dyDescent="0.25">
      <c r="A16" s="2"/>
      <c r="B16" s="2"/>
      <c r="C16" s="2"/>
      <c r="D16" s="111" t="s">
        <v>134</v>
      </c>
      <c r="E16" s="111" t="s">
        <v>4</v>
      </c>
      <c r="F16" s="111"/>
      <c r="G16" s="111"/>
      <c r="H16" s="111"/>
      <c r="I16" s="111" t="s">
        <v>135</v>
      </c>
      <c r="J16" s="111" t="s">
        <v>136</v>
      </c>
      <c r="K16" s="111" t="s">
        <v>137</v>
      </c>
      <c r="L16" s="111" t="s">
        <v>138</v>
      </c>
      <c r="M16" s="111" t="s">
        <v>139</v>
      </c>
      <c r="N16" s="112" t="s">
        <v>50</v>
      </c>
      <c r="O16" s="112"/>
      <c r="P16" s="113" t="s">
        <v>140</v>
      </c>
      <c r="Q16" s="113" t="s">
        <v>141</v>
      </c>
      <c r="R16" s="113" t="s">
        <v>142</v>
      </c>
      <c r="S16" s="113" t="s">
        <v>143</v>
      </c>
      <c r="T16" s="100"/>
      <c r="U16" s="2"/>
      <c r="V16" s="113" t="s">
        <v>140</v>
      </c>
      <c r="W16" s="113" t="s">
        <v>141</v>
      </c>
      <c r="X16" s="113" t="s">
        <v>142</v>
      </c>
      <c r="Y16" s="113" t="s">
        <v>143</v>
      </c>
      <c r="Z16" s="2"/>
      <c r="AA16" s="2"/>
      <c r="AB16" s="2"/>
      <c r="AC16" s="2"/>
      <c r="AD16" s="2"/>
      <c r="AE16" s="111" t="s">
        <v>140</v>
      </c>
      <c r="AF16" s="111" t="s">
        <v>141</v>
      </c>
      <c r="AG16" s="111" t="s">
        <v>142</v>
      </c>
      <c r="AH16" s="111" t="s">
        <v>143</v>
      </c>
      <c r="AI16" s="114"/>
      <c r="AJ16" s="111" t="s">
        <v>140</v>
      </c>
      <c r="AK16" s="111" t="s">
        <v>141</v>
      </c>
      <c r="AL16" s="111" t="s">
        <v>142</v>
      </c>
      <c r="AM16" s="111" t="s">
        <v>143</v>
      </c>
      <c r="AN16" s="127"/>
      <c r="AO16" s="2"/>
      <c r="AP16" s="2"/>
      <c r="AQ16" s="2"/>
      <c r="AR16" s="2"/>
    </row>
    <row r="17" ht="15" customHeight="1" spans="1:44" x14ac:dyDescent="0.25">
      <c r="A17" s="108" t="s">
        <v>65</v>
      </c>
      <c r="B17" s="108" t="s">
        <v>148</v>
      </c>
      <c r="C17" s="108" t="s">
        <v>149</v>
      </c>
      <c r="D17" s="53">
        <v>1</v>
      </c>
      <c r="E17" s="116" t="s">
        <v>150</v>
      </c>
      <c r="F17" s="130" t="s">
        <v>150</v>
      </c>
      <c r="G17" s="131"/>
      <c r="H17" s="126" t="b">
        <f t="shared" ref="H17:H24" si="21">F17=E17</f>
        <v>1</v>
      </c>
      <c r="I17" s="117" t="s">
        <v>172</v>
      </c>
      <c r="J17" s="117" t="s">
        <v>173</v>
      </c>
      <c r="K17" s="117" t="s">
        <v>174</v>
      </c>
      <c r="L17" s="132" t="s">
        <v>175</v>
      </c>
      <c r="M17" s="117">
        <v>25</v>
      </c>
      <c r="N17" s="117" t="s">
        <v>65</v>
      </c>
      <c r="O17" s="117" t="str">
        <f t="shared" ref="O17:O24" si="22">LEFT(E17,11)&amp;N17</f>
        <v>86790-0K051BP</v>
      </c>
      <c r="P17" s="119">
        <v>4401</v>
      </c>
      <c r="Q17" s="120">
        <v>3927</v>
      </c>
      <c r="R17" s="120">
        <v>2234</v>
      </c>
      <c r="S17" s="120">
        <v>1836</v>
      </c>
      <c r="T17" s="121">
        <f>SUM(P17:S26)</f>
        <v>39022</v>
      </c>
      <c r="U17" s="30" t="b">
        <f>T17='BP Daily'!EG26</f>
        <v>0</v>
      </c>
      <c r="V17" s="119">
        <v>4401</v>
      </c>
      <c r="W17" s="119">
        <v>4074</v>
      </c>
      <c r="X17" s="119">
        <v>2242</v>
      </c>
      <c r="Y17" s="122"/>
      <c r="Z17" s="2"/>
      <c r="AA17" s="30">
        <f t="shared" ref="AA17:AC17" si="23">P17-V17</f>
        <v>0</v>
      </c>
      <c r="AB17" s="30">
        <f t="shared" si="23"/>
        <v>-147</v>
      </c>
      <c r="AC17" s="62">
        <f t="shared" si="23"/>
        <v>-8</v>
      </c>
      <c r="AD17" s="2"/>
      <c r="AE17" s="123">
        <f t="shared" ref="AE17:AG17" si="24">P17/V17</f>
        <v>1</v>
      </c>
      <c r="AF17" s="123">
        <f t="shared" si="24"/>
        <v>0.9639175258</v>
      </c>
      <c r="AG17" s="123">
        <f t="shared" si="24"/>
        <v>0.9964317574</v>
      </c>
      <c r="AH17" s="124"/>
      <c r="AI17" s="72"/>
      <c r="AJ17" s="123">
        <f t="shared" ref="AJ17:AL17" si="25">AA17/V17</f>
        <v>0</v>
      </c>
      <c r="AK17" s="123">
        <f t="shared" si="25"/>
        <v>-0.03608247423</v>
      </c>
      <c r="AL17" s="123">
        <f t="shared" si="25"/>
        <v>-0.00356824264</v>
      </c>
      <c r="AM17" s="124"/>
      <c r="AN17" s="127"/>
      <c r="AO17" s="2" t="s">
        <v>176</v>
      </c>
      <c r="AP17" s="125" t="s">
        <v>177</v>
      </c>
      <c r="AQ17" s="2"/>
      <c r="AR17" s="2"/>
    </row>
    <row r="18" ht="15" customHeight="1" spans="1:44" x14ac:dyDescent="0.25">
      <c r="A18" s="108" t="s">
        <v>65</v>
      </c>
      <c r="B18" s="108" t="s">
        <v>148</v>
      </c>
      <c r="C18" s="108" t="s">
        <v>149</v>
      </c>
      <c r="D18" s="53">
        <v>2</v>
      </c>
      <c r="E18" s="126" t="s">
        <v>22</v>
      </c>
      <c r="F18" s="130" t="s">
        <v>22</v>
      </c>
      <c r="G18" s="131"/>
      <c r="H18" s="126" t="b">
        <f t="shared" si="21"/>
        <v>1</v>
      </c>
      <c r="I18" s="117" t="s">
        <v>178</v>
      </c>
      <c r="J18" s="117" t="s">
        <v>173</v>
      </c>
      <c r="K18" s="117" t="s">
        <v>174</v>
      </c>
      <c r="L18" s="132" t="s">
        <v>175</v>
      </c>
      <c r="M18" s="117">
        <v>42</v>
      </c>
      <c r="N18" s="117" t="s">
        <v>65</v>
      </c>
      <c r="O18" s="117" t="str">
        <f t="shared" si="22"/>
        <v>86790-0K080BP</v>
      </c>
      <c r="P18" s="119">
        <v>619</v>
      </c>
      <c r="Q18" s="120">
        <v>553</v>
      </c>
      <c r="R18" s="120">
        <v>514</v>
      </c>
      <c r="S18" s="120">
        <v>380</v>
      </c>
      <c r="T18" s="127"/>
      <c r="U18" s="30"/>
      <c r="V18" s="119">
        <v>619</v>
      </c>
      <c r="W18" s="119">
        <v>516</v>
      </c>
      <c r="X18" s="119">
        <v>488</v>
      </c>
      <c r="Y18" s="122"/>
      <c r="Z18" s="2"/>
      <c r="AA18" s="30">
        <f t="shared" ref="AA18:AC18" si="26">P18-V18</f>
        <v>0</v>
      </c>
      <c r="AB18" s="30">
        <f t="shared" si="26"/>
        <v>37</v>
      </c>
      <c r="AC18" s="30">
        <f t="shared" si="26"/>
        <v>26</v>
      </c>
      <c r="AD18" s="2"/>
      <c r="AE18" s="123">
        <f t="shared" ref="AE18:AG18" si="27">P18/V18</f>
        <v>1</v>
      </c>
      <c r="AF18" s="123">
        <f t="shared" si="27"/>
        <v>1.071705426</v>
      </c>
      <c r="AG18" s="123">
        <f t="shared" si="27"/>
        <v>1.053278689</v>
      </c>
      <c r="AH18" s="124"/>
      <c r="AI18" s="72"/>
      <c r="AJ18" s="123">
        <f t="shared" ref="AJ18:AL18" si="28">AA18/V18</f>
        <v>0</v>
      </c>
      <c r="AK18" s="123">
        <f t="shared" si="28"/>
        <v>0.07170542636</v>
      </c>
      <c r="AL18" s="123">
        <f t="shared" si="28"/>
        <v>0.05327868852</v>
      </c>
      <c r="AM18" s="124"/>
      <c r="AN18" s="127" t="s">
        <v>155</v>
      </c>
      <c r="AO18" s="2" t="s">
        <v>176</v>
      </c>
      <c r="AP18" s="125" t="s">
        <v>177</v>
      </c>
      <c r="AQ18" s="2" t="s">
        <v>179</v>
      </c>
      <c r="AR18" s="2"/>
    </row>
    <row r="19" ht="15" customHeight="1" spans="1:44" x14ac:dyDescent="0.25">
      <c r="A19" s="108" t="s">
        <v>65</v>
      </c>
      <c r="B19" s="108" t="s">
        <v>148</v>
      </c>
      <c r="C19" s="108" t="s">
        <v>149</v>
      </c>
      <c r="D19" s="53">
        <v>3</v>
      </c>
      <c r="E19" s="126" t="s">
        <v>23</v>
      </c>
      <c r="F19" s="130" t="s">
        <v>23</v>
      </c>
      <c r="G19" s="131"/>
      <c r="H19" s="126" t="b">
        <f t="shared" si="21"/>
        <v>1</v>
      </c>
      <c r="I19" s="117" t="s">
        <v>180</v>
      </c>
      <c r="J19" s="117" t="s">
        <v>173</v>
      </c>
      <c r="K19" s="117" t="s">
        <v>174</v>
      </c>
      <c r="L19" s="132" t="s">
        <v>175</v>
      </c>
      <c r="M19" s="117">
        <v>18</v>
      </c>
      <c r="N19" s="117" t="s">
        <v>65</v>
      </c>
      <c r="O19" s="117" t="str">
        <f t="shared" si="22"/>
        <v>86790-0K110BP</v>
      </c>
      <c r="P19" s="119">
        <v>604</v>
      </c>
      <c r="Q19" s="120">
        <v>1218</v>
      </c>
      <c r="R19" s="120">
        <v>976</v>
      </c>
      <c r="S19" s="120">
        <v>834</v>
      </c>
      <c r="T19" s="127"/>
      <c r="U19" s="30"/>
      <c r="V19" s="119">
        <v>604</v>
      </c>
      <c r="W19" s="119">
        <v>1138</v>
      </c>
      <c r="X19" s="119">
        <v>886</v>
      </c>
      <c r="Y19" s="122"/>
      <c r="Z19" s="2"/>
      <c r="AA19" s="30">
        <f t="shared" ref="AA19:AC19" si="29">P19-V19</f>
        <v>0</v>
      </c>
      <c r="AB19" s="30">
        <f t="shared" si="29"/>
        <v>80</v>
      </c>
      <c r="AC19" s="30">
        <f t="shared" si="29"/>
        <v>90</v>
      </c>
      <c r="AD19" s="2"/>
      <c r="AE19" s="123">
        <f t="shared" ref="AE19:AG19" si="30">P19/V19</f>
        <v>1</v>
      </c>
      <c r="AF19" s="123">
        <f t="shared" si="30"/>
        <v>1.07029877</v>
      </c>
      <c r="AG19" s="123">
        <f t="shared" si="30"/>
        <v>1.101580135</v>
      </c>
      <c r="AH19" s="124"/>
      <c r="AI19" s="72"/>
      <c r="AJ19" s="123">
        <f t="shared" ref="AJ19:AL19" si="31">AA19/V19</f>
        <v>0</v>
      </c>
      <c r="AK19" s="123">
        <f t="shared" si="31"/>
        <v>0.07029876977</v>
      </c>
      <c r="AL19" s="123">
        <f t="shared" si="31"/>
        <v>0.1015801354</v>
      </c>
      <c r="AM19" s="124"/>
      <c r="AN19" s="127"/>
      <c r="AO19" s="2" t="s">
        <v>176</v>
      </c>
      <c r="AP19" s="125" t="s">
        <v>177</v>
      </c>
      <c r="AQ19" s="2"/>
      <c r="AR19" s="2"/>
    </row>
    <row r="20" ht="15" customHeight="1" spans="1:44" x14ac:dyDescent="0.25">
      <c r="A20" s="108" t="s">
        <v>65</v>
      </c>
      <c r="B20" s="108" t="s">
        <v>148</v>
      </c>
      <c r="C20" s="108" t="s">
        <v>149</v>
      </c>
      <c r="D20" s="53">
        <v>4</v>
      </c>
      <c r="E20" s="126" t="s">
        <v>161</v>
      </c>
      <c r="F20" s="130" t="s">
        <v>161</v>
      </c>
      <c r="G20" s="131"/>
      <c r="H20" s="126" t="b">
        <f t="shared" si="21"/>
        <v>1</v>
      </c>
      <c r="I20" s="117" t="s">
        <v>181</v>
      </c>
      <c r="J20" s="117" t="s">
        <v>173</v>
      </c>
      <c r="K20" s="117" t="s">
        <v>174</v>
      </c>
      <c r="L20" s="132" t="s">
        <v>175</v>
      </c>
      <c r="M20" s="117">
        <v>8</v>
      </c>
      <c r="N20" s="117" t="s">
        <v>65</v>
      </c>
      <c r="O20" s="117" t="str">
        <f t="shared" si="22"/>
        <v>86790-0K141BP</v>
      </c>
      <c r="P20" s="119">
        <v>522</v>
      </c>
      <c r="Q20" s="120">
        <v>416</v>
      </c>
      <c r="R20" s="120">
        <v>192</v>
      </c>
      <c r="S20" s="120">
        <v>127</v>
      </c>
      <c r="T20" s="127"/>
      <c r="U20" s="30"/>
      <c r="V20" s="119">
        <v>522</v>
      </c>
      <c r="W20" s="119">
        <v>200</v>
      </c>
      <c r="X20" s="119">
        <v>200</v>
      </c>
      <c r="Y20" s="122"/>
      <c r="Z20" s="2"/>
      <c r="AA20" s="30">
        <f t="shared" ref="AA20:AC20" si="32">P20-V20</f>
        <v>0</v>
      </c>
      <c r="AB20" s="30">
        <f t="shared" si="32"/>
        <v>216</v>
      </c>
      <c r="AC20" s="30">
        <f t="shared" si="32"/>
        <v>-8</v>
      </c>
      <c r="AD20" s="2"/>
      <c r="AE20" s="123">
        <f t="shared" ref="AE20:AG20" si="33">P20/V20</f>
        <v>1</v>
      </c>
      <c r="AF20" s="123">
        <f t="shared" si="33"/>
        <v>2.08</v>
      </c>
      <c r="AG20" s="123">
        <f t="shared" si="33"/>
        <v>0.96</v>
      </c>
      <c r="AH20" s="124"/>
      <c r="AI20" s="72"/>
      <c r="AJ20" s="123">
        <f t="shared" ref="AJ20:AL20" si="34">AA20/V20</f>
        <v>0</v>
      </c>
      <c r="AK20" s="123">
        <f t="shared" si="34"/>
        <v>1.08</v>
      </c>
      <c r="AL20" s="123">
        <f t="shared" si="34"/>
        <v>-0.04</v>
      </c>
      <c r="AM20" s="124"/>
      <c r="AN20" s="127" t="s">
        <v>155</v>
      </c>
      <c r="AO20" s="2" t="s">
        <v>176</v>
      </c>
      <c r="AP20" s="125" t="s">
        <v>177</v>
      </c>
      <c r="AQ20" s="2" t="s">
        <v>182</v>
      </c>
      <c r="AR20" s="2"/>
    </row>
    <row r="21" ht="15" customHeight="1" spans="1:44" x14ac:dyDescent="0.25">
      <c r="A21" s="108" t="s">
        <v>65</v>
      </c>
      <c r="B21" s="108" t="s">
        <v>148</v>
      </c>
      <c r="C21" s="108" t="s">
        <v>149</v>
      </c>
      <c r="D21" s="53">
        <v>5</v>
      </c>
      <c r="E21" s="126" t="s">
        <v>163</v>
      </c>
      <c r="F21" s="130" t="s">
        <v>163</v>
      </c>
      <c r="G21" s="131"/>
      <c r="H21" s="126" t="b">
        <f t="shared" si="21"/>
        <v>1</v>
      </c>
      <c r="I21" s="117" t="s">
        <v>183</v>
      </c>
      <c r="J21" s="117" t="s">
        <v>173</v>
      </c>
      <c r="K21" s="117" t="s">
        <v>174</v>
      </c>
      <c r="L21" s="132" t="s">
        <v>175</v>
      </c>
      <c r="M21" s="117">
        <v>8</v>
      </c>
      <c r="N21" s="117" t="s">
        <v>65</v>
      </c>
      <c r="O21" s="117" t="str">
        <f t="shared" si="22"/>
        <v>86790-0K171BP</v>
      </c>
      <c r="P21" s="119">
        <v>1518</v>
      </c>
      <c r="Q21" s="120">
        <v>1222</v>
      </c>
      <c r="R21" s="120">
        <v>740</v>
      </c>
      <c r="S21" s="120">
        <v>583</v>
      </c>
      <c r="T21" s="127"/>
      <c r="U21" s="30"/>
      <c r="V21" s="119">
        <v>1518</v>
      </c>
      <c r="W21" s="119">
        <v>1329</v>
      </c>
      <c r="X21" s="119">
        <v>826</v>
      </c>
      <c r="Y21" s="122"/>
      <c r="Z21" s="2"/>
      <c r="AA21" s="30">
        <f t="shared" ref="AA21:AC21" si="35">P21-V21</f>
        <v>0</v>
      </c>
      <c r="AB21" s="30">
        <f t="shared" si="35"/>
        <v>-107</v>
      </c>
      <c r="AC21" s="30">
        <f t="shared" si="35"/>
        <v>-86</v>
      </c>
      <c r="AD21" s="2"/>
      <c r="AE21" s="123">
        <f t="shared" ref="AE21:AG21" si="36">P21/V21</f>
        <v>1</v>
      </c>
      <c r="AF21" s="123">
        <f t="shared" si="36"/>
        <v>0.9194883371</v>
      </c>
      <c r="AG21" s="123">
        <f t="shared" si="36"/>
        <v>0.8958837772</v>
      </c>
      <c r="AH21" s="124"/>
      <c r="AI21" s="72"/>
      <c r="AJ21" s="123">
        <f t="shared" ref="AJ21:AL21" si="37">AA21/V21</f>
        <v>0</v>
      </c>
      <c r="AK21" s="123">
        <f t="shared" si="37"/>
        <v>-0.0805116629</v>
      </c>
      <c r="AL21" s="123">
        <f t="shared" si="37"/>
        <v>-0.1041162228</v>
      </c>
      <c r="AM21" s="124"/>
      <c r="AN21" s="127"/>
      <c r="AO21" s="2" t="s">
        <v>176</v>
      </c>
      <c r="AP21" s="125" t="s">
        <v>177</v>
      </c>
      <c r="AQ21" s="2"/>
      <c r="AR21" s="2"/>
    </row>
    <row r="22" ht="15" customHeight="1" spans="1:44" x14ac:dyDescent="0.25">
      <c r="A22" s="108" t="s">
        <v>65</v>
      </c>
      <c r="B22" s="108" t="s">
        <v>148</v>
      </c>
      <c r="C22" s="108" t="s">
        <v>149</v>
      </c>
      <c r="D22" s="53">
        <v>6</v>
      </c>
      <c r="E22" s="126" t="s">
        <v>184</v>
      </c>
      <c r="F22" s="130" t="s">
        <v>184</v>
      </c>
      <c r="G22" s="131"/>
      <c r="H22" s="126" t="b">
        <f t="shared" si="21"/>
        <v>1</v>
      </c>
      <c r="I22" s="117" t="s">
        <v>185</v>
      </c>
      <c r="J22" s="117" t="s">
        <v>173</v>
      </c>
      <c r="K22" s="117" t="s">
        <v>174</v>
      </c>
      <c r="L22" s="132" t="s">
        <v>175</v>
      </c>
      <c r="M22" s="117">
        <v>8</v>
      </c>
      <c r="N22" s="117" t="s">
        <v>65</v>
      </c>
      <c r="O22" s="117" t="str">
        <f t="shared" si="22"/>
        <v>86790-0K181BP</v>
      </c>
      <c r="P22" s="119">
        <v>99</v>
      </c>
      <c r="Q22" s="120">
        <v>48</v>
      </c>
      <c r="R22" s="120">
        <v>41</v>
      </c>
      <c r="S22" s="120">
        <v>39</v>
      </c>
      <c r="T22" s="127"/>
      <c r="U22" s="30"/>
      <c r="V22" s="119">
        <v>99</v>
      </c>
      <c r="W22" s="119">
        <v>47</v>
      </c>
      <c r="X22" s="119">
        <v>45</v>
      </c>
      <c r="Y22" s="122"/>
      <c r="Z22" s="2"/>
      <c r="AA22" s="30">
        <f t="shared" ref="AA22:AC22" si="38">P22-V22</f>
        <v>0</v>
      </c>
      <c r="AB22" s="30">
        <f t="shared" si="38"/>
        <v>1</v>
      </c>
      <c r="AC22" s="30">
        <f t="shared" si="38"/>
        <v>-4</v>
      </c>
      <c r="AD22" s="2"/>
      <c r="AE22" s="123">
        <f t="shared" ref="AE22:AG22" si="39">P22/V22</f>
        <v>1</v>
      </c>
      <c r="AF22" s="123">
        <f t="shared" si="39"/>
        <v>1.021276596</v>
      </c>
      <c r="AG22" s="123">
        <f t="shared" si="39"/>
        <v>0.9111111111</v>
      </c>
      <c r="AH22" s="124"/>
      <c r="AI22" s="72"/>
      <c r="AJ22" s="123">
        <f t="shared" ref="AJ22:AL22" si="40">AA22/V22</f>
        <v>0</v>
      </c>
      <c r="AK22" s="123">
        <f t="shared" si="40"/>
        <v>0.02127659574</v>
      </c>
      <c r="AL22" s="123">
        <f t="shared" si="40"/>
        <v>-0.08888888889</v>
      </c>
      <c r="AM22" s="124"/>
      <c r="AN22" s="127"/>
      <c r="AO22" s="2" t="s">
        <v>176</v>
      </c>
      <c r="AP22" s="125" t="s">
        <v>177</v>
      </c>
      <c r="AQ22" s="2"/>
      <c r="AR22" s="2"/>
    </row>
    <row r="23" ht="15" customHeight="1" spans="1:44" x14ac:dyDescent="0.25">
      <c r="A23" s="108" t="s">
        <v>65</v>
      </c>
      <c r="B23" s="108" t="s">
        <v>148</v>
      </c>
      <c r="C23" s="108" t="s">
        <v>149</v>
      </c>
      <c r="D23" s="53">
        <v>7</v>
      </c>
      <c r="E23" s="126" t="s">
        <v>186</v>
      </c>
      <c r="F23" s="130" t="s">
        <v>186</v>
      </c>
      <c r="G23" s="131"/>
      <c r="H23" s="126" t="b">
        <f t="shared" si="21"/>
        <v>1</v>
      </c>
      <c r="I23" s="117" t="s">
        <v>187</v>
      </c>
      <c r="J23" s="117" t="s">
        <v>173</v>
      </c>
      <c r="K23" s="117" t="s">
        <v>174</v>
      </c>
      <c r="L23" s="132" t="s">
        <v>175</v>
      </c>
      <c r="M23" s="117">
        <v>6</v>
      </c>
      <c r="N23" s="117" t="s">
        <v>65</v>
      </c>
      <c r="O23" s="117" t="str">
        <f t="shared" si="22"/>
        <v>86790-0K190BP</v>
      </c>
      <c r="P23" s="119">
        <v>122</v>
      </c>
      <c r="Q23" s="120">
        <v>625</v>
      </c>
      <c r="R23" s="120">
        <v>479</v>
      </c>
      <c r="S23" s="120">
        <v>409</v>
      </c>
      <c r="T23" s="127"/>
      <c r="U23" s="30"/>
      <c r="V23" s="119">
        <v>122</v>
      </c>
      <c r="W23" s="119">
        <v>562</v>
      </c>
      <c r="X23" s="119">
        <v>433</v>
      </c>
      <c r="Y23" s="122"/>
      <c r="Z23" s="2"/>
      <c r="AA23" s="30">
        <f t="shared" ref="AA23:AC23" si="41">P23-V23</f>
        <v>0</v>
      </c>
      <c r="AB23" s="30">
        <f t="shared" si="41"/>
        <v>63</v>
      </c>
      <c r="AC23" s="30">
        <f t="shared" si="41"/>
        <v>46</v>
      </c>
      <c r="AD23" s="2"/>
      <c r="AE23" s="123">
        <f t="shared" ref="AE23:AG23" si="42">P23/V23</f>
        <v>1</v>
      </c>
      <c r="AF23" s="123">
        <f t="shared" si="42"/>
        <v>1.112099644</v>
      </c>
      <c r="AG23" s="123">
        <f t="shared" si="42"/>
        <v>1.106235566</v>
      </c>
      <c r="AH23" s="124"/>
      <c r="AI23" s="72"/>
      <c r="AJ23" s="123">
        <f t="shared" ref="AJ23:AL23" si="43">AA23/V23</f>
        <v>0</v>
      </c>
      <c r="AK23" s="123">
        <f t="shared" si="43"/>
        <v>0.1120996441</v>
      </c>
      <c r="AL23" s="123">
        <f t="shared" si="43"/>
        <v>0.1062355658</v>
      </c>
      <c r="AM23" s="124"/>
      <c r="AN23" s="127" t="s">
        <v>155</v>
      </c>
      <c r="AO23" s="2" t="s">
        <v>176</v>
      </c>
      <c r="AP23" s="125" t="s">
        <v>177</v>
      </c>
      <c r="AQ23" s="2"/>
      <c r="AR23" s="2"/>
    </row>
    <row r="24" ht="15" customHeight="1" spans="1:44" x14ac:dyDescent="0.25">
      <c r="A24" s="108" t="s">
        <v>65</v>
      </c>
      <c r="B24" s="108" t="s">
        <v>148</v>
      </c>
      <c r="C24" s="108" t="s">
        <v>149</v>
      </c>
      <c r="D24" s="53">
        <v>8</v>
      </c>
      <c r="E24" s="126" t="s">
        <v>188</v>
      </c>
      <c r="F24" s="130" t="s">
        <v>188</v>
      </c>
      <c r="G24" s="131"/>
      <c r="H24" s="126" t="b">
        <f t="shared" si="21"/>
        <v>1</v>
      </c>
      <c r="I24" s="117" t="s">
        <v>189</v>
      </c>
      <c r="J24" s="117" t="s">
        <v>173</v>
      </c>
      <c r="K24" s="117" t="s">
        <v>174</v>
      </c>
      <c r="L24" s="132" t="s">
        <v>175</v>
      </c>
      <c r="M24" s="117">
        <v>10</v>
      </c>
      <c r="N24" s="117" t="s">
        <v>65</v>
      </c>
      <c r="O24" s="117" t="str">
        <f t="shared" si="22"/>
        <v>86790-0K230BP</v>
      </c>
      <c r="P24" s="119">
        <v>640</v>
      </c>
      <c r="Q24" s="120">
        <v>785</v>
      </c>
      <c r="R24" s="120">
        <v>690</v>
      </c>
      <c r="S24" s="120">
        <v>669</v>
      </c>
      <c r="T24" s="127"/>
      <c r="U24" s="30"/>
      <c r="V24" s="119">
        <v>640</v>
      </c>
      <c r="W24" s="119">
        <v>761</v>
      </c>
      <c r="X24" s="119">
        <v>680</v>
      </c>
      <c r="Y24" s="122"/>
      <c r="Z24" s="2"/>
      <c r="AA24" s="30">
        <f t="shared" ref="AA24:AC24" si="44">P24-V24</f>
        <v>0</v>
      </c>
      <c r="AB24" s="62">
        <f t="shared" si="44"/>
        <v>24</v>
      </c>
      <c r="AC24" s="62">
        <f t="shared" si="44"/>
        <v>10</v>
      </c>
      <c r="AD24" s="2"/>
      <c r="AE24" s="123">
        <f t="shared" ref="AE24:AG24" si="45">P24/V24</f>
        <v>1</v>
      </c>
      <c r="AF24" s="123">
        <f t="shared" si="45"/>
        <v>1.031537451</v>
      </c>
      <c r="AG24" s="123">
        <f t="shared" si="45"/>
        <v>1.014705882</v>
      </c>
      <c r="AH24" s="124"/>
      <c r="AI24" s="72"/>
      <c r="AJ24" s="123">
        <f t="shared" ref="AJ24:AL24" si="46">AA24/V24</f>
        <v>0</v>
      </c>
      <c r="AK24" s="123">
        <f t="shared" si="46"/>
        <v>0.03153745072</v>
      </c>
      <c r="AL24" s="123">
        <f t="shared" si="46"/>
        <v>0.01470588235</v>
      </c>
      <c r="AM24" s="124"/>
      <c r="AN24" s="127"/>
      <c r="AO24" s="2" t="s">
        <v>176</v>
      </c>
      <c r="AP24" s="125" t="s">
        <v>177</v>
      </c>
      <c r="AQ24" s="2"/>
      <c r="AR24" s="2"/>
    </row>
    <row r="25" ht="15" customHeight="1" spans="1:44" x14ac:dyDescent="0.25">
      <c r="A25" s="108" t="s">
        <v>65</v>
      </c>
      <c r="B25" s="108" t="s">
        <v>148</v>
      </c>
      <c r="C25" s="108" t="s">
        <v>166</v>
      </c>
      <c r="D25" s="53">
        <v>9</v>
      </c>
      <c r="E25" s="126" t="s">
        <v>167</v>
      </c>
      <c r="F25" s="131"/>
      <c r="G25" s="131"/>
      <c r="H25" s="126"/>
      <c r="I25" s="117" t="s">
        <v>190</v>
      </c>
      <c r="J25" s="117" t="s">
        <v>173</v>
      </c>
      <c r="K25" s="117" t="s">
        <v>191</v>
      </c>
      <c r="L25" s="118" t="s">
        <v>192</v>
      </c>
      <c r="M25" s="117">
        <v>25</v>
      </c>
      <c r="N25" s="117"/>
      <c r="O25" s="117"/>
      <c r="P25" s="119">
        <v>592</v>
      </c>
      <c r="Q25" s="120">
        <v>1812</v>
      </c>
      <c r="R25" s="120">
        <v>1486</v>
      </c>
      <c r="S25" s="120">
        <v>1590</v>
      </c>
      <c r="T25" s="127"/>
      <c r="U25" s="30"/>
      <c r="V25" s="119">
        <v>494</v>
      </c>
      <c r="W25" s="119">
        <v>1818</v>
      </c>
      <c r="X25" s="119">
        <v>1498</v>
      </c>
      <c r="Y25" s="122"/>
      <c r="Z25" s="2"/>
      <c r="AA25" s="30">
        <f t="shared" ref="AA25:AC25" si="47">P25-V25</f>
        <v>98</v>
      </c>
      <c r="AB25" s="30">
        <f t="shared" si="47"/>
        <v>-6</v>
      </c>
      <c r="AC25" s="30">
        <f t="shared" si="47"/>
        <v>-12</v>
      </c>
      <c r="AD25" s="2"/>
      <c r="AE25" s="123"/>
      <c r="AF25" s="123"/>
      <c r="AG25" s="123"/>
      <c r="AH25" s="124"/>
      <c r="AI25" s="72"/>
      <c r="AJ25" s="123">
        <f t="shared" ref="AJ25:AL25" si="48">AA25/V25</f>
        <v>0.1983805668</v>
      </c>
      <c r="AK25" s="123">
        <f t="shared" si="48"/>
        <v>-0.003300330033</v>
      </c>
      <c r="AL25" s="123">
        <f t="shared" si="48"/>
        <v>-0.008010680908</v>
      </c>
      <c r="AM25" s="124"/>
      <c r="AN25" s="127"/>
      <c r="AO25" s="2"/>
      <c r="AP25" s="125"/>
      <c r="AQ25" s="2"/>
      <c r="AR25" s="2"/>
    </row>
    <row r="26" ht="15" customHeight="1" spans="1:44" x14ac:dyDescent="0.25">
      <c r="A26" s="108" t="s">
        <v>65</v>
      </c>
      <c r="B26" s="108" t="s">
        <v>148</v>
      </c>
      <c r="C26" s="108" t="s">
        <v>166</v>
      </c>
      <c r="D26" s="53">
        <v>11</v>
      </c>
      <c r="E26" s="126" t="s">
        <v>169</v>
      </c>
      <c r="F26" s="131"/>
      <c r="G26" s="131"/>
      <c r="H26" s="126"/>
      <c r="I26" s="117" t="s">
        <v>193</v>
      </c>
      <c r="J26" s="117" t="s">
        <v>173</v>
      </c>
      <c r="K26" s="117" t="s">
        <v>191</v>
      </c>
      <c r="L26" s="118" t="s">
        <v>192</v>
      </c>
      <c r="M26" s="117">
        <v>38</v>
      </c>
      <c r="N26" s="117"/>
      <c r="O26" s="117"/>
      <c r="P26" s="119">
        <v>592</v>
      </c>
      <c r="Q26" s="120">
        <v>1812</v>
      </c>
      <c r="R26" s="120">
        <v>1486</v>
      </c>
      <c r="S26" s="120">
        <v>1590</v>
      </c>
      <c r="T26" s="127"/>
      <c r="U26" s="30"/>
      <c r="V26" s="119">
        <v>494</v>
      </c>
      <c r="W26" s="119">
        <v>1818</v>
      </c>
      <c r="X26" s="119">
        <v>1498</v>
      </c>
      <c r="Y26" s="122"/>
      <c r="Z26" s="2"/>
      <c r="AA26" s="30">
        <f t="shared" ref="AA26:AC26" si="49">P26-V26</f>
        <v>98</v>
      </c>
      <c r="AB26" s="30">
        <f t="shared" si="49"/>
        <v>-6</v>
      </c>
      <c r="AC26" s="30">
        <f t="shared" si="49"/>
        <v>-12</v>
      </c>
      <c r="AD26" s="2"/>
      <c r="AE26" s="123"/>
      <c r="AF26" s="123"/>
      <c r="AG26" s="123"/>
      <c r="AH26" s="124"/>
      <c r="AI26" s="72"/>
      <c r="AJ26" s="123">
        <f t="shared" ref="AJ26:AL26" si="50">AA26/V26</f>
        <v>0.1983805668</v>
      </c>
      <c r="AK26" s="123">
        <f t="shared" si="50"/>
        <v>-0.003300330033</v>
      </c>
      <c r="AL26" s="123">
        <f t="shared" si="50"/>
        <v>-0.008010680908</v>
      </c>
      <c r="AM26" s="124"/>
      <c r="AN26" s="127"/>
      <c r="AO26" s="2"/>
      <c r="AP26" s="125"/>
      <c r="AQ26" s="2"/>
      <c r="AR26" s="2"/>
    </row>
    <row r="27" ht="15" customHeight="1" spans="1:44" x14ac:dyDescent="0.25">
      <c r="A27" s="2"/>
      <c r="B27" s="2"/>
      <c r="C27" s="2"/>
      <c r="D27" s="2"/>
      <c r="E27" s="2"/>
      <c r="F27" s="133"/>
      <c r="G27" s="133"/>
      <c r="H27" s="2"/>
      <c r="I27" s="2"/>
      <c r="J27" s="2"/>
      <c r="K27" s="2"/>
      <c r="L27" s="128"/>
      <c r="M27" s="2"/>
      <c r="N27" s="2"/>
      <c r="O27" s="2"/>
      <c r="P27" s="30"/>
      <c r="Q27" s="30"/>
      <c r="R27" s="30"/>
      <c r="S27" s="30"/>
      <c r="T27" s="127"/>
      <c r="U27" s="30"/>
      <c r="V27" s="30"/>
      <c r="W27" s="30"/>
      <c r="X27" s="30"/>
      <c r="Y27" s="30"/>
      <c r="Z27" s="2"/>
      <c r="AA27" s="30"/>
      <c r="AB27" s="30"/>
      <c r="AC27" s="30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127"/>
      <c r="AO27" s="2"/>
      <c r="AP27" s="2"/>
      <c r="AQ27" s="2"/>
      <c r="AR27" s="2"/>
    </row>
    <row r="28" ht="15" customHeight="1" spans="1:44" x14ac:dyDescent="0.25">
      <c r="A28" s="2"/>
      <c r="B28" s="2"/>
      <c r="C28" s="2"/>
      <c r="D28" s="2"/>
      <c r="E28" s="2"/>
      <c r="F28" s="133"/>
      <c r="G28" s="13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00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127"/>
      <c r="AO28" s="2"/>
      <c r="AP28" s="2"/>
      <c r="AQ28" s="2"/>
      <c r="AR28" s="2"/>
    </row>
    <row r="29" ht="15" customHeight="1" spans="1:44" x14ac:dyDescent="0.25">
      <c r="A29" s="2"/>
      <c r="B29" s="2"/>
      <c r="C29" s="2"/>
      <c r="D29" s="108" t="s">
        <v>62</v>
      </c>
      <c r="E29" s="98">
        <f>E2</f>
      </c>
      <c r="F29" s="98"/>
      <c r="G29" s="98"/>
      <c r="H29" s="98"/>
      <c r="I29" s="98">
        <f>I5</f>
        <v>NaN</v>
      </c>
      <c r="J29" s="98"/>
      <c r="K29" s="2"/>
      <c r="L29" s="2"/>
      <c r="M29" s="2"/>
      <c r="N29" s="2"/>
      <c r="O29" s="2"/>
      <c r="P29" s="105" t="str">
        <f t="shared" ref="P29:S29" si="51">P15</f>
        <v>Jan</v>
      </c>
      <c r="Q29" s="105" t="str">
        <f t="shared" si="51"/>
        <v>Feb</v>
      </c>
      <c r="R29" s="105" t="str">
        <f t="shared" si="51"/>
        <v>Mar</v>
      </c>
      <c r="S29" s="105" t="str">
        <f t="shared" si="51"/>
        <v>Apr</v>
      </c>
      <c r="T29" s="100"/>
      <c r="U29" s="2"/>
      <c r="V29" s="10" t="s">
        <v>132</v>
      </c>
      <c r="W29" s="110"/>
      <c r="X29" s="110"/>
      <c r="Y29" s="110"/>
      <c r="Z29" s="2"/>
      <c r="AA29" s="2"/>
      <c r="AB29" s="2"/>
      <c r="AC29" s="2"/>
      <c r="AD29" s="2"/>
      <c r="AE29" s="10" t="s">
        <v>133</v>
      </c>
      <c r="AF29" s="110"/>
      <c r="AG29" s="110"/>
      <c r="AH29" s="110"/>
      <c r="AI29" s="100"/>
      <c r="AJ29" s="10" t="s">
        <v>133</v>
      </c>
      <c r="AK29" s="110"/>
      <c r="AL29" s="110"/>
      <c r="AM29" s="110"/>
      <c r="AN29" s="127"/>
      <c r="AO29" s="2"/>
      <c r="AP29" s="2"/>
      <c r="AQ29" s="2"/>
      <c r="AR29" s="2"/>
    </row>
    <row r="30" ht="15" customHeight="1" spans="1:44" x14ac:dyDescent="0.25">
      <c r="A30" s="2"/>
      <c r="B30" s="2"/>
      <c r="C30" s="2"/>
      <c r="D30" s="111" t="s">
        <v>134</v>
      </c>
      <c r="E30" s="111" t="s">
        <v>4</v>
      </c>
      <c r="F30" s="111"/>
      <c r="G30" s="111"/>
      <c r="H30" s="111"/>
      <c r="I30" s="111" t="s">
        <v>135</v>
      </c>
      <c r="J30" s="111" t="s">
        <v>136</v>
      </c>
      <c r="K30" s="111" t="s">
        <v>137</v>
      </c>
      <c r="L30" s="111" t="s">
        <v>5</v>
      </c>
      <c r="M30" s="111" t="s">
        <v>139</v>
      </c>
      <c r="N30" s="112" t="s">
        <v>50</v>
      </c>
      <c r="O30" s="112"/>
      <c r="P30" s="113" t="s">
        <v>140</v>
      </c>
      <c r="Q30" s="113" t="s">
        <v>141</v>
      </c>
      <c r="R30" s="113" t="s">
        <v>142</v>
      </c>
      <c r="S30" s="113" t="s">
        <v>143</v>
      </c>
      <c r="T30" s="100"/>
      <c r="U30" s="2"/>
      <c r="V30" s="113" t="s">
        <v>140</v>
      </c>
      <c r="W30" s="113" t="s">
        <v>141</v>
      </c>
      <c r="X30" s="113" t="s">
        <v>142</v>
      </c>
      <c r="Y30" s="113" t="s">
        <v>143</v>
      </c>
      <c r="Z30" s="2"/>
      <c r="AA30" s="2"/>
      <c r="AB30" s="2"/>
      <c r="AC30" s="2"/>
      <c r="AD30" s="2"/>
      <c r="AE30" s="111" t="s">
        <v>140</v>
      </c>
      <c r="AF30" s="111" t="s">
        <v>141</v>
      </c>
      <c r="AG30" s="111" t="s">
        <v>142</v>
      </c>
      <c r="AH30" s="111" t="s">
        <v>143</v>
      </c>
      <c r="AI30" s="114"/>
      <c r="AJ30" s="111" t="s">
        <v>140</v>
      </c>
      <c r="AK30" s="111" t="s">
        <v>141</v>
      </c>
      <c r="AL30" s="111" t="s">
        <v>142</v>
      </c>
      <c r="AM30" s="111" t="s">
        <v>143</v>
      </c>
      <c r="AN30" s="127"/>
      <c r="AO30" s="2"/>
      <c r="AP30" s="2"/>
      <c r="AQ30" s="2"/>
      <c r="AR30" s="2"/>
    </row>
    <row r="31" ht="15" customHeight="1" spans="1:44" x14ac:dyDescent="0.25">
      <c r="A31" s="108" t="s">
        <v>62</v>
      </c>
      <c r="B31" s="108" t="s">
        <v>194</v>
      </c>
      <c r="C31" s="108"/>
      <c r="D31" s="2" t="s">
        <v>63</v>
      </c>
      <c r="E31" s="134" t="s">
        <v>18</v>
      </c>
      <c r="F31" s="135" t="s">
        <v>18</v>
      </c>
      <c r="G31" s="133" t="str">
        <f t="shared" ref="G31:G47" si="52">F31&amp;K31</f>
        <v>86790-0K050-00B2</v>
      </c>
      <c r="H31" s="134" t="b">
        <f t="shared" ref="H31:H35" si="53">F31=E31</f>
        <v>1</v>
      </c>
      <c r="I31" s="2" t="s">
        <v>195</v>
      </c>
      <c r="J31" s="2" t="s">
        <v>173</v>
      </c>
      <c r="K31" s="2" t="s">
        <v>196</v>
      </c>
      <c r="L31" s="2" t="s">
        <v>197</v>
      </c>
      <c r="M31" s="2">
        <v>25</v>
      </c>
      <c r="N31" s="2" t="s">
        <v>62</v>
      </c>
      <c r="O31" s="2" t="str">
        <f>LEFT(E31,11)&amp;N31&amp;D31</f>
        <v>86790-0K050BPKTP1</v>
      </c>
      <c r="P31" s="122">
        <v>0</v>
      </c>
      <c r="Q31" s="122">
        <v>0</v>
      </c>
      <c r="R31" s="122">
        <v>0</v>
      </c>
      <c r="S31" s="122">
        <v>0</v>
      </c>
      <c r="T31" s="121">
        <f>SUM(P31:S47)</f>
        <v>115905</v>
      </c>
      <c r="U31" s="30" t="b">
        <f>T31='BPK Daily'!EG39</f>
        <v>0</v>
      </c>
      <c r="V31" s="30">
        <v>0</v>
      </c>
      <c r="W31" s="30">
        <v>0</v>
      </c>
      <c r="X31" s="30">
        <v>0</v>
      </c>
      <c r="Y31" s="122"/>
      <c r="Z31" s="2"/>
      <c r="AA31" s="30">
        <f t="shared" ref="AA31:AC31" si="54">P31-V31</f>
        <v>0</v>
      </c>
      <c r="AB31" s="30">
        <f t="shared" si="54"/>
        <v>0</v>
      </c>
      <c r="AC31" s="30">
        <f t="shared" si="54"/>
        <v>0</v>
      </c>
      <c r="AD31" s="2"/>
      <c r="AE31" s="123" t="str">
        <f t="shared" ref="AE31:AG31" si="55">P31/V31</f>
        <v>#DIV/0!</v>
      </c>
      <c r="AF31" s="123" t="str">
        <f t="shared" si="55"/>
        <v>#DIV/0!</v>
      </c>
      <c r="AG31" s="123" t="str">
        <f t="shared" si="55"/>
        <v>#DIV/0!</v>
      </c>
      <c r="AH31" s="124"/>
      <c r="AI31" s="72"/>
      <c r="AJ31" s="123" t="str">
        <f t="shared" ref="AJ31:AL31" si="56">AA31/V31</f>
        <v>#DIV/0!</v>
      </c>
      <c r="AK31" s="123" t="str">
        <f t="shared" si="56"/>
        <v>#DIV/0!</v>
      </c>
      <c r="AL31" s="123" t="str">
        <f t="shared" si="56"/>
        <v>#DIV/0!</v>
      </c>
      <c r="AM31" s="124"/>
      <c r="AN31" s="100"/>
      <c r="AO31" s="2" t="s">
        <v>198</v>
      </c>
      <c r="AP31" s="125" t="s">
        <v>199</v>
      </c>
      <c r="AQ31" s="2"/>
      <c r="AR31" s="2"/>
    </row>
    <row r="32" ht="15" customHeight="1" spans="1:44" x14ac:dyDescent="0.25">
      <c r="A32" s="108" t="s">
        <v>62</v>
      </c>
      <c r="B32" s="108" t="s">
        <v>194</v>
      </c>
      <c r="C32" s="108"/>
      <c r="D32" s="2" t="s">
        <v>24</v>
      </c>
      <c r="E32" s="134" t="s">
        <v>200</v>
      </c>
      <c r="F32" s="135" t="s">
        <v>200</v>
      </c>
      <c r="G32" s="133" t="str">
        <f t="shared" si="52"/>
        <v>86790-0K220-00D1</v>
      </c>
      <c r="H32" s="134" t="b">
        <f t="shared" si="53"/>
        <v>1</v>
      </c>
      <c r="I32" s="136" t="s">
        <v>201</v>
      </c>
      <c r="J32" s="136" t="s">
        <v>173</v>
      </c>
      <c r="K32" s="136" t="s">
        <v>202</v>
      </c>
      <c r="L32" s="136" t="s">
        <v>203</v>
      </c>
      <c r="M32" s="136">
        <v>20</v>
      </c>
      <c r="N32" s="136" t="s">
        <v>62</v>
      </c>
      <c r="O32" s="2" t="str">
        <f>LEFT(E32,11)&amp;N32</f>
        <v>86790-0K220BPK</v>
      </c>
      <c r="P32" s="119">
        <v>500</v>
      </c>
      <c r="Q32" s="119">
        <v>860</v>
      </c>
      <c r="R32" s="119">
        <v>1240</v>
      </c>
      <c r="S32" s="137">
        <v>1080</v>
      </c>
      <c r="T32" s="127" t="s">
        <v>204</v>
      </c>
      <c r="U32" s="30"/>
      <c r="V32" s="30">
        <v>600</v>
      </c>
      <c r="W32" s="30">
        <v>840</v>
      </c>
      <c r="X32" s="30">
        <v>1240</v>
      </c>
      <c r="Y32" s="122"/>
      <c r="Z32" s="2"/>
      <c r="AA32" s="30">
        <f t="shared" ref="AA32:AC32" si="57">P32-V32</f>
        <v>-100</v>
      </c>
      <c r="AB32" s="30">
        <f t="shared" si="57"/>
        <v>20</v>
      </c>
      <c r="AC32" s="30">
        <f t="shared" si="57"/>
        <v>0</v>
      </c>
      <c r="AD32" s="2"/>
      <c r="AE32" s="123">
        <f t="shared" ref="AE32:AG32" si="58">P32/V32</f>
        <v>0.8333333333</v>
      </c>
      <c r="AF32" s="123">
        <f t="shared" si="58"/>
        <v>1.023809524</v>
      </c>
      <c r="AG32" s="123">
        <f t="shared" si="58"/>
        <v>1</v>
      </c>
      <c r="AH32" s="124"/>
      <c r="AI32" s="72"/>
      <c r="AJ32" s="123">
        <f t="shared" ref="AJ32:AL32" si="59">AA32/V32</f>
        <v>-0.1666666667</v>
      </c>
      <c r="AK32" s="123">
        <f t="shared" si="59"/>
        <v>0.02380952381</v>
      </c>
      <c r="AL32" s="123">
        <f t="shared" si="59"/>
        <v>0</v>
      </c>
      <c r="AM32" s="124"/>
      <c r="AN32" s="100" t="s">
        <v>155</v>
      </c>
      <c r="AO32" s="2" t="s">
        <v>198</v>
      </c>
      <c r="AP32" s="125" t="s">
        <v>199</v>
      </c>
      <c r="AQ32" s="128" t="s">
        <v>205</v>
      </c>
      <c r="AR32" s="2"/>
    </row>
    <row r="33" ht="15" customHeight="1" spans="1:44" x14ac:dyDescent="0.25">
      <c r="A33" s="108" t="s">
        <v>62</v>
      </c>
      <c r="B33" s="108" t="s">
        <v>194</v>
      </c>
      <c r="C33" s="108"/>
      <c r="D33" s="2"/>
      <c r="E33" s="134" t="s">
        <v>150</v>
      </c>
      <c r="F33" s="130" t="s">
        <v>150</v>
      </c>
      <c r="G33" s="133" t="str">
        <f t="shared" si="52"/>
        <v>86790-0K051-00BN</v>
      </c>
      <c r="H33" s="134" t="b">
        <f t="shared" si="53"/>
        <v>1</v>
      </c>
      <c r="I33" s="138" t="s">
        <v>206</v>
      </c>
      <c r="J33" s="138" t="s">
        <v>173</v>
      </c>
      <c r="K33" s="138" t="s">
        <v>207</v>
      </c>
      <c r="L33" s="132" t="s">
        <v>208</v>
      </c>
      <c r="M33" s="138">
        <v>25</v>
      </c>
      <c r="N33" s="139" t="s">
        <v>62</v>
      </c>
      <c r="O33" s="140"/>
      <c r="P33" s="119">
        <v>820</v>
      </c>
      <c r="Q33" s="119">
        <v>860</v>
      </c>
      <c r="R33" s="119">
        <v>700</v>
      </c>
      <c r="S33" s="137">
        <v>660</v>
      </c>
      <c r="T33" s="127"/>
      <c r="U33" s="30"/>
      <c r="V33" s="119">
        <v>820</v>
      </c>
      <c r="W33" s="119">
        <v>820</v>
      </c>
      <c r="X33" s="119">
        <v>670</v>
      </c>
      <c r="Y33" s="122"/>
      <c r="Z33" s="2"/>
      <c r="AA33" s="30">
        <f t="shared" ref="AA33:AC33" si="60">P33-V33</f>
        <v>0</v>
      </c>
      <c r="AB33" s="30">
        <f t="shared" si="60"/>
        <v>40</v>
      </c>
      <c r="AC33" s="30">
        <f t="shared" si="60"/>
        <v>30</v>
      </c>
      <c r="AD33" s="2"/>
      <c r="AE33" s="123">
        <f t="shared" ref="AE33:AG33" si="61">P33/V33</f>
        <v>1</v>
      </c>
      <c r="AF33" s="123">
        <f t="shared" si="61"/>
        <v>1.048780488</v>
      </c>
      <c r="AG33" s="123">
        <f t="shared" si="61"/>
        <v>1.044776119</v>
      </c>
      <c r="AH33" s="124"/>
      <c r="AI33" s="72"/>
      <c r="AJ33" s="123">
        <f t="shared" ref="AJ33:AL33" si="62">AA33/V33</f>
        <v>0</v>
      </c>
      <c r="AK33" s="123">
        <f t="shared" si="62"/>
        <v>0.0487804878</v>
      </c>
      <c r="AL33" s="123">
        <f t="shared" si="62"/>
        <v>0.0447761194</v>
      </c>
      <c r="AM33" s="124"/>
      <c r="AN33" s="100"/>
      <c r="AO33" s="2" t="s">
        <v>198</v>
      </c>
      <c r="AP33" s="125" t="s">
        <v>199</v>
      </c>
      <c r="AQ33" s="2"/>
      <c r="AR33" s="2"/>
    </row>
    <row r="34" ht="15" customHeight="1" spans="1:44" x14ac:dyDescent="0.25">
      <c r="A34" s="108" t="s">
        <v>62</v>
      </c>
      <c r="B34" s="108" t="s">
        <v>194</v>
      </c>
      <c r="C34" s="108"/>
      <c r="D34" s="2"/>
      <c r="E34" s="134" t="s">
        <v>150</v>
      </c>
      <c r="F34" s="130" t="s">
        <v>150</v>
      </c>
      <c r="G34" s="133" t="str">
        <f t="shared" si="52"/>
        <v>86790-0K051-00D1</v>
      </c>
      <c r="H34" s="134" t="b">
        <f t="shared" si="53"/>
        <v>1</v>
      </c>
      <c r="I34" s="138" t="s">
        <v>206</v>
      </c>
      <c r="J34" s="138" t="s">
        <v>173</v>
      </c>
      <c r="K34" s="138" t="s">
        <v>202</v>
      </c>
      <c r="L34" s="132" t="s">
        <v>208</v>
      </c>
      <c r="M34" s="138">
        <v>30</v>
      </c>
      <c r="N34" s="139" t="s">
        <v>62</v>
      </c>
      <c r="O34" s="140" t="str">
        <f t="shared" ref="O34:O35" si="63">LEFT(E34,11)&amp;N34&amp;D34</f>
        <v>86790-0K051BPK</v>
      </c>
      <c r="P34" s="119">
        <v>7560</v>
      </c>
      <c r="Q34" s="119">
        <v>4200</v>
      </c>
      <c r="R34" s="119">
        <v>6300</v>
      </c>
      <c r="S34" s="137">
        <v>7350</v>
      </c>
      <c r="T34" s="127"/>
      <c r="U34" s="30"/>
      <c r="V34" s="119">
        <v>7830</v>
      </c>
      <c r="W34" s="119">
        <v>5220</v>
      </c>
      <c r="X34" s="119">
        <v>7590</v>
      </c>
      <c r="Y34" s="122"/>
      <c r="Z34" s="2"/>
      <c r="AA34" s="62">
        <f t="shared" ref="AA34:AC34" si="64">P34-V34</f>
        <v>-270</v>
      </c>
      <c r="AB34" s="62">
        <f t="shared" si="64"/>
        <v>-1020</v>
      </c>
      <c r="AC34" s="30">
        <f t="shared" si="64"/>
        <v>-1290</v>
      </c>
      <c r="AD34" s="2"/>
      <c r="AE34" s="123">
        <f t="shared" ref="AE34:AG34" si="65">P34/V34</f>
        <v>0.9655172414</v>
      </c>
      <c r="AF34" s="123">
        <f t="shared" si="65"/>
        <v>0.8045977011</v>
      </c>
      <c r="AG34" s="123">
        <f t="shared" si="65"/>
        <v>0.8300395257</v>
      </c>
      <c r="AH34" s="124"/>
      <c r="AI34" s="72"/>
      <c r="AJ34" s="123">
        <f t="shared" ref="AJ34:AL34" si="66">AA34/V34</f>
        <v>-0.03448275862</v>
      </c>
      <c r="AK34" s="123">
        <f t="shared" si="66"/>
        <v>-0.1954022989</v>
      </c>
      <c r="AL34" s="123">
        <f t="shared" si="66"/>
        <v>-0.1699604743</v>
      </c>
      <c r="AM34" s="124"/>
      <c r="AN34" s="100" t="s">
        <v>155</v>
      </c>
      <c r="AO34" s="2" t="s">
        <v>198</v>
      </c>
      <c r="AP34" s="125" t="s">
        <v>199</v>
      </c>
      <c r="AQ34" s="2" t="s">
        <v>209</v>
      </c>
      <c r="AR34" s="2"/>
    </row>
    <row r="35" ht="15" customHeight="1" spans="1:44" x14ac:dyDescent="0.25">
      <c r="A35" s="108" t="s">
        <v>62</v>
      </c>
      <c r="B35" s="108" t="s">
        <v>194</v>
      </c>
      <c r="C35" s="108"/>
      <c r="D35" s="2" t="s">
        <v>63</v>
      </c>
      <c r="E35" s="134" t="s">
        <v>23</v>
      </c>
      <c r="F35" s="130" t="s">
        <v>23</v>
      </c>
      <c r="G35" s="133" t="str">
        <f t="shared" si="52"/>
        <v>86790-0K110-00BN</v>
      </c>
      <c r="H35" s="134" t="b">
        <f t="shared" si="53"/>
        <v>1</v>
      </c>
      <c r="I35" s="138" t="s">
        <v>210</v>
      </c>
      <c r="J35" s="138" t="s">
        <v>173</v>
      </c>
      <c r="K35" s="138" t="s">
        <v>207</v>
      </c>
      <c r="L35" s="132" t="s">
        <v>208</v>
      </c>
      <c r="M35" s="138">
        <v>10</v>
      </c>
      <c r="N35" s="139" t="s">
        <v>62</v>
      </c>
      <c r="O35" s="140" t="str">
        <f t="shared" si="63"/>
        <v>86790-0K110BPKTP1</v>
      </c>
      <c r="P35" s="119">
        <v>60</v>
      </c>
      <c r="Q35" s="119">
        <v>80</v>
      </c>
      <c r="R35" s="119">
        <v>220</v>
      </c>
      <c r="S35" s="137">
        <v>210</v>
      </c>
      <c r="T35" s="127"/>
      <c r="U35" s="30"/>
      <c r="V35" s="119">
        <v>150</v>
      </c>
      <c r="W35" s="119">
        <v>160</v>
      </c>
      <c r="X35" s="119">
        <v>190</v>
      </c>
      <c r="Y35" s="122"/>
      <c r="Z35" s="2"/>
      <c r="AA35" s="30">
        <f t="shared" ref="AA35:AC35" si="67">P35-V35</f>
        <v>-90</v>
      </c>
      <c r="AB35" s="30">
        <f t="shared" si="67"/>
        <v>-80</v>
      </c>
      <c r="AC35" s="30">
        <f t="shared" si="67"/>
        <v>30</v>
      </c>
      <c r="AD35" s="2"/>
      <c r="AE35" s="123">
        <f t="shared" ref="AE35:AG35" si="68">P35/V35</f>
        <v>0.4</v>
      </c>
      <c r="AF35" s="123">
        <f t="shared" si="68"/>
        <v>0.5</v>
      </c>
      <c r="AG35" s="123">
        <f t="shared" si="68"/>
        <v>1.157894737</v>
      </c>
      <c r="AH35" s="124"/>
      <c r="AI35" s="72"/>
      <c r="AJ35" s="123">
        <f t="shared" ref="AJ35:AL35" si="69">AA35/V35</f>
        <v>-0.6</v>
      </c>
      <c r="AK35" s="123">
        <f t="shared" si="69"/>
        <v>-0.5</v>
      </c>
      <c r="AL35" s="123">
        <f t="shared" si="69"/>
        <v>0.1578947368</v>
      </c>
      <c r="AM35" s="124"/>
      <c r="AN35" s="100"/>
      <c r="AO35" s="2" t="s">
        <v>198</v>
      </c>
      <c r="AP35" s="125" t="s">
        <v>199</v>
      </c>
      <c r="AQ35" s="2"/>
      <c r="AR35" s="2"/>
    </row>
    <row r="36" ht="15" customHeight="1" spans="1:44" x14ac:dyDescent="0.25">
      <c r="A36" s="108" t="s">
        <v>62</v>
      </c>
      <c r="B36" s="108" t="s">
        <v>194</v>
      </c>
      <c r="C36" s="108"/>
      <c r="D36" s="2"/>
      <c r="E36" s="134" t="s">
        <v>23</v>
      </c>
      <c r="F36" s="130" t="s">
        <v>23</v>
      </c>
      <c r="G36" s="133" t="str">
        <f t="shared" si="52"/>
        <v>86790-0K110-00D1</v>
      </c>
      <c r="H36" s="134"/>
      <c r="I36" s="138" t="s">
        <v>210</v>
      </c>
      <c r="J36" s="138" t="s">
        <v>173</v>
      </c>
      <c r="K36" s="138" t="s">
        <v>202</v>
      </c>
      <c r="L36" s="132" t="s">
        <v>208</v>
      </c>
      <c r="M36" s="138">
        <v>20</v>
      </c>
      <c r="N36" s="139"/>
      <c r="O36" s="140"/>
      <c r="P36" s="119">
        <v>5620</v>
      </c>
      <c r="Q36" s="119">
        <v>3820</v>
      </c>
      <c r="R36" s="119">
        <v>5240</v>
      </c>
      <c r="S36" s="137">
        <v>5720</v>
      </c>
      <c r="T36" s="127"/>
      <c r="U36" s="30"/>
      <c r="V36" s="119">
        <v>5700</v>
      </c>
      <c r="W36" s="119">
        <v>4100</v>
      </c>
      <c r="X36" s="119">
        <v>5240</v>
      </c>
      <c r="Y36" s="122"/>
      <c r="Z36" s="2"/>
      <c r="AA36" s="30">
        <f t="shared" ref="AA36:AC36" si="70">P36-V36</f>
        <v>-80</v>
      </c>
      <c r="AB36" s="30">
        <f t="shared" si="70"/>
        <v>-280</v>
      </c>
      <c r="AC36" s="30">
        <f t="shared" si="70"/>
        <v>0</v>
      </c>
      <c r="AD36" s="2"/>
      <c r="AE36" s="123">
        <f t="shared" ref="AE36:AG36" si="71">P36/V36</f>
        <v>0.9859649123</v>
      </c>
      <c r="AF36" s="123">
        <f t="shared" si="71"/>
        <v>0.9317073171</v>
      </c>
      <c r="AG36" s="123">
        <f t="shared" si="71"/>
        <v>1</v>
      </c>
      <c r="AH36" s="124"/>
      <c r="AI36" s="72"/>
      <c r="AJ36" s="123">
        <f t="shared" ref="AJ36:AL36" si="72">AA36/V36</f>
        <v>-0.01403508772</v>
      </c>
      <c r="AK36" s="123">
        <f t="shared" si="72"/>
        <v>-0.06829268293</v>
      </c>
      <c r="AL36" s="123">
        <f t="shared" si="72"/>
        <v>0</v>
      </c>
      <c r="AM36" s="124"/>
      <c r="AN36" s="100" t="s">
        <v>155</v>
      </c>
      <c r="AO36" s="2" t="s">
        <v>198</v>
      </c>
      <c r="AP36" s="125" t="s">
        <v>199</v>
      </c>
      <c r="AQ36" s="2" t="s">
        <v>211</v>
      </c>
      <c r="AR36" s="2"/>
    </row>
    <row r="37" ht="15" customHeight="1" spans="1:44" x14ac:dyDescent="0.25">
      <c r="A37" s="108" t="s">
        <v>62</v>
      </c>
      <c r="B37" s="108" t="s">
        <v>194</v>
      </c>
      <c r="C37" s="108"/>
      <c r="D37" s="2" t="s">
        <v>18</v>
      </c>
      <c r="E37" s="134" t="s">
        <v>212</v>
      </c>
      <c r="F37" s="130" t="s">
        <v>212</v>
      </c>
      <c r="G37" s="133" t="str">
        <f t="shared" si="52"/>
        <v>86790-0K120-00D1</v>
      </c>
      <c r="H37" s="134" t="b">
        <f>F37=E37</f>
        <v>1</v>
      </c>
      <c r="I37" s="138" t="s">
        <v>213</v>
      </c>
      <c r="J37" s="138" t="s">
        <v>173</v>
      </c>
      <c r="K37" s="138" t="s">
        <v>202</v>
      </c>
      <c r="L37" s="132" t="s">
        <v>208</v>
      </c>
      <c r="M37" s="138">
        <v>20</v>
      </c>
      <c r="N37" s="139" t="s">
        <v>62</v>
      </c>
      <c r="O37" s="140" t="str">
        <f>LEFT(E37,11)&amp;N37&amp;D37</f>
        <v>86790-0K120BPK86790-0K050-00</v>
      </c>
      <c r="P37" s="119">
        <v>240</v>
      </c>
      <c r="Q37" s="119">
        <v>320</v>
      </c>
      <c r="R37" s="119">
        <v>340</v>
      </c>
      <c r="S37" s="137">
        <v>280</v>
      </c>
      <c r="T37" s="127" t="s">
        <v>214</v>
      </c>
      <c r="U37" s="30"/>
      <c r="V37" s="119">
        <v>280</v>
      </c>
      <c r="W37" s="119">
        <v>320</v>
      </c>
      <c r="X37" s="119">
        <v>340</v>
      </c>
      <c r="Y37" s="122"/>
      <c r="Z37" s="2"/>
      <c r="AA37" s="30">
        <f t="shared" ref="AA37:AC37" si="73">P37-V37</f>
        <v>-40</v>
      </c>
      <c r="AB37" s="30">
        <f t="shared" si="73"/>
        <v>0</v>
      </c>
      <c r="AC37" s="30">
        <f t="shared" si="73"/>
        <v>0</v>
      </c>
      <c r="AD37" s="2"/>
      <c r="AE37" s="123">
        <f t="shared" ref="AE37:AG37" si="74">P37/V37</f>
        <v>0.8571428571</v>
      </c>
      <c r="AF37" s="123">
        <f t="shared" si="74"/>
        <v>1</v>
      </c>
      <c r="AG37" s="123">
        <f t="shared" si="74"/>
        <v>1</v>
      </c>
      <c r="AH37" s="124"/>
      <c r="AI37" s="72"/>
      <c r="AJ37" s="123">
        <f t="shared" ref="AJ37:AL37" si="75">AA37/V37</f>
        <v>-0.1428571429</v>
      </c>
      <c r="AK37" s="123">
        <f t="shared" si="75"/>
        <v>0</v>
      </c>
      <c r="AL37" s="123">
        <f t="shared" si="75"/>
        <v>0</v>
      </c>
      <c r="AM37" s="124"/>
      <c r="AN37" s="100"/>
      <c r="AO37" s="2" t="s">
        <v>198</v>
      </c>
      <c r="AP37" s="125" t="s">
        <v>199</v>
      </c>
      <c r="AQ37" s="2"/>
      <c r="AR37" s="2"/>
    </row>
    <row r="38" ht="15" customHeight="1" spans="1:44" x14ac:dyDescent="0.25">
      <c r="A38" s="108" t="s">
        <v>62</v>
      </c>
      <c r="B38" s="108" t="s">
        <v>194</v>
      </c>
      <c r="C38" s="108"/>
      <c r="D38" s="128"/>
      <c r="E38" s="141" t="s">
        <v>161</v>
      </c>
      <c r="F38" s="142" t="s">
        <v>161</v>
      </c>
      <c r="G38" s="133" t="str">
        <f t="shared" si="52"/>
        <v>86790-0K141-00BN</v>
      </c>
      <c r="H38" s="141"/>
      <c r="I38" s="141" t="s">
        <v>215</v>
      </c>
      <c r="J38" s="141" t="s">
        <v>173</v>
      </c>
      <c r="K38" s="141" t="s">
        <v>207</v>
      </c>
      <c r="L38" s="132" t="s">
        <v>208</v>
      </c>
      <c r="M38" s="138">
        <v>8</v>
      </c>
      <c r="N38" s="139"/>
      <c r="O38" s="140"/>
      <c r="P38" s="119">
        <v>0</v>
      </c>
      <c r="Q38" s="119">
        <v>0</v>
      </c>
      <c r="R38" s="119">
        <v>0</v>
      </c>
      <c r="S38" s="137">
        <v>0</v>
      </c>
      <c r="T38" s="127"/>
      <c r="U38" s="30"/>
      <c r="V38" s="119">
        <v>0</v>
      </c>
      <c r="W38" s="119">
        <v>10</v>
      </c>
      <c r="X38" s="119">
        <v>0</v>
      </c>
      <c r="Y38" s="122"/>
      <c r="Z38" s="2"/>
      <c r="AA38" s="30">
        <f t="shared" ref="AA38:AC38" si="76">P38-V38</f>
        <v>0</v>
      </c>
      <c r="AB38" s="30">
        <f t="shared" si="76"/>
        <v>-10</v>
      </c>
      <c r="AC38" s="30">
        <f t="shared" si="76"/>
        <v>0</v>
      </c>
      <c r="AD38" s="2"/>
      <c r="AE38" s="123" t="str">
        <f t="shared" ref="AE38:AG38" si="77">P38/V38</f>
        <v>#DIV/0!</v>
      </c>
      <c r="AF38" s="123">
        <f t="shared" si="77"/>
        <v>0</v>
      </c>
      <c r="AG38" s="123" t="str">
        <f t="shared" si="77"/>
        <v>#DIV/0!</v>
      </c>
      <c r="AH38" s="124"/>
      <c r="AI38" s="72"/>
      <c r="AJ38" s="123" t="str">
        <f t="shared" ref="AJ38:AL38" si="78">AA38/V38</f>
        <v>#DIV/0!</v>
      </c>
      <c r="AK38" s="123">
        <f t="shared" si="78"/>
        <v>-1</v>
      </c>
      <c r="AL38" s="123" t="str">
        <f t="shared" si="78"/>
        <v>#DIV/0!</v>
      </c>
      <c r="AM38" s="124"/>
      <c r="AN38" s="100"/>
      <c r="AO38" s="2" t="s">
        <v>198</v>
      </c>
      <c r="AP38" s="125" t="s">
        <v>199</v>
      </c>
      <c r="AQ38" s="2"/>
      <c r="AR38" s="2"/>
    </row>
    <row r="39" ht="15" customHeight="1" spans="1:44" x14ac:dyDescent="0.25">
      <c r="A39" s="108" t="s">
        <v>62</v>
      </c>
      <c r="B39" s="108" t="s">
        <v>194</v>
      </c>
      <c r="C39" s="108"/>
      <c r="D39" s="2"/>
      <c r="E39" s="134" t="s">
        <v>161</v>
      </c>
      <c r="F39" s="130" t="s">
        <v>161</v>
      </c>
      <c r="G39" s="133" t="str">
        <f t="shared" si="52"/>
        <v>86790-0K141-00D1</v>
      </c>
      <c r="H39" s="134" t="b">
        <f>F39=E39</f>
        <v>1</v>
      </c>
      <c r="I39" s="138" t="s">
        <v>215</v>
      </c>
      <c r="J39" s="138" t="s">
        <v>173</v>
      </c>
      <c r="K39" s="138" t="s">
        <v>202</v>
      </c>
      <c r="L39" s="132" t="s">
        <v>208</v>
      </c>
      <c r="M39" s="138">
        <v>16</v>
      </c>
      <c r="N39" s="139" t="s">
        <v>62</v>
      </c>
      <c r="O39" s="140" t="str">
        <f>LEFT(E39,11)&amp;N39&amp;D39</f>
        <v>86790-0K141BPK</v>
      </c>
      <c r="P39" s="119">
        <v>2400</v>
      </c>
      <c r="Q39" s="119">
        <v>1008</v>
      </c>
      <c r="R39" s="119">
        <v>1552</v>
      </c>
      <c r="S39" s="137">
        <v>1920</v>
      </c>
      <c r="T39" s="127"/>
      <c r="U39" s="30"/>
      <c r="V39" s="119">
        <v>2704</v>
      </c>
      <c r="W39" s="119">
        <v>1584</v>
      </c>
      <c r="X39" s="119">
        <v>3008</v>
      </c>
      <c r="Y39" s="122"/>
      <c r="Z39" s="2"/>
      <c r="AA39" s="30">
        <f t="shared" ref="AA39:AC39" si="79">P39-V39</f>
        <v>-304</v>
      </c>
      <c r="AB39" s="62">
        <f t="shared" si="79"/>
        <v>-576</v>
      </c>
      <c r="AC39" s="62">
        <f t="shared" si="79"/>
        <v>-1456</v>
      </c>
      <c r="AD39" s="2"/>
      <c r="AE39" s="123">
        <f t="shared" ref="AE39:AG39" si="80">P39/V39</f>
        <v>0.8875739645</v>
      </c>
      <c r="AF39" s="123">
        <f t="shared" si="80"/>
        <v>0.6363636364</v>
      </c>
      <c r="AG39" s="123">
        <f t="shared" si="80"/>
        <v>0.5159574468</v>
      </c>
      <c r="AH39" s="124"/>
      <c r="AI39" s="72"/>
      <c r="AJ39" s="123">
        <f t="shared" ref="AJ39:AL39" si="81">AA39/V39</f>
        <v>-0.1124260355</v>
      </c>
      <c r="AK39" s="123">
        <f t="shared" si="81"/>
        <v>-0.3636363636</v>
      </c>
      <c r="AL39" s="123">
        <f t="shared" si="81"/>
        <v>-0.4840425532</v>
      </c>
      <c r="AM39" s="124"/>
      <c r="AN39" s="100" t="s">
        <v>155</v>
      </c>
      <c r="AO39" s="2" t="s">
        <v>198</v>
      </c>
      <c r="AP39" s="125" t="s">
        <v>199</v>
      </c>
      <c r="AQ39" s="2" t="s">
        <v>216</v>
      </c>
      <c r="AR39" s="2"/>
    </row>
    <row r="40" ht="15" customHeight="1" spans="1:44" x14ac:dyDescent="0.25">
      <c r="A40" s="108" t="s">
        <v>62</v>
      </c>
      <c r="B40" s="108" t="s">
        <v>194</v>
      </c>
      <c r="C40" s="108"/>
      <c r="D40" s="128"/>
      <c r="E40" s="141" t="s">
        <v>163</v>
      </c>
      <c r="F40" s="142" t="s">
        <v>163</v>
      </c>
      <c r="G40" s="133" t="str">
        <f t="shared" si="52"/>
        <v>86790-0K171-00D1</v>
      </c>
      <c r="H40" s="141"/>
      <c r="I40" s="141" t="s">
        <v>217</v>
      </c>
      <c r="J40" s="141" t="s">
        <v>173</v>
      </c>
      <c r="K40" s="141" t="s">
        <v>202</v>
      </c>
      <c r="L40" s="132" t="s">
        <v>208</v>
      </c>
      <c r="M40" s="138">
        <v>16</v>
      </c>
      <c r="N40" s="139"/>
      <c r="O40" s="140"/>
      <c r="P40" s="119">
        <v>16</v>
      </c>
      <c r="Q40" s="119">
        <v>32</v>
      </c>
      <c r="R40" s="119">
        <v>64</v>
      </c>
      <c r="S40" s="137">
        <v>80</v>
      </c>
      <c r="T40" s="127"/>
      <c r="U40" s="30"/>
      <c r="V40" s="119">
        <v>64</v>
      </c>
      <c r="W40" s="119">
        <v>144</v>
      </c>
      <c r="X40" s="119">
        <v>112</v>
      </c>
      <c r="Y40" s="122"/>
      <c r="Z40" s="2"/>
      <c r="AA40" s="30">
        <f t="shared" ref="AA40:AC40" si="82">P40-V40</f>
        <v>-48</v>
      </c>
      <c r="AB40" s="30">
        <f t="shared" si="82"/>
        <v>-112</v>
      </c>
      <c r="AC40" s="30">
        <f t="shared" si="82"/>
        <v>-48</v>
      </c>
      <c r="AD40" s="2"/>
      <c r="AE40" s="123">
        <f t="shared" ref="AE40:AG40" si="83">P40/V40</f>
        <v>0.25</v>
      </c>
      <c r="AF40" s="123">
        <f t="shared" si="83"/>
        <v>0.2222222222</v>
      </c>
      <c r="AG40" s="123">
        <f t="shared" si="83"/>
        <v>0.5714285714</v>
      </c>
      <c r="AH40" s="124"/>
      <c r="AI40" s="72"/>
      <c r="AJ40" s="123">
        <f t="shared" ref="AJ40:AL40" si="84">AA40/V40</f>
        <v>-0.75</v>
      </c>
      <c r="AK40" s="123">
        <f t="shared" si="84"/>
        <v>-0.7777777778</v>
      </c>
      <c r="AL40" s="123">
        <f t="shared" si="84"/>
        <v>-0.4285714286</v>
      </c>
      <c r="AM40" s="124"/>
      <c r="AN40" s="100"/>
      <c r="AO40" s="2" t="s">
        <v>198</v>
      </c>
      <c r="AP40" s="125" t="s">
        <v>199</v>
      </c>
      <c r="AQ40" s="2"/>
      <c r="AR40" s="2"/>
    </row>
    <row r="41" ht="15" customHeight="1" spans="1:44" x14ac:dyDescent="0.25">
      <c r="A41" s="108" t="s">
        <v>62</v>
      </c>
      <c r="B41" s="108" t="s">
        <v>194</v>
      </c>
      <c r="C41" s="108"/>
      <c r="D41" s="2"/>
      <c r="E41" s="134" t="s">
        <v>163</v>
      </c>
      <c r="F41" s="130" t="s">
        <v>163</v>
      </c>
      <c r="G41" s="133" t="str">
        <f t="shared" si="52"/>
        <v>86790-0K171-00BN</v>
      </c>
      <c r="H41" s="134" t="b">
        <f t="shared" ref="H41:H48" si="85">F41=E41</f>
        <v>1</v>
      </c>
      <c r="I41" s="138" t="s">
        <v>217</v>
      </c>
      <c r="J41" s="138" t="s">
        <v>173</v>
      </c>
      <c r="K41" s="138" t="s">
        <v>207</v>
      </c>
      <c r="L41" s="132" t="s">
        <v>208</v>
      </c>
      <c r="M41" s="138">
        <v>8</v>
      </c>
      <c r="N41" s="139" t="s">
        <v>62</v>
      </c>
      <c r="O41" s="140"/>
      <c r="P41" s="119">
        <v>480</v>
      </c>
      <c r="Q41" s="119">
        <v>530</v>
      </c>
      <c r="R41" s="119">
        <v>400</v>
      </c>
      <c r="S41" s="137">
        <v>390</v>
      </c>
      <c r="T41" s="127"/>
      <c r="U41" s="30"/>
      <c r="V41" s="119">
        <v>520</v>
      </c>
      <c r="W41" s="119">
        <v>560</v>
      </c>
      <c r="X41" s="119">
        <v>420</v>
      </c>
      <c r="Y41" s="122"/>
      <c r="Z41" s="2"/>
      <c r="AA41" s="30">
        <f t="shared" ref="AA41:AC41" si="86">P41-V41</f>
        <v>-40</v>
      </c>
      <c r="AB41" s="30">
        <f t="shared" si="86"/>
        <v>-30</v>
      </c>
      <c r="AC41" s="30">
        <f t="shared" si="86"/>
        <v>-20</v>
      </c>
      <c r="AD41" s="2"/>
      <c r="AE41" s="123">
        <f t="shared" ref="AE41:AG41" si="87">P41/V41</f>
        <v>0.9230769231</v>
      </c>
      <c r="AF41" s="123">
        <f t="shared" si="87"/>
        <v>0.9464285714</v>
      </c>
      <c r="AG41" s="123">
        <f t="shared" si="87"/>
        <v>0.9523809524</v>
      </c>
      <c r="AH41" s="124"/>
      <c r="AI41" s="72"/>
      <c r="AJ41" s="123">
        <f t="shared" ref="AJ41:AL41" si="88">AA41/V41</f>
        <v>-0.07692307692</v>
      </c>
      <c r="AK41" s="123">
        <f t="shared" si="88"/>
        <v>-0.05357142857</v>
      </c>
      <c r="AL41" s="123">
        <f t="shared" si="88"/>
        <v>-0.04761904762</v>
      </c>
      <c r="AM41" s="124"/>
      <c r="AN41" s="100"/>
      <c r="AO41" s="2" t="s">
        <v>198</v>
      </c>
      <c r="AP41" s="125" t="s">
        <v>199</v>
      </c>
      <c r="AQ41" s="2"/>
      <c r="AR41" s="2"/>
    </row>
    <row r="42" ht="15" customHeight="1" spans="1:44" x14ac:dyDescent="0.25">
      <c r="A42" s="108" t="s">
        <v>62</v>
      </c>
      <c r="B42" s="108" t="s">
        <v>194</v>
      </c>
      <c r="C42" s="108"/>
      <c r="D42" s="2"/>
      <c r="E42" s="134" t="s">
        <v>184</v>
      </c>
      <c r="F42" s="130" t="s">
        <v>184</v>
      </c>
      <c r="G42" s="133" t="str">
        <f t="shared" si="52"/>
        <v>86790-0K181-00D1</v>
      </c>
      <c r="H42" s="134" t="b">
        <f t="shared" si="85"/>
        <v>1</v>
      </c>
      <c r="I42" s="138" t="s">
        <v>218</v>
      </c>
      <c r="J42" s="138" t="s">
        <v>173</v>
      </c>
      <c r="K42" s="138" t="s">
        <v>202</v>
      </c>
      <c r="L42" s="132" t="s">
        <v>208</v>
      </c>
      <c r="M42" s="138">
        <v>16</v>
      </c>
      <c r="N42" s="139" t="s">
        <v>62</v>
      </c>
      <c r="O42" s="140" t="str">
        <f t="shared" ref="O42:O48" si="89">LEFT(E42,11)&amp;N42&amp;D42</f>
        <v>86790-0K181BPK</v>
      </c>
      <c r="P42" s="119">
        <v>192</v>
      </c>
      <c r="Q42" s="119">
        <v>224</v>
      </c>
      <c r="R42" s="119">
        <v>496</v>
      </c>
      <c r="S42" s="137">
        <v>480</v>
      </c>
      <c r="T42" s="127"/>
      <c r="U42" s="30"/>
      <c r="V42" s="119">
        <v>464</v>
      </c>
      <c r="W42" s="119">
        <v>448</v>
      </c>
      <c r="X42" s="119">
        <v>496</v>
      </c>
      <c r="Y42" s="122"/>
      <c r="Z42" s="2"/>
      <c r="AA42" s="30">
        <f t="shared" ref="AA42:AC42" si="90">P42-V42</f>
        <v>-272</v>
      </c>
      <c r="AB42" s="30">
        <f t="shared" si="90"/>
        <v>-224</v>
      </c>
      <c r="AC42" s="30">
        <f t="shared" si="90"/>
        <v>0</v>
      </c>
      <c r="AD42" s="2"/>
      <c r="AE42" s="123">
        <f t="shared" ref="AE42:AG42" si="91">P42/V42</f>
        <v>0.4137931034</v>
      </c>
      <c r="AF42" s="123">
        <f t="shared" si="91"/>
        <v>0.5</v>
      </c>
      <c r="AG42" s="123">
        <f t="shared" si="91"/>
        <v>1</v>
      </c>
      <c r="AH42" s="124"/>
      <c r="AI42" s="72"/>
      <c r="AJ42" s="123">
        <f t="shared" ref="AJ42:AL42" si="92">AA42/V42</f>
        <v>-0.5862068966</v>
      </c>
      <c r="AK42" s="123">
        <f t="shared" si="92"/>
        <v>-0.5</v>
      </c>
      <c r="AL42" s="123">
        <f t="shared" si="92"/>
        <v>0</v>
      </c>
      <c r="AM42" s="124"/>
      <c r="AN42" s="100" t="s">
        <v>155</v>
      </c>
      <c r="AO42" s="2" t="s">
        <v>198</v>
      </c>
      <c r="AP42" s="125" t="s">
        <v>199</v>
      </c>
      <c r="AQ42" s="2" t="s">
        <v>216</v>
      </c>
      <c r="AR42" s="2"/>
    </row>
    <row r="43" ht="15" customHeight="1" spans="1:44" x14ac:dyDescent="0.25">
      <c r="A43" s="108" t="s">
        <v>62</v>
      </c>
      <c r="B43" s="108" t="s">
        <v>194</v>
      </c>
      <c r="C43" s="108"/>
      <c r="D43" s="2"/>
      <c r="E43" s="134" t="s">
        <v>186</v>
      </c>
      <c r="F43" s="130" t="s">
        <v>186</v>
      </c>
      <c r="G43" s="133" t="str">
        <f t="shared" si="52"/>
        <v>86790-0K190-00D1</v>
      </c>
      <c r="H43" s="134" t="b">
        <f t="shared" si="85"/>
        <v>1</v>
      </c>
      <c r="I43" s="138" t="s">
        <v>219</v>
      </c>
      <c r="J43" s="138" t="s">
        <v>173</v>
      </c>
      <c r="K43" s="138" t="s">
        <v>202</v>
      </c>
      <c r="L43" s="132" t="s">
        <v>208</v>
      </c>
      <c r="M43" s="138">
        <v>42</v>
      </c>
      <c r="N43" s="139" t="s">
        <v>62</v>
      </c>
      <c r="O43" s="140" t="str">
        <f t="shared" si="89"/>
        <v>86790-0K190BPK</v>
      </c>
      <c r="P43" s="119">
        <v>3486</v>
      </c>
      <c r="Q43" s="119">
        <v>2142</v>
      </c>
      <c r="R43" s="119">
        <v>3234</v>
      </c>
      <c r="S43" s="137">
        <v>3654</v>
      </c>
      <c r="T43" s="127"/>
      <c r="U43" s="30"/>
      <c r="V43" s="119">
        <v>3638</v>
      </c>
      <c r="W43" s="119">
        <v>2386</v>
      </c>
      <c r="X43" s="119">
        <v>3492</v>
      </c>
      <c r="Y43" s="122"/>
      <c r="Z43" s="2"/>
      <c r="AA43" s="30">
        <f t="shared" ref="AA43:AC43" si="93">P43-V43</f>
        <v>-152</v>
      </c>
      <c r="AB43" s="62">
        <f t="shared" si="93"/>
        <v>-244</v>
      </c>
      <c r="AC43" s="62">
        <f t="shared" si="93"/>
        <v>-258</v>
      </c>
      <c r="AD43" s="2"/>
      <c r="AE43" s="123">
        <f t="shared" ref="AE43:AG43" si="94">P43/V43</f>
        <v>0.9582188015</v>
      </c>
      <c r="AF43" s="123">
        <f t="shared" si="94"/>
        <v>0.897736798</v>
      </c>
      <c r="AG43" s="123">
        <f t="shared" si="94"/>
        <v>0.9261168385</v>
      </c>
      <c r="AH43" s="124"/>
      <c r="AI43" s="72"/>
      <c r="AJ43" s="123">
        <f t="shared" ref="AJ43:AL43" si="95">AA43/V43</f>
        <v>-0.04178119846</v>
      </c>
      <c r="AK43" s="123">
        <f t="shared" si="95"/>
        <v>-0.102263202</v>
      </c>
      <c r="AL43" s="123">
        <f t="shared" si="95"/>
        <v>-0.07388316151</v>
      </c>
      <c r="AM43" s="124"/>
      <c r="AN43" s="100" t="s">
        <v>155</v>
      </c>
      <c r="AO43" s="2" t="s">
        <v>198</v>
      </c>
      <c r="AP43" s="125" t="s">
        <v>199</v>
      </c>
      <c r="AQ43" s="2" t="s">
        <v>220</v>
      </c>
      <c r="AR43" s="2"/>
    </row>
    <row r="44" ht="15" customHeight="1" spans="1:44" x14ac:dyDescent="0.25">
      <c r="A44" s="108" t="s">
        <v>62</v>
      </c>
      <c r="B44" s="108" t="s">
        <v>194</v>
      </c>
      <c r="C44" s="108"/>
      <c r="D44" s="2"/>
      <c r="E44" s="134" t="s">
        <v>186</v>
      </c>
      <c r="F44" s="130" t="s">
        <v>186</v>
      </c>
      <c r="G44" s="143" t="str">
        <f t="shared" si="52"/>
        <v>86790-0K190-00BN</v>
      </c>
      <c r="H44" s="134" t="b">
        <f t="shared" si="85"/>
        <v>1</v>
      </c>
      <c r="I44" s="138" t="s">
        <v>219</v>
      </c>
      <c r="J44" s="138" t="s">
        <v>173</v>
      </c>
      <c r="K44" s="144" t="s">
        <v>207</v>
      </c>
      <c r="L44" s="132" t="s">
        <v>208</v>
      </c>
      <c r="M44" s="138">
        <v>42</v>
      </c>
      <c r="N44" s="139" t="s">
        <v>62</v>
      </c>
      <c r="O44" s="140" t="str">
        <f t="shared" si="89"/>
        <v>86790-0K190BPK</v>
      </c>
      <c r="P44" s="119">
        <v>20</v>
      </c>
      <c r="Q44" s="119">
        <v>80</v>
      </c>
      <c r="R44" s="119">
        <v>120</v>
      </c>
      <c r="S44" s="79">
        <v>110</v>
      </c>
      <c r="T44" s="127"/>
      <c r="U44" s="30"/>
      <c r="V44" s="119">
        <v>0</v>
      </c>
      <c r="W44" s="119">
        <v>0</v>
      </c>
      <c r="X44" s="119">
        <v>0</v>
      </c>
      <c r="Y44" s="122"/>
      <c r="Z44" s="2"/>
      <c r="AA44" s="30">
        <f t="shared" ref="AA44:AC44" si="96">P44-V44</f>
        <v>20</v>
      </c>
      <c r="AB44" s="62">
        <f t="shared" si="96"/>
        <v>80</v>
      </c>
      <c r="AC44" s="62">
        <f t="shared" si="96"/>
        <v>120</v>
      </c>
      <c r="AD44" s="2"/>
      <c r="AE44" s="123" t="str">
        <f t="shared" ref="AE44:AG44" si="97">P44/V44</f>
        <v>#DIV/0!</v>
      </c>
      <c r="AF44" s="123" t="str">
        <f t="shared" si="97"/>
        <v>#DIV/0!</v>
      </c>
      <c r="AG44" s="123" t="str">
        <f t="shared" si="97"/>
        <v>#DIV/0!</v>
      </c>
      <c r="AH44" s="124"/>
      <c r="AI44" s="72"/>
      <c r="AJ44" s="123" t="str">
        <f t="shared" ref="AJ44:AL44" si="98">AA44/V44</f>
        <v>#DIV/0!</v>
      </c>
      <c r="AK44" s="123" t="str">
        <f t="shared" si="98"/>
        <v>#DIV/0!</v>
      </c>
      <c r="AL44" s="123" t="str">
        <f t="shared" si="98"/>
        <v>#DIV/0!</v>
      </c>
      <c r="AM44" s="124"/>
      <c r="AN44" s="100" t="s">
        <v>155</v>
      </c>
      <c r="AO44" s="2" t="s">
        <v>198</v>
      </c>
      <c r="AP44" s="125" t="s">
        <v>199</v>
      </c>
      <c r="AQ44" s="2" t="s">
        <v>220</v>
      </c>
      <c r="AR44" s="2"/>
    </row>
    <row r="45" ht="15" customHeight="1" spans="1:44" x14ac:dyDescent="0.25">
      <c r="A45" s="108" t="s">
        <v>62</v>
      </c>
      <c r="B45" s="108" t="s">
        <v>194</v>
      </c>
      <c r="C45" s="108"/>
      <c r="D45" s="2" t="s">
        <v>23</v>
      </c>
      <c r="E45" s="134" t="s">
        <v>221</v>
      </c>
      <c r="F45" s="130" t="s">
        <v>221</v>
      </c>
      <c r="G45" s="133" t="str">
        <f t="shared" si="52"/>
        <v>86790-0K200-00D1</v>
      </c>
      <c r="H45" s="134" t="b">
        <f t="shared" si="85"/>
        <v>1</v>
      </c>
      <c r="I45" s="138" t="s">
        <v>222</v>
      </c>
      <c r="J45" s="138" t="s">
        <v>173</v>
      </c>
      <c r="K45" s="138" t="s">
        <v>202</v>
      </c>
      <c r="L45" s="132" t="s">
        <v>208</v>
      </c>
      <c r="M45" s="138">
        <v>20</v>
      </c>
      <c r="N45" s="139" t="s">
        <v>62</v>
      </c>
      <c r="O45" s="140" t="str">
        <f t="shared" si="89"/>
        <v>86790-0K200BPK86790-0K110-00</v>
      </c>
      <c r="P45" s="119">
        <v>2600</v>
      </c>
      <c r="Q45" s="119">
        <v>3100</v>
      </c>
      <c r="R45" s="119">
        <v>2980</v>
      </c>
      <c r="S45" s="137">
        <v>2760</v>
      </c>
      <c r="T45" s="127" t="s">
        <v>214</v>
      </c>
      <c r="U45" s="30"/>
      <c r="V45" s="119">
        <v>2460</v>
      </c>
      <c r="W45" s="119">
        <v>2800</v>
      </c>
      <c r="X45" s="119">
        <v>3040</v>
      </c>
      <c r="Y45" s="122"/>
      <c r="Z45" s="2"/>
      <c r="AA45" s="30">
        <f t="shared" ref="AA45:AC45" si="99">P45-V45</f>
        <v>140</v>
      </c>
      <c r="AB45" s="62">
        <f t="shared" si="99"/>
        <v>300</v>
      </c>
      <c r="AC45" s="62">
        <f t="shared" si="99"/>
        <v>-60</v>
      </c>
      <c r="AD45" s="2"/>
      <c r="AE45" s="123">
        <f t="shared" ref="AE45:AG45" si="100">P45/V45</f>
        <v>1.056910569</v>
      </c>
      <c r="AF45" s="123">
        <f t="shared" si="100"/>
        <v>1.107142857</v>
      </c>
      <c r="AG45" s="123">
        <f t="shared" si="100"/>
        <v>0.9802631579</v>
      </c>
      <c r="AH45" s="124"/>
      <c r="AI45" s="72"/>
      <c r="AJ45" s="123">
        <f t="shared" ref="AJ45:AL45" si="101">AA45/V45</f>
        <v>0.05691056911</v>
      </c>
      <c r="AK45" s="123">
        <f t="shared" si="101"/>
        <v>0.1071428571</v>
      </c>
      <c r="AL45" s="123">
        <f t="shared" si="101"/>
        <v>-0.01973684211</v>
      </c>
      <c r="AM45" s="124"/>
      <c r="AN45" s="100" t="s">
        <v>155</v>
      </c>
      <c r="AO45" s="2" t="s">
        <v>198</v>
      </c>
      <c r="AP45" s="125" t="s">
        <v>199</v>
      </c>
      <c r="AQ45" s="2" t="s">
        <v>220</v>
      </c>
      <c r="AR45" s="2"/>
    </row>
    <row r="46" ht="15" customHeight="1" spans="1:44" x14ac:dyDescent="0.25">
      <c r="A46" s="108" t="s">
        <v>62</v>
      </c>
      <c r="B46" s="108" t="s">
        <v>194</v>
      </c>
      <c r="C46" s="108"/>
      <c r="D46" s="2"/>
      <c r="E46" s="134" t="s">
        <v>188</v>
      </c>
      <c r="F46" s="130" t="s">
        <v>188</v>
      </c>
      <c r="G46" s="133" t="str">
        <f t="shared" si="52"/>
        <v>86790-0K230-00D1</v>
      </c>
      <c r="H46" s="134" t="b">
        <f t="shared" si="85"/>
        <v>1</v>
      </c>
      <c r="I46" s="138" t="s">
        <v>223</v>
      </c>
      <c r="J46" s="138" t="s">
        <v>173</v>
      </c>
      <c r="K46" s="138" t="s">
        <v>202</v>
      </c>
      <c r="L46" s="132" t="s">
        <v>208</v>
      </c>
      <c r="M46" s="138">
        <v>16</v>
      </c>
      <c r="N46" s="139" t="s">
        <v>62</v>
      </c>
      <c r="O46" s="140" t="str">
        <f t="shared" si="89"/>
        <v>86790-0K230BPK</v>
      </c>
      <c r="P46" s="119">
        <v>560</v>
      </c>
      <c r="Q46" s="119">
        <v>304</v>
      </c>
      <c r="R46" s="119">
        <v>576</v>
      </c>
      <c r="S46" s="137">
        <v>720</v>
      </c>
      <c r="T46" s="127"/>
      <c r="U46" s="30"/>
      <c r="V46" s="119">
        <v>560</v>
      </c>
      <c r="W46" s="119">
        <v>544</v>
      </c>
      <c r="X46" s="119">
        <v>720</v>
      </c>
      <c r="Y46" s="122"/>
      <c r="Z46" s="2"/>
      <c r="AA46" s="30">
        <f t="shared" ref="AA46:AC46" si="102">P46-V46</f>
        <v>0</v>
      </c>
      <c r="AB46" s="30">
        <f t="shared" si="102"/>
        <v>-240</v>
      </c>
      <c r="AC46" s="30">
        <f t="shared" si="102"/>
        <v>-144</v>
      </c>
      <c r="AD46" s="2"/>
      <c r="AE46" s="123">
        <f t="shared" ref="AE46:AG46" si="103">P46/V46</f>
        <v>1</v>
      </c>
      <c r="AF46" s="123">
        <f t="shared" si="103"/>
        <v>0.5588235294</v>
      </c>
      <c r="AG46" s="123">
        <f t="shared" si="103"/>
        <v>0.8</v>
      </c>
      <c r="AH46" s="124"/>
      <c r="AI46" s="72"/>
      <c r="AJ46" s="123">
        <f t="shared" ref="AJ46:AL46" si="104">AA46/V46</f>
        <v>0</v>
      </c>
      <c r="AK46" s="123">
        <f t="shared" si="104"/>
        <v>-0.4411764706</v>
      </c>
      <c r="AL46" s="123">
        <f t="shared" si="104"/>
        <v>-0.2</v>
      </c>
      <c r="AM46" s="124"/>
      <c r="AN46" s="100" t="s">
        <v>155</v>
      </c>
      <c r="AO46" s="2" t="s">
        <v>198</v>
      </c>
      <c r="AP46" s="125" t="s">
        <v>199</v>
      </c>
      <c r="AQ46" s="2" t="s">
        <v>224</v>
      </c>
      <c r="AR46" s="2"/>
    </row>
    <row r="47" ht="15" customHeight="1" spans="1:44" x14ac:dyDescent="0.25">
      <c r="A47" s="108" t="s">
        <v>62</v>
      </c>
      <c r="B47" s="108" t="s">
        <v>194</v>
      </c>
      <c r="C47" s="108"/>
      <c r="D47" s="2"/>
      <c r="E47" s="134" t="s">
        <v>225</v>
      </c>
      <c r="F47" s="130" t="s">
        <v>225</v>
      </c>
      <c r="G47" s="143" t="str">
        <f t="shared" si="52"/>
        <v>86790-BZ310-00D1</v>
      </c>
      <c r="H47" s="134" t="b">
        <f t="shared" si="85"/>
        <v>1</v>
      </c>
      <c r="I47" s="138" t="s">
        <v>226</v>
      </c>
      <c r="J47" s="138" t="s">
        <v>173</v>
      </c>
      <c r="K47" s="144" t="s">
        <v>202</v>
      </c>
      <c r="L47" s="132" t="s">
        <v>208</v>
      </c>
      <c r="M47" s="138">
        <v>15</v>
      </c>
      <c r="N47" s="139" t="s">
        <v>62</v>
      </c>
      <c r="O47" s="140" t="str">
        <f t="shared" si="89"/>
        <v>86790-BZ310BPK</v>
      </c>
      <c r="P47" s="119">
        <v>8460</v>
      </c>
      <c r="Q47" s="119">
        <v>6810</v>
      </c>
      <c r="R47" s="119">
        <v>3420</v>
      </c>
      <c r="S47" s="79">
        <v>6225</v>
      </c>
      <c r="T47" s="127"/>
      <c r="U47" s="30"/>
      <c r="V47" s="119">
        <v>8445</v>
      </c>
      <c r="W47" s="119">
        <v>6870</v>
      </c>
      <c r="X47" s="119">
        <v>3570</v>
      </c>
      <c r="Y47" s="122"/>
      <c r="Z47" s="2"/>
      <c r="AA47" s="30">
        <f t="shared" ref="AA47:AC47" si="105">P47-V47</f>
        <v>15</v>
      </c>
      <c r="AB47" s="30">
        <f t="shared" si="105"/>
        <v>-60</v>
      </c>
      <c r="AC47" s="30">
        <f t="shared" si="105"/>
        <v>-150</v>
      </c>
      <c r="AD47" s="2"/>
      <c r="AE47" s="123">
        <f t="shared" ref="AE47:AG47" si="106">P47/V47</f>
        <v>1.001776199</v>
      </c>
      <c r="AF47" s="123">
        <f t="shared" si="106"/>
        <v>0.9912663755</v>
      </c>
      <c r="AG47" s="123">
        <f t="shared" si="106"/>
        <v>0.9579831933</v>
      </c>
      <c r="AH47" s="124"/>
      <c r="AI47" s="72"/>
      <c r="AJ47" s="123">
        <f t="shared" ref="AJ47:AL47" si="107">AA47/V47</f>
        <v>0.001776198934</v>
      </c>
      <c r="AK47" s="123">
        <f t="shared" si="107"/>
        <v>-0.008733624454</v>
      </c>
      <c r="AL47" s="123">
        <f t="shared" si="107"/>
        <v>-0.04201680672</v>
      </c>
      <c r="AM47" s="124"/>
      <c r="AN47" s="100" t="s">
        <v>155</v>
      </c>
      <c r="AO47" s="2" t="s">
        <v>198</v>
      </c>
      <c r="AP47" s="125" t="s">
        <v>199</v>
      </c>
      <c r="AQ47" s="2" t="s">
        <v>224</v>
      </c>
      <c r="AR47" s="2"/>
    </row>
    <row r="48" ht="15" customHeight="1" spans="1:44" x14ac:dyDescent="0.25" outlineLevel="1" collapsed="1">
      <c r="A48" s="2"/>
      <c r="B48" s="2"/>
      <c r="C48" s="2"/>
      <c r="D48" s="2"/>
      <c r="E48" s="145" t="s">
        <v>24</v>
      </c>
      <c r="F48" s="146"/>
      <c r="G48" s="147"/>
      <c r="H48" s="145" t="b">
        <f t="shared" si="85"/>
        <v>0</v>
      </c>
      <c r="I48" s="145" t="s">
        <v>227</v>
      </c>
      <c r="J48" s="145" t="s">
        <v>173</v>
      </c>
      <c r="K48" s="145" t="s">
        <v>202</v>
      </c>
      <c r="L48" s="145" t="s">
        <v>228</v>
      </c>
      <c r="M48" s="145">
        <v>20</v>
      </c>
      <c r="N48" s="145" t="s">
        <v>62</v>
      </c>
      <c r="O48" s="61" t="str">
        <f t="shared" si="89"/>
        <v>86790-0K130BPK</v>
      </c>
      <c r="P48" s="63">
        <v>0</v>
      </c>
      <c r="Q48" s="63">
        <v>0</v>
      </c>
      <c r="R48" s="63">
        <v>0</v>
      </c>
      <c r="S48" s="63">
        <v>0</v>
      </c>
      <c r="T48" s="148"/>
      <c r="U48" s="30"/>
      <c r="V48" s="63">
        <v>0</v>
      </c>
      <c r="W48" s="63">
        <v>0</v>
      </c>
      <c r="X48" s="63">
        <v>0</v>
      </c>
      <c r="Y48" s="122"/>
      <c r="Z48" s="2"/>
      <c r="AA48" s="2"/>
      <c r="AB48" s="2"/>
      <c r="AC48" s="2"/>
      <c r="AD48" s="2"/>
      <c r="AE48" s="123" t="str">
        <f t="shared" ref="AE48:AG48" si="108">P48/V48</f>
        <v>#DIV/0!</v>
      </c>
      <c r="AF48" s="123" t="str">
        <f t="shared" si="108"/>
        <v>#DIV/0!</v>
      </c>
      <c r="AG48" s="123" t="str">
        <f t="shared" si="108"/>
        <v>#DIV/0!</v>
      </c>
      <c r="AH48" s="124"/>
      <c r="AI48" s="72"/>
      <c r="AJ48" s="123" t="str">
        <f t="shared" ref="AJ48:AL48" si="109">AA48/V48</f>
        <v>#DIV/0!</v>
      </c>
      <c r="AK48" s="123" t="str">
        <f t="shared" si="109"/>
        <v>#DIV/0!</v>
      </c>
      <c r="AL48" s="123" t="str">
        <f t="shared" si="109"/>
        <v>#DIV/0!</v>
      </c>
      <c r="AM48" s="124"/>
      <c r="AN48" s="100"/>
      <c r="AO48" s="2"/>
      <c r="AP48" s="2"/>
      <c r="AQ48" s="2"/>
      <c r="AR48" s="2"/>
    </row>
    <row r="49" ht="15" customHeight="1" spans="1:44" x14ac:dyDescent="0.25" outlineLevel="1" collapsed="1">
      <c r="A49" s="2"/>
      <c r="B49" s="2"/>
      <c r="C49" s="2"/>
      <c r="D49" s="2"/>
      <c r="E49" s="2"/>
      <c r="F49" s="2"/>
      <c r="G49" s="2"/>
      <c r="H49" s="2"/>
      <c r="I49" s="2"/>
      <c r="J49" s="2"/>
      <c r="K49" s="149" t="s">
        <v>229</v>
      </c>
      <c r="L49" s="126"/>
      <c r="M49" s="126"/>
      <c r="N49" s="2"/>
      <c r="O49" s="2"/>
      <c r="P49" s="149"/>
      <c r="Q49" s="149"/>
      <c r="R49" s="149"/>
      <c r="S49" s="149"/>
      <c r="T49" s="127"/>
      <c r="U49" s="30"/>
      <c r="V49" s="149"/>
      <c r="W49" s="149"/>
      <c r="X49" s="149"/>
      <c r="Y49" s="150"/>
      <c r="Z49" s="2"/>
      <c r="AA49" s="30"/>
      <c r="AB49" s="30"/>
      <c r="AC49" s="30"/>
      <c r="AD49" s="2"/>
      <c r="AE49" s="123" t="str">
        <f t="shared" ref="AE49:AG49" si="110">P49/V49</f>
        <v>#DIV/0!</v>
      </c>
      <c r="AF49" s="123" t="str">
        <f t="shared" si="110"/>
        <v>#DIV/0!</v>
      </c>
      <c r="AG49" s="123" t="str">
        <f t="shared" si="110"/>
        <v>#DIV/0!</v>
      </c>
      <c r="AH49" s="151"/>
      <c r="AI49" s="2"/>
      <c r="AJ49" s="123" t="str">
        <f t="shared" ref="AJ49:AL49" si="111">AA49/V49</f>
        <v>#DIV/0!</v>
      </c>
      <c r="AK49" s="123" t="str">
        <f t="shared" si="111"/>
        <v>#DIV/0!</v>
      </c>
      <c r="AL49" s="123" t="str">
        <f t="shared" si="111"/>
        <v>#DIV/0!</v>
      </c>
      <c r="AM49" s="151"/>
      <c r="AN49" s="100"/>
      <c r="AO49" s="2"/>
      <c r="AP49" s="2"/>
      <c r="AQ49" s="2"/>
      <c r="AR49" s="2"/>
    </row>
    <row r="50" ht="15" customHeight="1" spans="1:44" x14ac:dyDescent="0.25" outlineLevel="1" collapsed="1">
      <c r="A50" s="2"/>
      <c r="B50" s="2"/>
      <c r="C50" s="2"/>
      <c r="D50" s="2"/>
      <c r="E50" s="2"/>
      <c r="F50" s="2"/>
      <c r="G50" s="2"/>
      <c r="H50" s="2"/>
      <c r="I50" s="2"/>
      <c r="J50" s="2"/>
      <c r="K50" s="149"/>
      <c r="L50" s="126"/>
      <c r="M50" s="126"/>
      <c r="N50" s="2"/>
      <c r="O50" s="2"/>
      <c r="P50" s="149"/>
      <c r="Q50" s="149"/>
      <c r="R50" s="149"/>
      <c r="S50" s="149"/>
      <c r="T50" s="127"/>
      <c r="U50" s="30"/>
      <c r="V50" s="149"/>
      <c r="W50" s="149"/>
      <c r="X50" s="149"/>
      <c r="Y50" s="150"/>
      <c r="Z50" s="2"/>
      <c r="AA50" s="30"/>
      <c r="AB50" s="30"/>
      <c r="AC50" s="30"/>
      <c r="AD50" s="2"/>
      <c r="AE50" s="123" t="str">
        <f t="shared" ref="AE50:AG50" si="112">P50/V50</f>
        <v>#DIV/0!</v>
      </c>
      <c r="AF50" s="123" t="str">
        <f t="shared" si="112"/>
        <v>#DIV/0!</v>
      </c>
      <c r="AG50" s="123" t="str">
        <f t="shared" si="112"/>
        <v>#DIV/0!</v>
      </c>
      <c r="AH50" s="151"/>
      <c r="AI50" s="2"/>
      <c r="AJ50" s="123" t="str">
        <f t="shared" ref="AJ50:AL50" si="113">AA50/V50</f>
        <v>#DIV/0!</v>
      </c>
      <c r="AK50" s="123" t="str">
        <f t="shared" si="113"/>
        <v>#DIV/0!</v>
      </c>
      <c r="AL50" s="123" t="str">
        <f t="shared" si="113"/>
        <v>#DIV/0!</v>
      </c>
      <c r="AM50" s="151"/>
      <c r="AN50" s="100"/>
      <c r="AO50" s="2"/>
      <c r="AP50" s="2"/>
      <c r="AQ50" s="2"/>
      <c r="AR50" s="2"/>
    </row>
    <row r="51" ht="15" customHeight="1" spans="1:4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00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00"/>
      <c r="AO51" s="2"/>
      <c r="AP51" s="2"/>
      <c r="AQ51" s="2"/>
      <c r="AR51" s="2"/>
    </row>
    <row r="52" ht="15" customHeight="1" spans="1:44" x14ac:dyDescent="0.25">
      <c r="A52" s="2"/>
      <c r="B52" s="2"/>
      <c r="C52" s="2"/>
      <c r="D52" s="108" t="s">
        <v>89</v>
      </c>
      <c r="E52" s="98">
        <f>E29</f>
      </c>
      <c r="F52" s="98"/>
      <c r="G52" s="98"/>
      <c r="H52" s="98"/>
      <c r="I52" s="98">
        <f>I29</f>
        <v>NaN</v>
      </c>
      <c r="J52" s="98"/>
      <c r="K52" s="2"/>
      <c r="L52" s="2"/>
      <c r="M52" s="2"/>
      <c r="N52" s="2"/>
      <c r="O52" s="2"/>
      <c r="P52" s="152" t="str">
        <f t="shared" ref="P52:S52" si="114">P29</f>
        <v>Jan</v>
      </c>
      <c r="Q52" s="152" t="str">
        <f t="shared" si="114"/>
        <v>Feb</v>
      </c>
      <c r="R52" s="152" t="str">
        <f t="shared" si="114"/>
        <v>Mar</v>
      </c>
      <c r="S52" s="152" t="str">
        <f t="shared" si="114"/>
        <v>Apr</v>
      </c>
      <c r="T52" s="100"/>
      <c r="U52" s="2"/>
      <c r="V52" s="10" t="s">
        <v>132</v>
      </c>
      <c r="W52" s="110"/>
      <c r="X52" s="110"/>
      <c r="Y52" s="110"/>
      <c r="Z52" s="2"/>
      <c r="AA52" s="2"/>
      <c r="AB52" s="2"/>
      <c r="AC52" s="2"/>
      <c r="AD52" s="2"/>
      <c r="AE52" s="10" t="s">
        <v>133</v>
      </c>
      <c r="AF52" s="110"/>
      <c r="AG52" s="110"/>
      <c r="AH52" s="110"/>
      <c r="AI52" s="100"/>
      <c r="AJ52" s="10" t="s">
        <v>133</v>
      </c>
      <c r="AK52" s="110"/>
      <c r="AL52" s="110"/>
      <c r="AM52" s="110"/>
      <c r="AN52" s="100"/>
      <c r="AO52" s="2"/>
      <c r="AP52" s="2"/>
      <c r="AQ52" s="2"/>
      <c r="AR52" s="2"/>
    </row>
    <row r="53" ht="15" customHeight="1" spans="1:44" x14ac:dyDescent="0.25">
      <c r="A53" s="2"/>
      <c r="B53" s="2"/>
      <c r="C53" s="2"/>
      <c r="D53" s="111" t="s">
        <v>134</v>
      </c>
      <c r="E53" s="111" t="s">
        <v>4</v>
      </c>
      <c r="F53" s="111"/>
      <c r="G53" s="111"/>
      <c r="H53" s="111"/>
      <c r="I53" s="111" t="s">
        <v>135</v>
      </c>
      <c r="J53" s="111" t="s">
        <v>136</v>
      </c>
      <c r="K53" s="111" t="s">
        <v>137</v>
      </c>
      <c r="L53" s="111" t="s">
        <v>5</v>
      </c>
      <c r="M53" s="111" t="s">
        <v>139</v>
      </c>
      <c r="N53" s="112" t="s">
        <v>50</v>
      </c>
      <c r="O53" s="112"/>
      <c r="P53" s="113" t="s">
        <v>140</v>
      </c>
      <c r="Q53" s="113" t="s">
        <v>141</v>
      </c>
      <c r="R53" s="113" t="s">
        <v>142</v>
      </c>
      <c r="S53" s="113" t="s">
        <v>143</v>
      </c>
      <c r="T53" s="100"/>
      <c r="U53" s="2"/>
      <c r="V53" s="113" t="s">
        <v>140</v>
      </c>
      <c r="W53" s="113" t="s">
        <v>141</v>
      </c>
      <c r="X53" s="113" t="s">
        <v>142</v>
      </c>
      <c r="Y53" s="113" t="s">
        <v>143</v>
      </c>
      <c r="Z53" s="2"/>
      <c r="AA53" s="2"/>
      <c r="AB53" s="2"/>
      <c r="AC53" s="2"/>
      <c r="AD53" s="2"/>
      <c r="AE53" s="111" t="s">
        <v>140</v>
      </c>
      <c r="AF53" s="111" t="s">
        <v>141</v>
      </c>
      <c r="AG53" s="111" t="s">
        <v>142</v>
      </c>
      <c r="AH53" s="111" t="s">
        <v>143</v>
      </c>
      <c r="AI53" s="114"/>
      <c r="AJ53" s="111" t="s">
        <v>140</v>
      </c>
      <c r="AK53" s="111" t="s">
        <v>141</v>
      </c>
      <c r="AL53" s="111" t="s">
        <v>142</v>
      </c>
      <c r="AM53" s="111" t="s">
        <v>143</v>
      </c>
      <c r="AN53" s="100"/>
      <c r="AO53" s="2"/>
      <c r="AP53" s="2"/>
      <c r="AQ53" s="2"/>
      <c r="AR53" s="2"/>
    </row>
    <row r="54" ht="15" customHeight="1" spans="1:44" x14ac:dyDescent="0.25">
      <c r="A54" s="108" t="s">
        <v>89</v>
      </c>
      <c r="B54" s="108" t="s">
        <v>194</v>
      </c>
      <c r="C54" s="108" t="s">
        <v>230</v>
      </c>
      <c r="D54" s="153" t="s">
        <v>231</v>
      </c>
      <c r="E54" s="145" t="s">
        <v>232</v>
      </c>
      <c r="F54" s="145" t="s">
        <v>232</v>
      </c>
      <c r="G54" s="145" t="str">
        <f t="shared" ref="G54:G62" si="115">F54&amp;K54</f>
        <v>86790-BZ270-00Z1</v>
      </c>
      <c r="H54" s="145" t="b">
        <f t="shared" ref="H54:H62" si="116">F54=E54</f>
        <v>1</v>
      </c>
      <c r="I54" s="145" t="s">
        <v>233</v>
      </c>
      <c r="J54" s="145" t="s">
        <v>173</v>
      </c>
      <c r="K54" s="145" t="s">
        <v>234</v>
      </c>
      <c r="L54" s="145" t="s">
        <v>235</v>
      </c>
      <c r="M54" s="145">
        <v>36</v>
      </c>
      <c r="N54" s="145" t="s">
        <v>89</v>
      </c>
      <c r="O54" s="145" t="str">
        <f t="shared" ref="O54:O55" si="117">LEFT(E54,11)&amp;N54</f>
        <v>86790-BZ270GW</v>
      </c>
      <c r="P54" s="63">
        <v>0</v>
      </c>
      <c r="Q54" s="63">
        <v>0</v>
      </c>
      <c r="R54" s="63">
        <v>0</v>
      </c>
      <c r="S54" s="63">
        <v>0</v>
      </c>
      <c r="T54" s="154">
        <f>SUM(P54:S63)</f>
        <v>119707</v>
      </c>
      <c r="U54" s="30" t="b">
        <f>T54='GW Daily'!EG23</f>
        <v>0</v>
      </c>
      <c r="V54" s="63">
        <v>0</v>
      </c>
      <c r="W54" s="63">
        <v>0</v>
      </c>
      <c r="X54" s="63">
        <v>0</v>
      </c>
      <c r="Y54" s="155"/>
      <c r="Z54" s="2"/>
      <c r="AA54" s="30">
        <f t="shared" ref="AA54:AC54" si="118">P54-V54</f>
        <v>0</v>
      </c>
      <c r="AB54" s="30">
        <f t="shared" si="118"/>
        <v>0</v>
      </c>
      <c r="AC54" s="30">
        <f t="shared" si="118"/>
        <v>0</v>
      </c>
      <c r="AD54" s="2"/>
      <c r="AE54" s="123" t="str">
        <f t="shared" ref="AE54:AG54" si="119">P54/V54</f>
        <v>#DIV/0!</v>
      </c>
      <c r="AF54" s="123" t="str">
        <f t="shared" si="119"/>
        <v>#DIV/0!</v>
      </c>
      <c r="AG54" s="123" t="str">
        <f t="shared" si="119"/>
        <v>#DIV/0!</v>
      </c>
      <c r="AH54" s="124"/>
      <c r="AI54" s="72"/>
      <c r="AJ54" s="123" t="str">
        <f t="shared" ref="AJ54:AL54" si="120">AA54/V54</f>
        <v>#DIV/0!</v>
      </c>
      <c r="AK54" s="123" t="str">
        <f t="shared" si="120"/>
        <v>#DIV/0!</v>
      </c>
      <c r="AL54" s="123" t="str">
        <f t="shared" si="120"/>
        <v>#DIV/0!</v>
      </c>
      <c r="AM54" s="124"/>
      <c r="AN54" s="100"/>
      <c r="AO54" s="2" t="s">
        <v>198</v>
      </c>
      <c r="AP54" s="125" t="s">
        <v>199</v>
      </c>
      <c r="AQ54" s="2"/>
      <c r="AR54" s="2"/>
    </row>
    <row r="55" ht="15" customHeight="1" spans="1:44" x14ac:dyDescent="0.25">
      <c r="A55" s="108" t="s">
        <v>89</v>
      </c>
      <c r="B55" s="108" t="s">
        <v>148</v>
      </c>
      <c r="C55" s="108" t="s">
        <v>236</v>
      </c>
      <c r="D55" s="61"/>
      <c r="E55" s="61" t="s">
        <v>237</v>
      </c>
      <c r="F55" s="61" t="s">
        <v>237</v>
      </c>
      <c r="G55" s="61" t="str">
        <f t="shared" si="115"/>
        <v>86790-BZ320-00G2</v>
      </c>
      <c r="H55" s="61" t="b">
        <f t="shared" si="116"/>
        <v>1</v>
      </c>
      <c r="I55" s="61" t="s">
        <v>238</v>
      </c>
      <c r="J55" s="61" t="s">
        <v>173</v>
      </c>
      <c r="K55" s="61" t="s">
        <v>239</v>
      </c>
      <c r="L55" s="61" t="s">
        <v>240</v>
      </c>
      <c r="M55" s="61">
        <v>6</v>
      </c>
      <c r="N55" s="61" t="s">
        <v>89</v>
      </c>
      <c r="O55" s="61" t="str">
        <f t="shared" si="117"/>
        <v>86790-BZ320GW</v>
      </c>
      <c r="P55" s="63">
        <v>0</v>
      </c>
      <c r="Q55" s="63">
        <v>0</v>
      </c>
      <c r="R55" s="63">
        <v>0</v>
      </c>
      <c r="S55" s="63">
        <v>0</v>
      </c>
      <c r="T55" s="100"/>
      <c r="U55" s="2"/>
      <c r="V55" s="63">
        <v>0</v>
      </c>
      <c r="W55" s="63">
        <v>0</v>
      </c>
      <c r="X55" s="63">
        <v>0</v>
      </c>
      <c r="Y55" s="61"/>
      <c r="Z55" s="2"/>
      <c r="AA55" s="30">
        <f t="shared" ref="AA55:AC55" si="121">P55-V55</f>
        <v>0</v>
      </c>
      <c r="AB55" s="30">
        <f t="shared" si="121"/>
        <v>0</v>
      </c>
      <c r="AC55" s="30">
        <f t="shared" si="121"/>
        <v>0</v>
      </c>
      <c r="AD55" s="2"/>
      <c r="AE55" s="123" t="str">
        <f t="shared" ref="AE55:AG55" si="122">P55/V55</f>
        <v>#DIV/0!</v>
      </c>
      <c r="AF55" s="123" t="str">
        <f t="shared" si="122"/>
        <v>#DIV/0!</v>
      </c>
      <c r="AG55" s="123" t="str">
        <f t="shared" si="122"/>
        <v>#DIV/0!</v>
      </c>
      <c r="AH55" s="124"/>
      <c r="AI55" s="72"/>
      <c r="AJ55" s="123" t="str">
        <f t="shared" ref="AJ55:AL55" si="123">AA55/V55</f>
        <v>#DIV/0!</v>
      </c>
      <c r="AK55" s="123" t="str">
        <f t="shared" si="123"/>
        <v>#DIV/0!</v>
      </c>
      <c r="AL55" s="123" t="str">
        <f t="shared" si="123"/>
        <v>#DIV/0!</v>
      </c>
      <c r="AM55" s="124"/>
      <c r="AN55" s="100"/>
      <c r="AO55" s="2" t="s">
        <v>241</v>
      </c>
      <c r="AP55" s="125" t="s">
        <v>242</v>
      </c>
      <c r="AQ55" s="2"/>
      <c r="AR55" s="2"/>
    </row>
    <row r="56" ht="15" customHeight="1" spans="1:44" x14ac:dyDescent="0.25">
      <c r="A56" s="108" t="s">
        <v>89</v>
      </c>
      <c r="B56" s="108" t="s">
        <v>194</v>
      </c>
      <c r="C56" s="108" t="s">
        <v>230</v>
      </c>
      <c r="D56" s="156" t="s">
        <v>243</v>
      </c>
      <c r="E56" s="157" t="s">
        <v>244</v>
      </c>
      <c r="F56" s="157" t="s">
        <v>244</v>
      </c>
      <c r="G56" s="157" t="str">
        <f t="shared" si="115"/>
        <v>86790-BZ271-00Z1</v>
      </c>
      <c r="H56" s="157" t="b">
        <f t="shared" si="116"/>
        <v>1</v>
      </c>
      <c r="I56" s="157" t="s">
        <v>245</v>
      </c>
      <c r="J56" s="157" t="s">
        <v>173</v>
      </c>
      <c r="K56" s="157" t="s">
        <v>234</v>
      </c>
      <c r="L56" s="157" t="s">
        <v>235</v>
      </c>
      <c r="M56" s="157">
        <v>1</v>
      </c>
      <c r="N56" s="157"/>
      <c r="O56" s="157"/>
      <c r="P56" s="70">
        <v>1872</v>
      </c>
      <c r="Q56" s="70">
        <v>1980</v>
      </c>
      <c r="R56" s="70">
        <v>1584</v>
      </c>
      <c r="S56" s="137">
        <v>1944</v>
      </c>
      <c r="T56" s="127"/>
      <c r="U56" s="30"/>
      <c r="V56" s="70">
        <v>1980</v>
      </c>
      <c r="W56" s="70">
        <v>1764</v>
      </c>
      <c r="X56" s="70">
        <v>1620</v>
      </c>
      <c r="Y56" s="150"/>
      <c r="Z56" s="2"/>
      <c r="AA56" s="30">
        <f t="shared" ref="AA56:AC56" si="124">P56-V56</f>
        <v>-108</v>
      </c>
      <c r="AB56" s="30">
        <f t="shared" si="124"/>
        <v>216</v>
      </c>
      <c r="AC56" s="30">
        <f t="shared" si="124"/>
        <v>-36</v>
      </c>
      <c r="AD56" s="2"/>
      <c r="AE56" s="123">
        <f t="shared" ref="AE56:AG56" si="125">P56/V56</f>
        <v>0.9454545455</v>
      </c>
      <c r="AF56" s="123">
        <f t="shared" si="125"/>
        <v>1.12244898</v>
      </c>
      <c r="AG56" s="123">
        <f t="shared" si="125"/>
        <v>0.9777777778</v>
      </c>
      <c r="AH56" s="124"/>
      <c r="AI56" s="72"/>
      <c r="AJ56" s="123">
        <f t="shared" ref="AJ56:AL56" si="126">AA56/V56</f>
        <v>-0.05454545455</v>
      </c>
      <c r="AK56" s="123">
        <f t="shared" si="126"/>
        <v>0.1224489796</v>
      </c>
      <c r="AL56" s="123">
        <f t="shared" si="126"/>
        <v>-0.02222222222</v>
      </c>
      <c r="AM56" s="124"/>
      <c r="AN56" s="100" t="s">
        <v>155</v>
      </c>
      <c r="AO56" s="2"/>
      <c r="AP56" s="125"/>
      <c r="AQ56" s="2" t="s">
        <v>246</v>
      </c>
      <c r="AR56" s="2"/>
    </row>
    <row r="57" ht="15" customHeight="1" spans="1:44" x14ac:dyDescent="0.25">
      <c r="A57" s="108" t="s">
        <v>89</v>
      </c>
      <c r="B57" s="108" t="s">
        <v>194</v>
      </c>
      <c r="C57" s="108" t="s">
        <v>230</v>
      </c>
      <c r="D57" s="156" t="s">
        <v>231</v>
      </c>
      <c r="E57" s="157" t="s">
        <v>247</v>
      </c>
      <c r="F57" s="157" t="s">
        <v>247</v>
      </c>
      <c r="G57" s="157" t="str">
        <f t="shared" si="115"/>
        <v>86790-BZ280-00Z1</v>
      </c>
      <c r="H57" s="157" t="b">
        <f t="shared" si="116"/>
        <v>1</v>
      </c>
      <c r="I57" s="157" t="s">
        <v>248</v>
      </c>
      <c r="J57" s="157" t="s">
        <v>173</v>
      </c>
      <c r="K57" s="157" t="s">
        <v>234</v>
      </c>
      <c r="L57" s="157" t="s">
        <v>235</v>
      </c>
      <c r="M57" s="157">
        <v>10</v>
      </c>
      <c r="N57" s="157" t="s">
        <v>89</v>
      </c>
      <c r="O57" s="157" t="str">
        <f t="shared" ref="O57:O62" si="127">LEFT(E57,11)&amp;N57</f>
        <v>86790-BZ280GW</v>
      </c>
      <c r="P57" s="70">
        <v>6440</v>
      </c>
      <c r="Q57" s="70">
        <v>6540</v>
      </c>
      <c r="R57" s="70">
        <v>6660</v>
      </c>
      <c r="S57" s="137">
        <v>6010</v>
      </c>
      <c r="T57" s="127"/>
      <c r="U57" s="30"/>
      <c r="V57" s="70">
        <v>6560</v>
      </c>
      <c r="W57" s="70">
        <v>6240</v>
      </c>
      <c r="X57" s="70">
        <v>6480</v>
      </c>
      <c r="Y57" s="150"/>
      <c r="Z57" s="2"/>
      <c r="AA57" s="62">
        <f t="shared" ref="AA57:AC57" si="128">P57-V57</f>
        <v>-120</v>
      </c>
      <c r="AB57" s="62">
        <f t="shared" si="128"/>
        <v>300</v>
      </c>
      <c r="AC57" s="62">
        <f t="shared" si="128"/>
        <v>180</v>
      </c>
      <c r="AD57" s="2"/>
      <c r="AE57" s="123">
        <f t="shared" ref="AE57:AG57" si="129">P57/V57</f>
        <v>0.9817073171</v>
      </c>
      <c r="AF57" s="123">
        <f t="shared" si="129"/>
        <v>1.048076923</v>
      </c>
      <c r="AG57" s="123">
        <f t="shared" si="129"/>
        <v>1.027777778</v>
      </c>
      <c r="AH57" s="124"/>
      <c r="AI57" s="72"/>
      <c r="AJ57" s="123">
        <f t="shared" ref="AJ57:AL57" si="130">AA57/V57</f>
        <v>-0.01829268293</v>
      </c>
      <c r="AK57" s="123">
        <f t="shared" si="130"/>
        <v>0.04807692308</v>
      </c>
      <c r="AL57" s="123">
        <f t="shared" si="130"/>
        <v>0.02777777778</v>
      </c>
      <c r="AM57" s="124"/>
      <c r="AN57" s="100" t="s">
        <v>155</v>
      </c>
      <c r="AO57" s="2" t="s">
        <v>198</v>
      </c>
      <c r="AP57" s="125" t="s">
        <v>249</v>
      </c>
      <c r="AQ57" s="2" t="s">
        <v>246</v>
      </c>
      <c r="AR57" s="2"/>
    </row>
    <row r="58" ht="15" customHeight="1" spans="1:44" x14ac:dyDescent="0.25">
      <c r="A58" s="108" t="s">
        <v>89</v>
      </c>
      <c r="B58" s="108" t="s">
        <v>148</v>
      </c>
      <c r="C58" s="108" t="s">
        <v>250</v>
      </c>
      <c r="E58" s="2" t="s">
        <v>251</v>
      </c>
      <c r="F58" s="2" t="s">
        <v>251</v>
      </c>
      <c r="G58" s="2" t="str">
        <f t="shared" si="115"/>
        <v>86790-BZ210-00G2</v>
      </c>
      <c r="H58" s="2" t="b">
        <f t="shared" si="116"/>
        <v>1</v>
      </c>
      <c r="I58" s="2" t="s">
        <v>252</v>
      </c>
      <c r="J58" s="2" t="s">
        <v>173</v>
      </c>
      <c r="K58" s="2" t="s">
        <v>239</v>
      </c>
      <c r="L58" s="136" t="s">
        <v>253</v>
      </c>
      <c r="M58" s="2">
        <v>21</v>
      </c>
      <c r="N58" s="2" t="s">
        <v>89</v>
      </c>
      <c r="O58" s="2" t="str">
        <f t="shared" si="127"/>
        <v>86790-BZ210GW</v>
      </c>
      <c r="P58" s="30">
        <v>10247</v>
      </c>
      <c r="Q58" s="30">
        <v>10832</v>
      </c>
      <c r="R58" s="30">
        <v>8439</v>
      </c>
      <c r="S58" s="30">
        <v>6362</v>
      </c>
      <c r="T58" s="100"/>
      <c r="U58" s="2"/>
      <c r="V58" s="30">
        <v>10247</v>
      </c>
      <c r="W58" s="30">
        <v>10861</v>
      </c>
      <c r="X58" s="30">
        <v>7479</v>
      </c>
      <c r="Y58" s="151"/>
      <c r="Z58" s="2"/>
      <c r="AA58" s="30">
        <f t="shared" ref="AA58:AC58" si="131">P58-V58</f>
        <v>0</v>
      </c>
      <c r="AB58" s="30">
        <f t="shared" si="131"/>
        <v>-29</v>
      </c>
      <c r="AC58" s="30">
        <f t="shared" si="131"/>
        <v>960</v>
      </c>
      <c r="AD58" s="2"/>
      <c r="AE58" s="123">
        <f t="shared" ref="AE58:AG58" si="132">P58/V58</f>
        <v>1</v>
      </c>
      <c r="AF58" s="123">
        <f t="shared" si="132"/>
        <v>0.997329896</v>
      </c>
      <c r="AG58" s="123">
        <f t="shared" si="132"/>
        <v>1.128359406</v>
      </c>
      <c r="AH58" s="124"/>
      <c r="AI58" s="72"/>
      <c r="AJ58" s="123">
        <f t="shared" ref="AJ58:AL58" si="133">AA58/V58</f>
        <v>0</v>
      </c>
      <c r="AK58" s="123">
        <f t="shared" si="133"/>
        <v>-0.002670104042</v>
      </c>
      <c r="AL58" s="123">
        <f t="shared" si="133"/>
        <v>0.1283594063</v>
      </c>
      <c r="AM58" s="124"/>
      <c r="AN58" s="100"/>
      <c r="AO58" s="2" t="s">
        <v>254</v>
      </c>
      <c r="AP58" s="125" t="s">
        <v>255</v>
      </c>
      <c r="AQ58" s="2"/>
      <c r="AR58" s="2"/>
    </row>
    <row r="59" ht="15" customHeight="1" spans="1:44" x14ac:dyDescent="0.25">
      <c r="A59" s="108" t="s">
        <v>89</v>
      </c>
      <c r="B59" s="108" t="s">
        <v>148</v>
      </c>
      <c r="C59" s="108" t="s">
        <v>250</v>
      </c>
      <c r="E59" s="2" t="s">
        <v>256</v>
      </c>
      <c r="F59" s="2" t="s">
        <v>256</v>
      </c>
      <c r="G59" s="2" t="str">
        <f t="shared" si="115"/>
        <v>86790-BZ220-00G2</v>
      </c>
      <c r="H59" s="2" t="b">
        <f t="shared" si="116"/>
        <v>1</v>
      </c>
      <c r="I59" s="2" t="s">
        <v>257</v>
      </c>
      <c r="J59" s="2" t="s">
        <v>173</v>
      </c>
      <c r="K59" s="2" t="s">
        <v>239</v>
      </c>
      <c r="L59" s="136" t="s">
        <v>253</v>
      </c>
      <c r="M59" s="2">
        <v>8</v>
      </c>
      <c r="N59" s="2" t="s">
        <v>89</v>
      </c>
      <c r="O59" s="2" t="str">
        <f t="shared" si="127"/>
        <v>86790-BZ220GW</v>
      </c>
      <c r="P59" s="30">
        <v>842</v>
      </c>
      <c r="Q59" s="30">
        <v>894</v>
      </c>
      <c r="R59" s="30">
        <v>1112</v>
      </c>
      <c r="S59" s="30">
        <v>860</v>
      </c>
      <c r="T59" s="100"/>
      <c r="U59" s="2"/>
      <c r="V59" s="30">
        <v>842</v>
      </c>
      <c r="W59" s="30">
        <v>1194</v>
      </c>
      <c r="X59" s="30">
        <v>1182</v>
      </c>
      <c r="Y59" s="151"/>
      <c r="Z59" s="2"/>
      <c r="AA59" s="30">
        <f t="shared" ref="AA59:AC59" si="134">P59-V59</f>
        <v>0</v>
      </c>
      <c r="AB59" s="62">
        <f t="shared" si="134"/>
        <v>-300</v>
      </c>
      <c r="AC59" s="62">
        <f t="shared" si="134"/>
        <v>-70</v>
      </c>
      <c r="AD59" s="2"/>
      <c r="AE59" s="123">
        <f t="shared" ref="AE59:AG59" si="135">P59/V59</f>
        <v>1</v>
      </c>
      <c r="AF59" s="123">
        <f t="shared" si="135"/>
        <v>0.7487437186</v>
      </c>
      <c r="AG59" s="123">
        <f t="shared" si="135"/>
        <v>0.9407783418</v>
      </c>
      <c r="AH59" s="124"/>
      <c r="AI59" s="72"/>
      <c r="AJ59" s="123">
        <f t="shared" ref="AJ59:AL59" si="136">AA59/V59</f>
        <v>0</v>
      </c>
      <c r="AK59" s="123">
        <f t="shared" si="136"/>
        <v>-0.2512562814</v>
      </c>
      <c r="AL59" s="123">
        <f t="shared" si="136"/>
        <v>-0.05922165821</v>
      </c>
      <c r="AM59" s="124"/>
      <c r="AN59" s="100"/>
      <c r="AO59" s="2" t="s">
        <v>254</v>
      </c>
      <c r="AP59" s="125" t="s">
        <v>255</v>
      </c>
      <c r="AQ59" s="2"/>
      <c r="AR59" s="2"/>
    </row>
    <row r="60" ht="15" customHeight="1" spans="1:44" x14ac:dyDescent="0.25">
      <c r="A60" s="108" t="s">
        <v>89</v>
      </c>
      <c r="B60" s="108" t="s">
        <v>194</v>
      </c>
      <c r="C60" s="108" t="s">
        <v>236</v>
      </c>
      <c r="D60" s="158" t="s">
        <v>258</v>
      </c>
      <c r="E60" s="2" t="s">
        <v>225</v>
      </c>
      <c r="F60" s="2" t="s">
        <v>225</v>
      </c>
      <c r="G60" s="2" t="str">
        <f t="shared" si="115"/>
        <v>86790-BZ310-00Z1</v>
      </c>
      <c r="H60" s="2" t="b">
        <f t="shared" si="116"/>
        <v>1</v>
      </c>
      <c r="I60" s="2" t="s">
        <v>259</v>
      </c>
      <c r="J60" s="2" t="s">
        <v>173</v>
      </c>
      <c r="K60" s="2" t="s">
        <v>234</v>
      </c>
      <c r="L60" s="136" t="s">
        <v>240</v>
      </c>
      <c r="M60" s="2">
        <v>12</v>
      </c>
      <c r="N60" s="2" t="s">
        <v>89</v>
      </c>
      <c r="O60" s="2" t="str">
        <f t="shared" si="127"/>
        <v>86790-BZ310GW</v>
      </c>
      <c r="P60" s="30">
        <v>3225</v>
      </c>
      <c r="Q60" s="30">
        <v>3015</v>
      </c>
      <c r="R60" s="30">
        <v>2940</v>
      </c>
      <c r="S60" s="30">
        <v>2670</v>
      </c>
      <c r="T60" s="100"/>
      <c r="U60" s="2"/>
      <c r="V60" s="30">
        <v>3195</v>
      </c>
      <c r="W60" s="30">
        <v>2970</v>
      </c>
      <c r="X60" s="30">
        <v>2910</v>
      </c>
      <c r="Y60" s="151"/>
      <c r="Z60" s="2"/>
      <c r="AA60" s="30">
        <f t="shared" ref="AA60:AC60" si="137">P60-V60</f>
        <v>30</v>
      </c>
      <c r="AB60" s="30">
        <f t="shared" si="137"/>
        <v>45</v>
      </c>
      <c r="AC60" s="30">
        <f t="shared" si="137"/>
        <v>30</v>
      </c>
      <c r="AD60" s="2"/>
      <c r="AE60" s="123">
        <f t="shared" ref="AE60:AG60" si="138">P60/V60</f>
        <v>1.009389671</v>
      </c>
      <c r="AF60" s="123">
        <f t="shared" si="138"/>
        <v>1.015151515</v>
      </c>
      <c r="AG60" s="123">
        <f t="shared" si="138"/>
        <v>1.010309278</v>
      </c>
      <c r="AH60" s="124"/>
      <c r="AI60" s="72"/>
      <c r="AJ60" s="123">
        <f t="shared" ref="AJ60:AL60" si="139">AA60/V60</f>
        <v>0.009389671362</v>
      </c>
      <c r="AK60" s="123">
        <f t="shared" si="139"/>
        <v>0.01515151515</v>
      </c>
      <c r="AL60" s="123">
        <f t="shared" si="139"/>
        <v>0.01030927835</v>
      </c>
      <c r="AM60" s="124"/>
      <c r="AN60" s="100"/>
      <c r="AO60" s="2" t="s">
        <v>198</v>
      </c>
      <c r="AP60" s="2"/>
      <c r="AQ60" s="2"/>
      <c r="AR60" s="2"/>
    </row>
    <row r="61" ht="15" customHeight="1" spans="1:44" x14ac:dyDescent="0.25">
      <c r="A61" s="108" t="s">
        <v>89</v>
      </c>
      <c r="B61" s="108" t="s">
        <v>148</v>
      </c>
      <c r="C61" s="108" t="s">
        <v>236</v>
      </c>
      <c r="D61" s="158" t="s">
        <v>231</v>
      </c>
      <c r="E61" s="2" t="s">
        <v>225</v>
      </c>
      <c r="F61" s="2" t="s">
        <v>225</v>
      </c>
      <c r="G61" s="2" t="str">
        <f t="shared" si="115"/>
        <v>86790-BZ310-00G2</v>
      </c>
      <c r="H61" s="2" t="b">
        <f t="shared" si="116"/>
        <v>1</v>
      </c>
      <c r="I61" s="2" t="s">
        <v>260</v>
      </c>
      <c r="J61" s="2" t="s">
        <v>173</v>
      </c>
      <c r="K61" s="2" t="s">
        <v>239</v>
      </c>
      <c r="L61" s="2" t="s">
        <v>240</v>
      </c>
      <c r="M61" s="2">
        <v>15</v>
      </c>
      <c r="N61" s="2" t="s">
        <v>89</v>
      </c>
      <c r="O61" s="2" t="str">
        <f t="shared" si="127"/>
        <v>86790-BZ310GW</v>
      </c>
      <c r="P61" s="136">
        <v>3149</v>
      </c>
      <c r="Q61" s="136">
        <v>3701</v>
      </c>
      <c r="R61" s="136">
        <v>4374</v>
      </c>
      <c r="S61" s="136">
        <v>3352</v>
      </c>
      <c r="T61" s="100"/>
      <c r="U61" s="2"/>
      <c r="V61" s="30">
        <v>3149</v>
      </c>
      <c r="W61" s="30">
        <v>3701</v>
      </c>
      <c r="X61" s="30">
        <v>4586</v>
      </c>
      <c r="Y61" s="151"/>
      <c r="Z61" s="2"/>
      <c r="AA61" s="30">
        <f t="shared" ref="AA61:AC61" si="140">P61-V61</f>
        <v>0</v>
      </c>
      <c r="AB61" s="62">
        <f t="shared" si="140"/>
        <v>0</v>
      </c>
      <c r="AC61" s="62">
        <f t="shared" si="140"/>
        <v>-212</v>
      </c>
      <c r="AD61" s="2"/>
      <c r="AE61" s="123">
        <f t="shared" ref="AE61:AG61" si="141">P61/V61</f>
        <v>1</v>
      </c>
      <c r="AF61" s="123">
        <f t="shared" si="141"/>
        <v>1</v>
      </c>
      <c r="AG61" s="123">
        <f t="shared" si="141"/>
        <v>0.9537723506</v>
      </c>
      <c r="AH61" s="124"/>
      <c r="AI61" s="72"/>
      <c r="AJ61" s="123">
        <f t="shared" ref="AJ61:AL61" si="142">AA61/V61</f>
        <v>0</v>
      </c>
      <c r="AK61" s="123">
        <f t="shared" si="142"/>
        <v>0</v>
      </c>
      <c r="AL61" s="123">
        <f t="shared" si="142"/>
        <v>-0.04622764937</v>
      </c>
      <c r="AM61" s="124"/>
      <c r="AN61" s="100" t="s">
        <v>155</v>
      </c>
      <c r="AO61" s="2" t="s">
        <v>241</v>
      </c>
      <c r="AP61" s="125" t="s">
        <v>242</v>
      </c>
      <c r="AQ61" s="2" t="s">
        <v>261</v>
      </c>
      <c r="AR61" s="2"/>
    </row>
    <row r="62" ht="15" customHeight="1" spans="1:44" x14ac:dyDescent="0.25">
      <c r="A62" s="108" t="s">
        <v>89</v>
      </c>
      <c r="B62" s="108" t="s">
        <v>148</v>
      </c>
      <c r="C62" s="108" t="s">
        <v>236</v>
      </c>
      <c r="D62" s="128" t="s">
        <v>262</v>
      </c>
      <c r="E62" s="2" t="s">
        <v>263</v>
      </c>
      <c r="F62" s="2" t="s">
        <v>263</v>
      </c>
      <c r="G62" s="2" t="str">
        <f t="shared" si="115"/>
        <v>86790-BZ321-00G2</v>
      </c>
      <c r="H62" s="2" t="b">
        <f t="shared" si="116"/>
        <v>1</v>
      </c>
      <c r="I62" s="2" t="s">
        <v>264</v>
      </c>
      <c r="J62" s="2" t="s">
        <v>173</v>
      </c>
      <c r="K62" s="2" t="s">
        <v>239</v>
      </c>
      <c r="L62" s="2" t="s">
        <v>240</v>
      </c>
      <c r="M62" s="2">
        <v>6</v>
      </c>
      <c r="N62" s="2" t="s">
        <v>89</v>
      </c>
      <c r="O62" s="2" t="str">
        <f t="shared" si="127"/>
        <v>86790-BZ321GW</v>
      </c>
      <c r="P62" s="30">
        <v>1890</v>
      </c>
      <c r="Q62" s="30">
        <v>1755</v>
      </c>
      <c r="R62" s="30">
        <v>2441</v>
      </c>
      <c r="S62" s="30">
        <v>1957</v>
      </c>
      <c r="T62" s="100"/>
      <c r="U62" s="2"/>
      <c r="V62" s="30">
        <v>1890</v>
      </c>
      <c r="W62" s="30">
        <v>1615</v>
      </c>
      <c r="X62" s="30">
        <v>2321</v>
      </c>
      <c r="Y62" s="151"/>
      <c r="Z62" s="2"/>
      <c r="AA62" s="30">
        <f t="shared" ref="AA62:AC62" si="143">P62-V62</f>
        <v>0</v>
      </c>
      <c r="AB62" s="30">
        <f t="shared" si="143"/>
        <v>140</v>
      </c>
      <c r="AC62" s="30">
        <f t="shared" si="143"/>
        <v>120</v>
      </c>
      <c r="AD62" s="2"/>
      <c r="AE62" s="123">
        <f t="shared" ref="AE62:AG62" si="144">P62/V62</f>
        <v>1</v>
      </c>
      <c r="AF62" s="123">
        <f t="shared" si="144"/>
        <v>1.086687307</v>
      </c>
      <c r="AG62" s="123">
        <f t="shared" si="144"/>
        <v>1.051701853</v>
      </c>
      <c r="AH62" s="124"/>
      <c r="AI62" s="72"/>
      <c r="AJ62" s="123">
        <f t="shared" ref="AJ62:AL62" si="145">AA62/V62</f>
        <v>0</v>
      </c>
      <c r="AK62" s="123">
        <f t="shared" si="145"/>
        <v>0.0866873065</v>
      </c>
      <c r="AL62" s="123">
        <f t="shared" si="145"/>
        <v>0.05170185265</v>
      </c>
      <c r="AM62" s="124"/>
      <c r="AN62" s="100" t="s">
        <v>155</v>
      </c>
      <c r="AO62" s="2" t="s">
        <v>241</v>
      </c>
      <c r="AP62" s="125" t="s">
        <v>242</v>
      </c>
      <c r="AQ62" s="2" t="s">
        <v>261</v>
      </c>
      <c r="AR62" s="2"/>
    </row>
    <row r="63" ht="15" customHeight="1" spans="1:44" x14ac:dyDescent="0.25">
      <c r="A63" s="2"/>
      <c r="B63" s="2"/>
      <c r="C63" s="2"/>
      <c r="D63" s="128" t="s">
        <v>262</v>
      </c>
      <c r="E63" s="2" t="s">
        <v>265</v>
      </c>
      <c r="F63" s="2"/>
      <c r="G63" s="2"/>
      <c r="H63" s="2"/>
      <c r="I63" s="2" t="s">
        <v>266</v>
      </c>
      <c r="J63" s="2" t="s">
        <v>173</v>
      </c>
      <c r="K63" s="2" t="s">
        <v>239</v>
      </c>
      <c r="L63" s="2" t="s">
        <v>253</v>
      </c>
      <c r="M63" s="2">
        <v>8</v>
      </c>
      <c r="N63" s="2"/>
      <c r="O63" s="2"/>
      <c r="P63" s="136">
        <v>4529</v>
      </c>
      <c r="Q63" s="136">
        <v>2525</v>
      </c>
      <c r="R63" s="136">
        <v>2974</v>
      </c>
      <c r="S63" s="136">
        <v>2592</v>
      </c>
      <c r="T63" s="100"/>
      <c r="U63" s="2"/>
      <c r="V63" s="2">
        <v>4529</v>
      </c>
      <c r="W63" s="2">
        <v>2525</v>
      </c>
      <c r="X63" s="2">
        <v>2443</v>
      </c>
      <c r="Y63" s="2"/>
      <c r="Z63" s="2"/>
      <c r="AA63" s="30">
        <f t="shared" ref="AA63:AC63" si="146">P63-V63</f>
        <v>0</v>
      </c>
      <c r="AB63" s="30">
        <f t="shared" si="146"/>
        <v>0</v>
      </c>
      <c r="AC63" s="30">
        <f t="shared" si="146"/>
        <v>531</v>
      </c>
      <c r="AD63" s="2"/>
      <c r="AE63" s="2"/>
      <c r="AF63" s="2"/>
      <c r="AG63" s="2"/>
      <c r="AH63" s="2"/>
      <c r="AI63" s="2"/>
      <c r="AJ63" s="123">
        <f t="shared" ref="AJ63:AL63" si="147">AA63/V63</f>
        <v>0</v>
      </c>
      <c r="AK63" s="123">
        <f t="shared" si="147"/>
        <v>0</v>
      </c>
      <c r="AL63" s="123">
        <f t="shared" si="147"/>
        <v>0.2173557102</v>
      </c>
      <c r="AM63" s="124"/>
      <c r="AN63" s="100"/>
      <c r="AO63" s="2"/>
      <c r="AP63" s="2"/>
      <c r="AQ63" s="2"/>
      <c r="AR63" s="2"/>
    </row>
    <row r="64" ht="15" customHeight="1" spans="1:4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T64" s="100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00"/>
      <c r="AO64" s="2"/>
      <c r="AP64" s="2"/>
      <c r="AQ64" s="2"/>
      <c r="AR64" s="2"/>
    </row>
    <row r="65" ht="15" customHeight="1" spans="1:44" x14ac:dyDescent="0.25">
      <c r="A65" s="2"/>
      <c r="B65" s="2"/>
      <c r="C65" s="2"/>
      <c r="D65" s="2"/>
      <c r="E65" s="2" t="s">
        <v>244</v>
      </c>
      <c r="F65" s="2" t="b">
        <f t="shared" ref="F65:F71" si="148">E65=E56</f>
        <v>1</v>
      </c>
      <c r="G65" s="2"/>
      <c r="H65" s="2"/>
      <c r="I65" s="2"/>
      <c r="J65" s="2"/>
      <c r="K65" s="2"/>
      <c r="L65" s="2"/>
      <c r="M65" s="2"/>
      <c r="N65" s="2"/>
      <c r="O65" s="2"/>
      <c r="T65" s="100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100"/>
      <c r="AO65" s="2"/>
      <c r="AP65" s="2"/>
      <c r="AQ65" s="2"/>
      <c r="AR65" s="2"/>
    </row>
    <row r="66" ht="15" customHeight="1" spans="1:44" x14ac:dyDescent="0.25">
      <c r="A66" s="2"/>
      <c r="B66" s="2"/>
      <c r="C66" s="2"/>
      <c r="E66" s="2" t="s">
        <v>247</v>
      </c>
      <c r="F66" s="2" t="b">
        <f t="shared" si="148"/>
        <v>1</v>
      </c>
      <c r="G66" s="2"/>
      <c r="H66" s="2"/>
      <c r="I66" s="2"/>
      <c r="J66" s="2"/>
      <c r="K66" s="2"/>
      <c r="L66" s="2"/>
      <c r="M66" s="2"/>
      <c r="N66" s="2"/>
      <c r="O66" s="2"/>
      <c r="T66" s="100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100"/>
      <c r="AO66" s="2"/>
      <c r="AP66" s="2"/>
      <c r="AQ66" s="2"/>
      <c r="AR66" s="2"/>
    </row>
    <row r="67" ht="15" customHeight="1" spans="1:44" x14ac:dyDescent="0.25">
      <c r="A67" s="2"/>
      <c r="B67" s="2"/>
      <c r="C67" s="2"/>
      <c r="E67" s="2" t="s">
        <v>251</v>
      </c>
      <c r="F67" s="2" t="b">
        <f t="shared" si="148"/>
        <v>1</v>
      </c>
      <c r="G67" s="2"/>
      <c r="H67" s="2"/>
      <c r="I67" s="2"/>
      <c r="J67" s="2"/>
      <c r="K67" s="2"/>
      <c r="L67" s="2"/>
      <c r="M67" s="2"/>
      <c r="N67" s="2"/>
      <c r="O67" s="2"/>
      <c r="T67" s="100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100"/>
      <c r="AO67" s="2"/>
      <c r="AP67" s="2"/>
      <c r="AQ67" s="2"/>
      <c r="AR67" s="2"/>
    </row>
    <row r="68" ht="15" customHeight="1" spans="1:44" x14ac:dyDescent="0.25">
      <c r="A68" s="2"/>
      <c r="B68" s="2"/>
      <c r="C68" s="2"/>
      <c r="E68" s="2" t="s">
        <v>256</v>
      </c>
      <c r="F68" s="2" t="b">
        <f t="shared" si="148"/>
        <v>1</v>
      </c>
      <c r="G68" s="2"/>
      <c r="H68" s="2"/>
      <c r="I68" s="2"/>
      <c r="J68" s="2"/>
      <c r="K68" s="2"/>
      <c r="L68" s="2"/>
      <c r="M68" s="2"/>
      <c r="N68" s="2"/>
      <c r="O68" s="2"/>
      <c r="T68" s="100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100"/>
      <c r="AO68" s="2"/>
      <c r="AP68" s="2"/>
      <c r="AQ68" s="2"/>
      <c r="AR68" s="2"/>
    </row>
    <row r="69" ht="15" customHeight="1" spans="1:44" x14ac:dyDescent="0.25">
      <c r="A69" s="2"/>
      <c r="B69" s="2"/>
      <c r="C69" s="2"/>
      <c r="E69" s="2" t="s">
        <v>225</v>
      </c>
      <c r="F69" s="2" t="b">
        <f t="shared" si="148"/>
        <v>1</v>
      </c>
      <c r="G69" s="2"/>
      <c r="H69" s="2"/>
      <c r="I69" s="2"/>
      <c r="J69" s="2"/>
      <c r="K69" s="2"/>
      <c r="L69" s="2"/>
      <c r="M69" s="2"/>
      <c r="N69" s="2"/>
      <c r="O69" s="2"/>
      <c r="T69" s="100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100"/>
      <c r="AO69" s="2"/>
      <c r="AP69" s="2"/>
      <c r="AQ69" s="2"/>
      <c r="AR69" s="2"/>
    </row>
    <row r="70" ht="15" customHeight="1" spans="1:44" x14ac:dyDescent="0.25">
      <c r="A70" s="2"/>
      <c r="B70" s="2"/>
      <c r="C70" s="2"/>
      <c r="E70" s="2" t="s">
        <v>225</v>
      </c>
      <c r="F70" s="2" t="b">
        <f t="shared" si="148"/>
        <v>1</v>
      </c>
      <c r="G70" s="2"/>
      <c r="H70" s="2"/>
      <c r="I70" s="2"/>
      <c r="J70" s="2"/>
      <c r="K70" s="2"/>
      <c r="L70" s="2"/>
      <c r="M70" s="2"/>
      <c r="N70" s="2"/>
      <c r="O70" s="2"/>
      <c r="T70" s="100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100"/>
      <c r="AO70" s="2"/>
      <c r="AP70" s="2"/>
      <c r="AQ70" s="2"/>
      <c r="AR70" s="2"/>
    </row>
    <row r="71" ht="15" customHeight="1" spans="1:44" x14ac:dyDescent="0.25">
      <c r="A71" s="2"/>
      <c r="B71" s="2"/>
      <c r="C71" s="2"/>
      <c r="E71" s="2" t="s">
        <v>263</v>
      </c>
      <c r="F71" s="2" t="b">
        <f t="shared" si="148"/>
        <v>1</v>
      </c>
      <c r="G71" s="2"/>
      <c r="H71" s="2"/>
      <c r="I71" s="2"/>
      <c r="J71" s="2"/>
      <c r="K71" s="2"/>
      <c r="L71" s="2"/>
      <c r="M71" s="2"/>
      <c r="N71" s="2"/>
      <c r="O71" s="2"/>
      <c r="T71" s="100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00"/>
      <c r="AO71" s="2"/>
      <c r="AP71" s="2"/>
      <c r="AQ71" s="2"/>
      <c r="AR71" s="2"/>
    </row>
    <row r="72" ht="15" customHeight="1" spans="1:44" x14ac:dyDescent="0.25">
      <c r="A72" s="2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T72" s="100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100"/>
      <c r="AO72" s="2"/>
      <c r="AP72" s="2"/>
      <c r="AQ72" s="2"/>
      <c r="AR72" s="2"/>
    </row>
    <row r="73" ht="15" customHeight="1" spans="1:44" x14ac:dyDescent="0.25">
      <c r="A73" s="2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00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00"/>
      <c r="AO73" s="2"/>
      <c r="AP73" s="2"/>
      <c r="AQ73" s="2"/>
      <c r="AR73" s="2"/>
    </row>
    <row r="74" ht="15" customHeight="1" spans="1:44" x14ac:dyDescent="0.25">
      <c r="A74" s="2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00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100"/>
      <c r="AO74" s="2"/>
      <c r="AP74" s="2"/>
      <c r="AQ74" s="2"/>
      <c r="AR74" s="2"/>
    </row>
    <row r="75" ht="15" customHeight="1" spans="1:44" x14ac:dyDescent="0.25">
      <c r="A75" s="2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00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100"/>
      <c r="AO75" s="2"/>
      <c r="AP75" s="2"/>
      <c r="AQ75" s="2"/>
      <c r="AR75" s="2"/>
    </row>
    <row r="76" ht="15" customHeight="1" spans="1:44" x14ac:dyDescent="0.25">
      <c r="A76" s="2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00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100"/>
      <c r="AO76" s="2"/>
      <c r="AP76" s="2"/>
      <c r="AQ76" s="2"/>
      <c r="AR76" s="2"/>
    </row>
    <row r="77" ht="15" customHeight="1" spans="1:4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00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100"/>
      <c r="AO77" s="2"/>
      <c r="AP77" s="2"/>
      <c r="AQ77" s="2"/>
      <c r="AR77" s="2"/>
    </row>
    <row r="78" ht="15" customHeight="1" spans="1:4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00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100"/>
      <c r="AO78" s="2"/>
      <c r="AP78" s="2"/>
      <c r="AQ78" s="2"/>
      <c r="AR78" s="2"/>
    </row>
    <row r="79" ht="15" customHeight="1" spans="1:4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00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100"/>
      <c r="AO79" s="2"/>
      <c r="AP79" s="2"/>
      <c r="AQ79" s="2"/>
      <c r="AR79" s="2"/>
    </row>
    <row r="80" ht="15" customHeight="1" spans="1:4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00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100"/>
      <c r="AO80" s="2"/>
      <c r="AP80" s="2"/>
      <c r="AQ80" s="2"/>
      <c r="AR80" s="2"/>
    </row>
    <row r="81" ht="15" customHeight="1" spans="1:4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00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100"/>
      <c r="AO81" s="2"/>
      <c r="AP81" s="2"/>
      <c r="AQ81" s="2"/>
      <c r="AR81" s="2"/>
    </row>
    <row r="82" ht="15" customHeight="1" spans="1:4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00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100"/>
      <c r="AO82" s="2"/>
      <c r="AP82" s="2"/>
      <c r="AQ82" s="2"/>
      <c r="AR82" s="2"/>
    </row>
    <row r="83" ht="15" customHeight="1" spans="1:4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00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100"/>
      <c r="AO83" s="2"/>
      <c r="AP83" s="2"/>
      <c r="AQ83" s="2"/>
      <c r="AR83" s="2"/>
    </row>
    <row r="84" ht="15" customHeight="1" spans="1:4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00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100"/>
      <c r="AO84" s="2"/>
      <c r="AP84" s="2"/>
      <c r="AQ84" s="2"/>
      <c r="AR84" s="2"/>
    </row>
    <row r="85" ht="15" customHeight="1" spans="1:4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00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100"/>
      <c r="AO85" s="2"/>
      <c r="AP85" s="2"/>
      <c r="AQ85" s="2"/>
      <c r="AR85" s="2"/>
    </row>
    <row r="86" ht="15" customHeight="1" spans="1:4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00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100"/>
      <c r="AO86" s="2"/>
      <c r="AP86" s="2"/>
      <c r="AQ86" s="2"/>
      <c r="AR86" s="2"/>
    </row>
    <row r="87" ht="15" customHeight="1" spans="1:4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00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100"/>
      <c r="AO87" s="2"/>
      <c r="AP87" s="2"/>
      <c r="AQ87" s="2"/>
      <c r="AR87" s="2"/>
    </row>
    <row r="88" ht="15" customHeight="1" spans="1:4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00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100"/>
      <c r="AO88" s="2"/>
      <c r="AP88" s="2"/>
      <c r="AQ88" s="2"/>
      <c r="AR88" s="2"/>
    </row>
    <row r="89" ht="15" customHeight="1" spans="1:4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00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100"/>
      <c r="AO89" s="2"/>
      <c r="AP89" s="2"/>
      <c r="AQ89" s="2"/>
      <c r="AR89" s="2"/>
    </row>
    <row r="90" ht="15" customHeight="1" spans="1:4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00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100"/>
      <c r="AO90" s="2"/>
      <c r="AP90" s="2"/>
      <c r="AQ90" s="2"/>
      <c r="AR90" s="2"/>
    </row>
    <row r="91" ht="15" customHeight="1" spans="1:4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00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100"/>
      <c r="AO91" s="2"/>
      <c r="AP91" s="2"/>
      <c r="AQ91" s="2"/>
      <c r="AR91" s="2"/>
    </row>
    <row r="92" ht="15" customHeight="1" spans="1:4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0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100"/>
      <c r="AO92" s="2"/>
      <c r="AP92" s="2"/>
      <c r="AQ92" s="2"/>
      <c r="AR92" s="2"/>
    </row>
    <row r="93" ht="15" customHeight="1" spans="1:4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00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100"/>
      <c r="AO93" s="2"/>
      <c r="AP93" s="2"/>
      <c r="AQ93" s="2"/>
      <c r="AR93" s="2"/>
    </row>
    <row r="94" ht="15" customHeight="1" spans="1:4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0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100"/>
      <c r="AO94" s="2"/>
      <c r="AP94" s="2"/>
      <c r="AQ94" s="2"/>
      <c r="AR94" s="2"/>
    </row>
    <row r="95" ht="15" customHeight="1" spans="1:4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00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100"/>
      <c r="AO95" s="2"/>
      <c r="AP95" s="2"/>
      <c r="AQ95" s="2"/>
      <c r="AR95" s="2"/>
    </row>
    <row r="96" ht="15" customHeight="1" spans="1:4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00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100"/>
      <c r="AO96" s="2"/>
      <c r="AP96" s="2"/>
      <c r="AQ96" s="2"/>
      <c r="AR96" s="2"/>
    </row>
    <row r="97" ht="15" customHeight="1" spans="1:4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00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100"/>
      <c r="AO97" s="2"/>
      <c r="AP97" s="2"/>
      <c r="AQ97" s="2"/>
      <c r="AR97" s="2"/>
    </row>
    <row r="98" ht="15" customHeight="1" spans="1:4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00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100"/>
      <c r="AO98" s="2"/>
      <c r="AP98" s="2"/>
      <c r="AQ98" s="2"/>
      <c r="AR98" s="2"/>
    </row>
    <row r="99" ht="15" customHeight="1" spans="1:4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100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100"/>
      <c r="AO99" s="2"/>
      <c r="AP99" s="2"/>
      <c r="AQ99" s="2"/>
      <c r="AR99" s="2"/>
    </row>
    <row r="100" ht="15" customHeight="1" spans="1:4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00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100"/>
      <c r="AO100" s="2"/>
      <c r="AP100" s="2"/>
      <c r="AQ100" s="2"/>
      <c r="AR100" s="2"/>
    </row>
    <row r="101" ht="15" customHeight="1" spans="1:4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00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100"/>
      <c r="AO101" s="2"/>
      <c r="AP101" s="2"/>
      <c r="AQ101" s="2"/>
      <c r="AR101" s="2"/>
    </row>
    <row r="102" ht="15" customHeight="1" spans="1:4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00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100"/>
      <c r="AO102" s="2"/>
      <c r="AP102" s="2"/>
      <c r="AQ102" s="2"/>
      <c r="AR102" s="2"/>
    </row>
    <row r="103" ht="15" customHeight="1" spans="1:4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00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100"/>
      <c r="AO103" s="2"/>
      <c r="AP103" s="2"/>
      <c r="AQ103" s="2"/>
      <c r="AR103" s="2"/>
    </row>
    <row r="104" ht="15" customHeight="1" spans="1:4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00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100"/>
      <c r="AO104" s="2"/>
      <c r="AP104" s="2"/>
      <c r="AQ104" s="2"/>
      <c r="AR104" s="2"/>
    </row>
    <row r="105" ht="15" customHeight="1" spans="1:4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00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100"/>
      <c r="AO105" s="2"/>
      <c r="AP105" s="2"/>
      <c r="AQ105" s="2"/>
      <c r="AR105" s="2"/>
    </row>
    <row r="106" ht="15" customHeight="1" spans="1:4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00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100"/>
      <c r="AO106" s="2"/>
      <c r="AP106" s="2"/>
      <c r="AQ106" s="2"/>
      <c r="AR106" s="2"/>
    </row>
    <row r="107" ht="15" customHeight="1" spans="1:4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00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100"/>
      <c r="AO107" s="2"/>
      <c r="AP107" s="2"/>
      <c r="AQ107" s="2"/>
      <c r="AR107" s="2"/>
    </row>
    <row r="108" ht="15" customHeight="1" spans="1:4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00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100"/>
      <c r="AO108" s="2"/>
      <c r="AP108" s="2"/>
      <c r="AQ108" s="2"/>
      <c r="AR108" s="2"/>
    </row>
    <row r="109" ht="15" customHeight="1" spans="1:4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00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100"/>
      <c r="AO109" s="2"/>
      <c r="AP109" s="2"/>
      <c r="AQ109" s="2"/>
      <c r="AR109" s="2"/>
    </row>
    <row r="110" ht="15" customHeight="1" spans="1:4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00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100"/>
      <c r="AO110" s="2"/>
      <c r="AP110" s="2"/>
      <c r="AQ110" s="2"/>
      <c r="AR110" s="2"/>
    </row>
    <row r="111" ht="15" customHeight="1" spans="1:4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00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100"/>
      <c r="AO111" s="2"/>
      <c r="AP111" s="2"/>
      <c r="AQ111" s="2"/>
      <c r="AR111" s="2"/>
    </row>
    <row r="112" ht="15" customHeight="1" spans="1:4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00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100"/>
      <c r="AO112" s="2"/>
      <c r="AP112" s="2"/>
      <c r="AQ112" s="2"/>
      <c r="AR112" s="2"/>
    </row>
    <row r="113" ht="15" customHeight="1" spans="1:4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00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100"/>
      <c r="AO113" s="2"/>
      <c r="AP113" s="2"/>
      <c r="AQ113" s="2"/>
      <c r="AR113" s="2"/>
    </row>
    <row r="114" ht="15" customHeight="1" spans="1:4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00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100"/>
      <c r="AO114" s="2"/>
      <c r="AP114" s="2"/>
      <c r="AQ114" s="2"/>
      <c r="AR114" s="2"/>
    </row>
    <row r="115" ht="15" customHeight="1" spans="1:4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00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100"/>
      <c r="AO115" s="2"/>
      <c r="AP115" s="2"/>
      <c r="AQ115" s="2"/>
      <c r="AR115" s="2"/>
    </row>
    <row r="116" ht="15" customHeight="1" spans="1:4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00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100"/>
      <c r="AO116" s="2"/>
      <c r="AP116" s="2"/>
      <c r="AQ116" s="2"/>
      <c r="AR116" s="2"/>
    </row>
    <row r="117" ht="15" customHeight="1" spans="1:4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00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100"/>
      <c r="AO117" s="2"/>
      <c r="AP117" s="2"/>
      <c r="AQ117" s="2"/>
      <c r="AR117" s="2"/>
    </row>
    <row r="118" ht="15" customHeight="1" spans="1:4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00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100"/>
      <c r="AO118" s="2"/>
      <c r="AP118" s="2"/>
      <c r="AQ118" s="2"/>
      <c r="AR118" s="2"/>
    </row>
    <row r="119" ht="15" customHeight="1" spans="1:4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00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100"/>
      <c r="AO119" s="2"/>
      <c r="AP119" s="2"/>
      <c r="AQ119" s="2"/>
      <c r="AR119" s="2"/>
    </row>
    <row r="120" ht="15" customHeight="1" spans="1:4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00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100"/>
      <c r="AO120" s="2"/>
      <c r="AP120" s="2"/>
      <c r="AQ120" s="2"/>
      <c r="AR120" s="2"/>
    </row>
    <row r="121" ht="15" customHeight="1" spans="1:4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00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100"/>
      <c r="AO121" s="2"/>
      <c r="AP121" s="2"/>
      <c r="AQ121" s="2"/>
      <c r="AR121" s="2"/>
    </row>
    <row r="122" ht="15" customHeight="1" spans="1:4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00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100"/>
      <c r="AO122" s="2"/>
      <c r="AP122" s="2"/>
      <c r="AQ122" s="2"/>
      <c r="AR122" s="2"/>
    </row>
    <row r="123" ht="15" customHeight="1" spans="1:4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00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100"/>
      <c r="AO123" s="2"/>
      <c r="AP123" s="2"/>
      <c r="AQ123" s="2"/>
      <c r="AR123" s="2"/>
    </row>
    <row r="124" ht="15" customHeight="1" spans="1:4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00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100"/>
      <c r="AO124" s="2"/>
      <c r="AP124" s="2"/>
      <c r="AQ124" s="2"/>
      <c r="AR124" s="2"/>
    </row>
    <row r="125" ht="15" customHeight="1" spans="1:4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00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100"/>
      <c r="AO125" s="2"/>
      <c r="AP125" s="2"/>
      <c r="AQ125" s="2"/>
      <c r="AR125" s="2"/>
    </row>
    <row r="126" ht="15" customHeight="1" spans="1:4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00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100"/>
      <c r="AO126" s="2"/>
      <c r="AP126" s="2"/>
      <c r="AQ126" s="2"/>
      <c r="AR126" s="2"/>
    </row>
    <row r="127" ht="15" customHeight="1" spans="1:4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00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100"/>
      <c r="AO127" s="2"/>
      <c r="AP127" s="2"/>
      <c r="AQ127" s="2"/>
      <c r="AR127" s="2"/>
    </row>
    <row r="128" ht="15" customHeight="1" spans="1:4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00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100"/>
      <c r="AO128" s="2"/>
      <c r="AP128" s="2"/>
      <c r="AQ128" s="2"/>
      <c r="AR128" s="2"/>
    </row>
    <row r="129" ht="15" customHeight="1" spans="1:4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00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100"/>
      <c r="AO129" s="2"/>
      <c r="AP129" s="2"/>
      <c r="AQ129" s="2"/>
      <c r="AR129" s="2"/>
    </row>
    <row r="130" ht="15" customHeight="1" spans="1:4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00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100"/>
      <c r="AO130" s="2"/>
      <c r="AP130" s="2"/>
      <c r="AQ130" s="2"/>
      <c r="AR130" s="2"/>
    </row>
    <row r="131" ht="15" customHeight="1" spans="1:4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00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100"/>
      <c r="AO131" s="2"/>
      <c r="AP131" s="2"/>
      <c r="AQ131" s="2"/>
      <c r="AR131" s="2"/>
    </row>
    <row r="132" ht="15" customHeight="1" spans="1:4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00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100"/>
      <c r="AO132" s="2"/>
      <c r="AP132" s="2"/>
      <c r="AQ132" s="2"/>
      <c r="AR132" s="2"/>
    </row>
    <row r="133" ht="15" customHeight="1" spans="1:4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00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100"/>
      <c r="AO133" s="2"/>
      <c r="AP133" s="2"/>
      <c r="AQ133" s="2"/>
      <c r="AR133" s="2"/>
    </row>
    <row r="134" ht="15" customHeight="1" spans="1:4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100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100"/>
      <c r="AO134" s="2"/>
      <c r="AP134" s="2"/>
      <c r="AQ134" s="2"/>
      <c r="AR134" s="2"/>
    </row>
    <row r="135" ht="15" customHeight="1" spans="1:4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100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100"/>
      <c r="AO135" s="2"/>
      <c r="AP135" s="2"/>
      <c r="AQ135" s="2"/>
      <c r="AR135" s="2"/>
    </row>
    <row r="136" ht="15" customHeight="1" spans="1:4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100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100"/>
      <c r="AO136" s="2"/>
      <c r="AP136" s="2"/>
      <c r="AQ136" s="2"/>
      <c r="AR136" s="2"/>
    </row>
    <row r="137" ht="15" customHeight="1" spans="1:4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00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100"/>
      <c r="AO137" s="2"/>
      <c r="AP137" s="2"/>
      <c r="AQ137" s="2"/>
      <c r="AR137" s="2"/>
    </row>
    <row r="138" ht="15" customHeight="1" spans="1:4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00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100"/>
      <c r="AO138" s="2"/>
      <c r="AP138" s="2"/>
      <c r="AQ138" s="2"/>
      <c r="AR138" s="2"/>
    </row>
    <row r="139" ht="13.5" customHeight="1" spans="1:4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00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100"/>
      <c r="AO139" s="2"/>
      <c r="AP139" s="2"/>
      <c r="AQ139" s="2"/>
      <c r="AR139" s="2"/>
    </row>
    <row r="140" ht="13.5" customHeight="1" spans="1:4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00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100"/>
      <c r="AO140" s="2"/>
      <c r="AP140" s="2"/>
      <c r="AQ140" s="2"/>
      <c r="AR140" s="2"/>
    </row>
    <row r="141" ht="13.5" customHeight="1" spans="1:4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00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100"/>
      <c r="AO141" s="2"/>
      <c r="AP141" s="2"/>
      <c r="AQ141" s="2"/>
      <c r="AR141" s="2"/>
    </row>
    <row r="142" ht="13.5" customHeight="1" spans="1:4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00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100"/>
      <c r="AO142" s="2"/>
      <c r="AP142" s="2"/>
      <c r="AQ142" s="2"/>
      <c r="AR142" s="2"/>
    </row>
    <row r="143" ht="13.5" customHeight="1" spans="1:4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00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100"/>
      <c r="AO143" s="2"/>
      <c r="AP143" s="2"/>
      <c r="AQ143" s="2"/>
      <c r="AR143" s="2"/>
    </row>
    <row r="144" ht="13.5" customHeight="1" spans="1:4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00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100"/>
      <c r="AO144" s="2"/>
      <c r="AP144" s="2"/>
      <c r="AQ144" s="2"/>
      <c r="AR144" s="2"/>
    </row>
    <row r="145" ht="13.5" customHeight="1" spans="1:4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00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100"/>
      <c r="AO145" s="2"/>
      <c r="AP145" s="2"/>
      <c r="AQ145" s="2"/>
      <c r="AR145" s="2"/>
    </row>
    <row r="146" ht="13.5" customHeight="1" spans="1:4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00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100"/>
      <c r="AO146" s="2"/>
      <c r="AP146" s="2"/>
      <c r="AQ146" s="2"/>
      <c r="AR146" s="2"/>
    </row>
    <row r="147" ht="13.5" customHeight="1" spans="1:4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00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100"/>
      <c r="AO147" s="2"/>
      <c r="AP147" s="2"/>
      <c r="AQ147" s="2"/>
      <c r="AR147" s="2"/>
    </row>
    <row r="148" ht="13.5" customHeight="1" spans="1:4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00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100"/>
      <c r="AO148" s="2"/>
      <c r="AP148" s="2"/>
      <c r="AQ148" s="2"/>
      <c r="AR148" s="2"/>
    </row>
    <row r="149" ht="13.5" customHeight="1" spans="1:4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00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100"/>
      <c r="AO149" s="2"/>
      <c r="AP149" s="2"/>
      <c r="AQ149" s="2"/>
      <c r="AR149" s="2"/>
    </row>
    <row r="150" ht="13.5" customHeight="1" spans="1:4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00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100"/>
      <c r="AO150" s="2"/>
      <c r="AP150" s="2"/>
      <c r="AQ150" s="2"/>
      <c r="AR150" s="2"/>
    </row>
    <row r="151" ht="13.5" customHeight="1" spans="1:4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00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100"/>
      <c r="AO151" s="2"/>
      <c r="AP151" s="2"/>
      <c r="AQ151" s="2"/>
      <c r="AR151" s="2"/>
    </row>
    <row r="152" ht="13.5" customHeight="1" spans="1:4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00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100"/>
      <c r="AO152" s="2"/>
      <c r="AP152" s="2"/>
      <c r="AQ152" s="2"/>
      <c r="AR152" s="2"/>
    </row>
    <row r="153" ht="13.5" customHeight="1" spans="1:4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00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100"/>
      <c r="AO153" s="2"/>
      <c r="AP153" s="2"/>
      <c r="AQ153" s="2"/>
      <c r="AR153" s="2"/>
    </row>
    <row r="154" ht="13.5" customHeight="1" spans="1:4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100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100"/>
      <c r="AO154" s="2"/>
      <c r="AP154" s="2"/>
      <c r="AQ154" s="2"/>
      <c r="AR154" s="2"/>
    </row>
    <row r="155" ht="13.5" customHeight="1" spans="1:4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100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100"/>
      <c r="AO155" s="2"/>
      <c r="AP155" s="2"/>
      <c r="AQ155" s="2"/>
      <c r="AR155" s="2"/>
    </row>
    <row r="156" ht="13.5" customHeight="1" spans="1:4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100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100"/>
      <c r="AO156" s="2"/>
      <c r="AP156" s="2"/>
      <c r="AQ156" s="2"/>
      <c r="AR156" s="2"/>
    </row>
    <row r="157" ht="13.5" customHeight="1" spans="1:4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100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100"/>
      <c r="AO157" s="2"/>
      <c r="AP157" s="2"/>
      <c r="AQ157" s="2"/>
      <c r="AR157" s="2"/>
    </row>
    <row r="158" ht="13.5" customHeight="1" spans="1:4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100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100"/>
      <c r="AO158" s="2"/>
      <c r="AP158" s="2"/>
      <c r="AQ158" s="2"/>
      <c r="AR158" s="2"/>
    </row>
    <row r="159" ht="13.5" customHeight="1" spans="1:4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100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100"/>
      <c r="AO159" s="2"/>
      <c r="AP159" s="2"/>
      <c r="AQ159" s="2"/>
      <c r="AR159" s="2"/>
    </row>
    <row r="160" ht="13.5" customHeight="1" spans="1:4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100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100"/>
      <c r="AO160" s="2"/>
      <c r="AP160" s="2"/>
      <c r="AQ160" s="2"/>
      <c r="AR160" s="2"/>
    </row>
    <row r="161" ht="13.5" customHeight="1" spans="1:4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100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100"/>
      <c r="AO161" s="2"/>
      <c r="AP161" s="2"/>
      <c r="AQ161" s="2"/>
      <c r="AR161" s="2"/>
    </row>
    <row r="162" ht="13.5" customHeight="1" spans="1:4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100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100"/>
      <c r="AO162" s="2"/>
      <c r="AP162" s="2"/>
      <c r="AQ162" s="2"/>
      <c r="AR162" s="2"/>
    </row>
    <row r="163" ht="13.5" customHeight="1" spans="1:4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100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00"/>
      <c r="AO163" s="2"/>
      <c r="AP163" s="2"/>
      <c r="AQ163" s="2"/>
      <c r="AR163" s="2"/>
    </row>
    <row r="164" ht="13.5" customHeight="1" spans="1:4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100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100"/>
      <c r="AO164" s="2"/>
      <c r="AP164" s="2"/>
      <c r="AQ164" s="2"/>
      <c r="AR164" s="2"/>
    </row>
    <row r="165" ht="13.5" customHeight="1" spans="1:4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100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100"/>
      <c r="AO165" s="2"/>
      <c r="AP165" s="2"/>
      <c r="AQ165" s="2"/>
      <c r="AR165" s="2"/>
    </row>
    <row r="166" ht="13.5" customHeight="1" spans="1:4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100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100"/>
      <c r="AO166" s="2"/>
      <c r="AP166" s="2"/>
      <c r="AQ166" s="2"/>
      <c r="AR166" s="2"/>
    </row>
    <row r="167" ht="13.5" customHeight="1" spans="1:4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100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100"/>
      <c r="AO167" s="2"/>
      <c r="AP167" s="2"/>
      <c r="AQ167" s="2"/>
      <c r="AR167" s="2"/>
    </row>
    <row r="168" ht="13.5" customHeight="1" spans="1:4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100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100"/>
      <c r="AO168" s="2"/>
      <c r="AP168" s="2"/>
      <c r="AQ168" s="2"/>
      <c r="AR168" s="2"/>
    </row>
    <row r="169" ht="13.5" customHeight="1" spans="1:4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100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100"/>
      <c r="AO169" s="2"/>
      <c r="AP169" s="2"/>
      <c r="AQ169" s="2"/>
      <c r="AR169" s="2"/>
    </row>
    <row r="170" ht="13.5" customHeight="1" spans="1:4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100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100"/>
      <c r="AO170" s="2"/>
      <c r="AP170" s="2"/>
      <c r="AQ170" s="2"/>
      <c r="AR170" s="2"/>
    </row>
    <row r="171" ht="13.5" customHeight="1" spans="1:4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100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100"/>
      <c r="AO171" s="2"/>
      <c r="AP171" s="2"/>
      <c r="AQ171" s="2"/>
      <c r="AR171" s="2"/>
    </row>
    <row r="172" ht="13.5" customHeight="1" spans="1:4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100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100"/>
      <c r="AO172" s="2"/>
      <c r="AP172" s="2"/>
      <c r="AQ172" s="2"/>
      <c r="AR172" s="2"/>
    </row>
    <row r="173" ht="13.5" customHeight="1" spans="1:4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100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100"/>
      <c r="AO173" s="2"/>
      <c r="AP173" s="2"/>
      <c r="AQ173" s="2"/>
      <c r="AR173" s="2"/>
    </row>
    <row r="174" ht="13.5" customHeight="1" spans="1:4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100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100"/>
      <c r="AO174" s="2"/>
      <c r="AP174" s="2"/>
      <c r="AQ174" s="2"/>
      <c r="AR174" s="2"/>
    </row>
    <row r="175" ht="13.5" customHeight="1" spans="1:4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100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100"/>
      <c r="AO175" s="2"/>
      <c r="AP175" s="2"/>
      <c r="AQ175" s="2"/>
      <c r="AR175" s="2"/>
    </row>
    <row r="176" ht="13.5" customHeight="1" spans="1:4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100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100"/>
      <c r="AO176" s="2"/>
      <c r="AP176" s="2"/>
      <c r="AQ176" s="2"/>
      <c r="AR176" s="2"/>
    </row>
    <row r="177" ht="13.5" customHeight="1" spans="1:4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100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100"/>
      <c r="AO177" s="2"/>
      <c r="AP177" s="2"/>
      <c r="AQ177" s="2"/>
      <c r="AR177" s="2"/>
    </row>
    <row r="178" ht="13.5" customHeight="1" spans="1:4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100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100"/>
      <c r="AO178" s="2"/>
      <c r="AP178" s="2"/>
      <c r="AQ178" s="2"/>
      <c r="AR178" s="2"/>
    </row>
    <row r="179" ht="13.5" customHeight="1" spans="1:4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100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100"/>
      <c r="AO179" s="2"/>
      <c r="AP179" s="2"/>
      <c r="AQ179" s="2"/>
      <c r="AR179" s="2"/>
    </row>
    <row r="180" ht="13.5" customHeight="1" spans="1:4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100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100"/>
      <c r="AO180" s="2"/>
      <c r="AP180" s="2"/>
      <c r="AQ180" s="2"/>
      <c r="AR180" s="2"/>
    </row>
    <row r="181" ht="13.5" customHeight="1" spans="1:4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100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100"/>
      <c r="AO181" s="2"/>
      <c r="AP181" s="2"/>
      <c r="AQ181" s="2"/>
      <c r="AR181" s="2"/>
    </row>
    <row r="182" ht="13.5" customHeight="1" spans="1:4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100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100"/>
      <c r="AO182" s="2"/>
      <c r="AP182" s="2"/>
      <c r="AQ182" s="2"/>
      <c r="AR182" s="2"/>
    </row>
    <row r="183" ht="13.5" customHeight="1" spans="1:4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100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100"/>
      <c r="AO183" s="2"/>
      <c r="AP183" s="2"/>
      <c r="AQ183" s="2"/>
      <c r="AR183" s="2"/>
    </row>
    <row r="184" ht="13.5" customHeight="1" spans="1:4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100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100"/>
      <c r="AO184" s="2"/>
      <c r="AP184" s="2"/>
      <c r="AQ184" s="2"/>
      <c r="AR184" s="2"/>
    </row>
    <row r="185" ht="13.5" customHeight="1" spans="1:4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100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100"/>
      <c r="AO185" s="2"/>
      <c r="AP185" s="2"/>
      <c r="AQ185" s="2"/>
      <c r="AR185" s="2"/>
    </row>
    <row r="186" ht="13.5" customHeight="1" spans="1:4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100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100"/>
      <c r="AO186" s="2"/>
      <c r="AP186" s="2"/>
      <c r="AQ186" s="2"/>
      <c r="AR186" s="2"/>
    </row>
    <row r="187" ht="13.5" customHeight="1" spans="1:4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100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100"/>
      <c r="AO187" s="2"/>
      <c r="AP187" s="2"/>
      <c r="AQ187" s="2"/>
      <c r="AR187" s="2"/>
    </row>
    <row r="188" ht="13.5" customHeight="1" spans="1:4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100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100"/>
      <c r="AO188" s="2"/>
      <c r="AP188" s="2"/>
      <c r="AQ188" s="2"/>
      <c r="AR188" s="2"/>
    </row>
    <row r="189" ht="13.5" customHeight="1" spans="1:4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100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100"/>
      <c r="AO189" s="2"/>
      <c r="AP189" s="2"/>
      <c r="AQ189" s="2"/>
      <c r="AR189" s="2"/>
    </row>
    <row r="190" ht="13.5" customHeight="1" spans="1:4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100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100"/>
      <c r="AO190" s="2"/>
      <c r="AP190" s="2"/>
      <c r="AQ190" s="2"/>
      <c r="AR190" s="2"/>
    </row>
    <row r="191" ht="13.5" customHeight="1" spans="1:4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100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100"/>
      <c r="AO191" s="2"/>
      <c r="AP191" s="2"/>
      <c r="AQ191" s="2"/>
      <c r="AR191" s="2"/>
    </row>
    <row r="192" ht="13.5" customHeight="1" spans="1:4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100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100"/>
      <c r="AO192" s="2"/>
      <c r="AP192" s="2"/>
      <c r="AQ192" s="2"/>
      <c r="AR192" s="2"/>
    </row>
    <row r="193" ht="13.5" customHeight="1" spans="1:4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100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100"/>
      <c r="AO193" s="2"/>
      <c r="AP193" s="2"/>
      <c r="AQ193" s="2"/>
      <c r="AR193" s="2"/>
    </row>
    <row r="194" ht="13.5" customHeight="1" spans="1:4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100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100"/>
      <c r="AO194" s="2"/>
      <c r="AP194" s="2"/>
      <c r="AQ194" s="2"/>
      <c r="AR194" s="2"/>
    </row>
    <row r="195" ht="13.5" customHeight="1" spans="1:4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100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100"/>
      <c r="AO195" s="2"/>
      <c r="AP195" s="2"/>
      <c r="AQ195" s="2"/>
      <c r="AR195" s="2"/>
    </row>
    <row r="196" ht="13.5" customHeight="1" spans="1:4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100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100"/>
      <c r="AO196" s="2"/>
      <c r="AP196" s="2"/>
      <c r="AQ196" s="2"/>
      <c r="AR196" s="2"/>
    </row>
    <row r="197" ht="13.5" customHeight="1" spans="1:4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100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100"/>
      <c r="AO197" s="2"/>
      <c r="AP197" s="2"/>
      <c r="AQ197" s="2"/>
      <c r="AR197" s="2"/>
    </row>
    <row r="198" ht="13.5" customHeight="1" spans="1:4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100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100"/>
      <c r="AO198" s="2"/>
      <c r="AP198" s="2"/>
      <c r="AQ198" s="2"/>
      <c r="AR198" s="2"/>
    </row>
    <row r="199" ht="13.5" customHeight="1" spans="1:4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100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100"/>
      <c r="AO199" s="2"/>
      <c r="AP199" s="2"/>
      <c r="AQ199" s="2"/>
      <c r="AR199" s="2"/>
    </row>
    <row r="200" ht="13.5" customHeight="1" spans="1:4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100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00"/>
      <c r="AO200" s="2"/>
      <c r="AP200" s="2"/>
      <c r="AQ200" s="2"/>
      <c r="AR200" s="2"/>
    </row>
    <row r="201" ht="13.5" customHeight="1" spans="1:4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100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00"/>
      <c r="AO201" s="2"/>
      <c r="AP201" s="2"/>
      <c r="AQ201" s="2"/>
      <c r="AR201" s="2"/>
    </row>
    <row r="202" ht="13.5" customHeight="1" spans="1:4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100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00"/>
      <c r="AO202" s="2"/>
      <c r="AP202" s="2"/>
      <c r="AQ202" s="2"/>
      <c r="AR202" s="2"/>
    </row>
    <row r="203" ht="13.5" customHeight="1" spans="1:4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100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00"/>
      <c r="AO203" s="2"/>
      <c r="AP203" s="2"/>
      <c r="AQ203" s="2"/>
      <c r="AR203" s="2"/>
    </row>
    <row r="204" ht="13.5" customHeight="1" spans="1:4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100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00"/>
      <c r="AO204" s="2"/>
      <c r="AP204" s="2"/>
      <c r="AQ204" s="2"/>
      <c r="AR204" s="2"/>
    </row>
    <row r="205" ht="13.5" customHeight="1" spans="1:4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100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00"/>
      <c r="AO205" s="2"/>
      <c r="AP205" s="2"/>
      <c r="AQ205" s="2"/>
      <c r="AR205" s="2"/>
    </row>
    <row r="206" ht="13.5" customHeight="1" spans="1:4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100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100"/>
      <c r="AO206" s="2"/>
      <c r="AP206" s="2"/>
      <c r="AQ206" s="2"/>
      <c r="AR206" s="2"/>
    </row>
    <row r="207" ht="13.5" customHeight="1" spans="1:4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100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100"/>
      <c r="AO207" s="2"/>
      <c r="AP207" s="2"/>
      <c r="AQ207" s="2"/>
      <c r="AR207" s="2"/>
    </row>
    <row r="208" ht="13.5" customHeight="1" spans="1:4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100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100"/>
      <c r="AO208" s="2"/>
      <c r="AP208" s="2"/>
      <c r="AQ208" s="2"/>
      <c r="AR208" s="2"/>
    </row>
    <row r="209" ht="13.5" customHeight="1" spans="1:4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100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100"/>
      <c r="AO209" s="2"/>
      <c r="AP209" s="2"/>
      <c r="AQ209" s="2"/>
      <c r="AR209" s="2"/>
    </row>
    <row r="210" ht="13.5" customHeight="1" spans="1:4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100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100"/>
      <c r="AO210" s="2"/>
      <c r="AP210" s="2"/>
      <c r="AQ210" s="2"/>
      <c r="AR210" s="2"/>
    </row>
    <row r="211" ht="13.5" customHeight="1" spans="1:4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100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100"/>
      <c r="AO211" s="2"/>
      <c r="AP211" s="2"/>
      <c r="AQ211" s="2"/>
      <c r="AR211" s="2"/>
    </row>
    <row r="212" ht="13.5" customHeight="1" spans="1:4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100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100"/>
      <c r="AO212" s="2"/>
      <c r="AP212" s="2"/>
      <c r="AQ212" s="2"/>
      <c r="AR212" s="2"/>
    </row>
    <row r="213" ht="13.5" customHeight="1" spans="1:4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100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100"/>
      <c r="AO213" s="2"/>
      <c r="AP213" s="2"/>
      <c r="AQ213" s="2"/>
      <c r="AR213" s="2"/>
    </row>
    <row r="214" ht="13.5" customHeight="1" spans="1:4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100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100"/>
      <c r="AO214" s="2"/>
      <c r="AP214" s="2"/>
      <c r="AQ214" s="2"/>
      <c r="AR214" s="2"/>
    </row>
    <row r="215" ht="13.5" customHeight="1" spans="1:4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100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100"/>
      <c r="AO215" s="2"/>
      <c r="AP215" s="2"/>
      <c r="AQ215" s="2"/>
      <c r="AR215" s="2"/>
    </row>
    <row r="216" ht="13.5" customHeight="1" spans="1:4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100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100"/>
      <c r="AO216" s="2"/>
      <c r="AP216" s="2"/>
      <c r="AQ216" s="2"/>
      <c r="AR216" s="2"/>
    </row>
    <row r="217" ht="13.5" customHeight="1" spans="1:4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100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100"/>
      <c r="AO217" s="2"/>
      <c r="AP217" s="2"/>
      <c r="AQ217" s="2"/>
      <c r="AR217" s="2"/>
    </row>
    <row r="218" ht="13.5" customHeight="1" spans="1:4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100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100"/>
      <c r="AO218" s="2"/>
      <c r="AP218" s="2"/>
      <c r="AQ218" s="2"/>
      <c r="AR218" s="2"/>
    </row>
    <row r="219" ht="13.5" customHeight="1" spans="1:4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100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100"/>
      <c r="AO219" s="2"/>
      <c r="AP219" s="2"/>
      <c r="AQ219" s="2"/>
      <c r="AR219" s="2"/>
    </row>
    <row r="220" ht="13.5" customHeight="1" spans="1:4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100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100"/>
      <c r="AO220" s="2"/>
      <c r="AP220" s="2"/>
      <c r="AQ220" s="2"/>
      <c r="AR220" s="2"/>
    </row>
    <row r="221" ht="13.5" customHeight="1" spans="1:4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100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100"/>
      <c r="AO221" s="2"/>
      <c r="AP221" s="2"/>
      <c r="AQ221" s="2"/>
      <c r="AR221" s="2"/>
    </row>
    <row r="222" ht="13.5" customHeight="1" spans="1:4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100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100"/>
      <c r="AO222" s="2"/>
      <c r="AP222" s="2"/>
      <c r="AQ222" s="2"/>
      <c r="AR222" s="2"/>
    </row>
    <row r="223" ht="13.5" customHeight="1" spans="1:4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100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100"/>
      <c r="AO223" s="2"/>
      <c r="AP223" s="2"/>
      <c r="AQ223" s="2"/>
      <c r="AR223" s="2"/>
    </row>
    <row r="224" ht="13.5" customHeight="1" spans="1:4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100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100"/>
      <c r="AO224" s="2"/>
      <c r="AP224" s="2"/>
      <c r="AQ224" s="2"/>
      <c r="AR224" s="2"/>
    </row>
    <row r="225" ht="13.5" customHeight="1" spans="1:4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100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100"/>
      <c r="AO225" s="2"/>
      <c r="AP225" s="2"/>
      <c r="AQ225" s="2"/>
      <c r="AR225" s="2"/>
    </row>
    <row r="226" ht="13.5" customHeight="1" spans="1:4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100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100"/>
      <c r="AO226" s="2"/>
      <c r="AP226" s="2"/>
      <c r="AQ226" s="2"/>
      <c r="AR226" s="2"/>
    </row>
    <row r="227" ht="13.5" customHeight="1" spans="1:4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100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100"/>
      <c r="AO227" s="2"/>
      <c r="AP227" s="2"/>
      <c r="AQ227" s="2"/>
      <c r="AR227" s="2"/>
    </row>
    <row r="228" ht="13.5" customHeight="1" spans="1:4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100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100"/>
      <c r="AO228" s="2"/>
      <c r="AP228" s="2"/>
      <c r="AQ228" s="2"/>
      <c r="AR228" s="2"/>
    </row>
    <row r="229" ht="13.5" customHeight="1" spans="1:4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100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100"/>
      <c r="AO229" s="2"/>
      <c r="AP229" s="2"/>
      <c r="AQ229" s="2"/>
      <c r="AR229" s="2"/>
    </row>
    <row r="230" ht="13.5" customHeight="1" spans="1:4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100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100"/>
      <c r="AO230" s="2"/>
      <c r="AP230" s="2"/>
      <c r="AQ230" s="2"/>
      <c r="AR230" s="2"/>
    </row>
    <row r="231" ht="13.5" customHeight="1" spans="1:4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100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100"/>
      <c r="AO231" s="2"/>
      <c r="AP231" s="2"/>
      <c r="AQ231" s="2"/>
      <c r="AR231" s="2"/>
    </row>
    <row r="232" ht="13.5" customHeight="1" spans="1:4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100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100"/>
      <c r="AO232" s="2"/>
      <c r="AP232" s="2"/>
      <c r="AQ232" s="2"/>
      <c r="AR232" s="2"/>
    </row>
    <row r="233" ht="13.5" customHeight="1" spans="1:4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100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100"/>
      <c r="AO233" s="2"/>
      <c r="AP233" s="2"/>
      <c r="AQ233" s="2"/>
      <c r="AR233" s="2"/>
    </row>
    <row r="234" ht="13.5" customHeight="1" spans="1:4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100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100"/>
      <c r="AO234" s="2"/>
      <c r="AP234" s="2"/>
      <c r="AQ234" s="2"/>
      <c r="AR234" s="2"/>
    </row>
    <row r="235" ht="13.5" customHeight="1" spans="1:4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100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100"/>
      <c r="AO235" s="2"/>
      <c r="AP235" s="2"/>
      <c r="AQ235" s="2"/>
      <c r="AR235" s="2"/>
    </row>
    <row r="236" ht="13.5" customHeight="1" spans="1:4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100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100"/>
      <c r="AO236" s="2"/>
      <c r="AP236" s="2"/>
      <c r="AQ236" s="2"/>
      <c r="AR236" s="2"/>
    </row>
    <row r="237" ht="13.5" customHeight="1" spans="1:4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100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100"/>
      <c r="AO237" s="2"/>
      <c r="AP237" s="2"/>
      <c r="AQ237" s="2"/>
      <c r="AR237" s="2"/>
    </row>
    <row r="238" ht="13.5" customHeight="1" spans="1:4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100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100"/>
      <c r="AO238" s="2"/>
      <c r="AP238" s="2"/>
      <c r="AQ238" s="2"/>
      <c r="AR238" s="2"/>
    </row>
    <row r="239" ht="13.5" customHeight="1" spans="1:4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100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100"/>
      <c r="AO239" s="2"/>
      <c r="AP239" s="2"/>
      <c r="AQ239" s="2"/>
      <c r="AR239" s="2"/>
    </row>
    <row r="240" ht="13.5" customHeight="1" spans="1:4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100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100"/>
      <c r="AO240" s="2"/>
      <c r="AP240" s="2"/>
      <c r="AQ240" s="2"/>
      <c r="AR240" s="2"/>
    </row>
    <row r="241" ht="13.5" customHeight="1" spans="1:4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100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100"/>
      <c r="AO241" s="2"/>
      <c r="AP241" s="2"/>
      <c r="AQ241" s="2"/>
      <c r="AR241" s="2"/>
    </row>
    <row r="242" ht="13.5" customHeight="1" spans="1:4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100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100"/>
      <c r="AO242" s="2"/>
      <c r="AP242" s="2"/>
      <c r="AQ242" s="2"/>
      <c r="AR242" s="2"/>
    </row>
    <row r="243" ht="13.5" customHeight="1" spans="1:4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100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100"/>
      <c r="AO243" s="2"/>
      <c r="AP243" s="2"/>
      <c r="AQ243" s="2"/>
      <c r="AR243" s="2"/>
    </row>
    <row r="244" ht="13.5" customHeight="1" spans="1:4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100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100"/>
      <c r="AO244" s="2"/>
      <c r="AP244" s="2"/>
      <c r="AQ244" s="2"/>
      <c r="AR244" s="2"/>
    </row>
    <row r="245" ht="13.5" customHeight="1" spans="1:4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100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100"/>
      <c r="AO245" s="2"/>
      <c r="AP245" s="2"/>
      <c r="AQ245" s="2"/>
      <c r="AR245" s="2"/>
    </row>
    <row r="246" ht="13.5" customHeight="1" spans="1:4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100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100"/>
      <c r="AO246" s="2"/>
      <c r="AP246" s="2"/>
      <c r="AQ246" s="2"/>
      <c r="AR246" s="2"/>
    </row>
    <row r="247" ht="13.5" customHeight="1" spans="1:4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100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100"/>
      <c r="AO247" s="2"/>
      <c r="AP247" s="2"/>
      <c r="AQ247" s="2"/>
      <c r="AR247" s="2"/>
    </row>
    <row r="248" ht="13.5" customHeight="1" spans="1:4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100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100"/>
      <c r="AO248" s="2"/>
      <c r="AP248" s="2"/>
      <c r="AQ248" s="2"/>
      <c r="AR248" s="2"/>
    </row>
    <row r="249" ht="13.5" customHeight="1" spans="1:4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100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100"/>
      <c r="AO249" s="2"/>
      <c r="AP249" s="2"/>
      <c r="AQ249" s="2"/>
      <c r="AR249" s="2"/>
    </row>
    <row r="250" ht="13.5" customHeight="1" spans="1:4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100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00"/>
      <c r="AO250" s="2"/>
      <c r="AP250" s="2"/>
      <c r="AQ250" s="2"/>
      <c r="AR250" s="2"/>
    </row>
    <row r="251" ht="13.5" customHeight="1" spans="1:4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100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100"/>
      <c r="AO251" s="2"/>
      <c r="AP251" s="2"/>
      <c r="AQ251" s="2"/>
      <c r="AR251" s="2"/>
    </row>
    <row r="252" ht="13.5" customHeight="1" spans="1:4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100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100"/>
      <c r="AO252" s="2"/>
      <c r="AP252" s="2"/>
      <c r="AQ252" s="2"/>
      <c r="AR252" s="2"/>
    </row>
    <row r="253" ht="13.5" customHeight="1" spans="1:4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100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100"/>
      <c r="AO253" s="2"/>
      <c r="AP253" s="2"/>
      <c r="AQ253" s="2"/>
      <c r="AR253" s="2"/>
    </row>
    <row r="254" ht="13.5" customHeight="1" spans="1:4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100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100"/>
      <c r="AO254" s="2"/>
      <c r="AP254" s="2"/>
      <c r="AQ254" s="2"/>
      <c r="AR254" s="2"/>
    </row>
    <row r="255" ht="13.5" customHeight="1" spans="1:4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100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100"/>
      <c r="AO255" s="2"/>
      <c r="AP255" s="2"/>
      <c r="AQ255" s="2"/>
      <c r="AR255" s="2"/>
    </row>
    <row r="256" ht="13.5" customHeight="1" spans="1:4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100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100"/>
      <c r="AO256" s="2"/>
      <c r="AP256" s="2"/>
      <c r="AQ256" s="2"/>
      <c r="AR256" s="2"/>
    </row>
    <row r="257" ht="13.5" customHeight="1" spans="1:4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100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100"/>
      <c r="AO257" s="2"/>
      <c r="AP257" s="2"/>
      <c r="AQ257" s="2"/>
      <c r="AR257" s="2"/>
    </row>
    <row r="258" ht="13.5" customHeight="1" spans="1:4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100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100"/>
      <c r="AO258" s="2"/>
      <c r="AP258" s="2"/>
      <c r="AQ258" s="2"/>
      <c r="AR258" s="2"/>
    </row>
    <row r="259" ht="13.5" customHeight="1" spans="1:4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100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100"/>
      <c r="AO259" s="2"/>
      <c r="AP259" s="2"/>
      <c r="AQ259" s="2"/>
      <c r="AR259" s="2"/>
    </row>
    <row r="260" ht="13.5" customHeight="1" spans="1:4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100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100"/>
      <c r="AO260" s="2"/>
      <c r="AP260" s="2"/>
      <c r="AQ260" s="2"/>
      <c r="AR260" s="2"/>
    </row>
    <row r="261" ht="13.5" customHeight="1" spans="1:4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100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100"/>
      <c r="AO261" s="2"/>
      <c r="AP261" s="2"/>
      <c r="AQ261" s="2"/>
      <c r="AR261" s="2"/>
    </row>
    <row r="262" ht="13.5" customHeight="1" spans="1:4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100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100"/>
      <c r="AO262" s="2"/>
      <c r="AP262" s="2"/>
      <c r="AQ262" s="2"/>
      <c r="AR262" s="2"/>
    </row>
    <row r="263" ht="13.5" customHeight="1" spans="1:4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100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100"/>
      <c r="AO263" s="2"/>
      <c r="AP263" s="2"/>
      <c r="AQ263" s="2"/>
      <c r="AR263" s="2"/>
    </row>
    <row r="264" ht="13.5" customHeight="1" spans="1:4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100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100"/>
      <c r="AO264" s="2"/>
      <c r="AP264" s="2"/>
      <c r="AQ264" s="2"/>
      <c r="AR264" s="2"/>
    </row>
    <row r="265" ht="13.5" customHeight="1" spans="1:4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100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100"/>
      <c r="AO265" s="2"/>
      <c r="AP265" s="2"/>
      <c r="AQ265" s="2"/>
      <c r="AR265" s="2"/>
    </row>
    <row r="266" ht="13.5" customHeight="1" spans="1:4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100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100"/>
      <c r="AO266" s="2"/>
      <c r="AP266" s="2"/>
      <c r="AQ266" s="2"/>
      <c r="AR266" s="2"/>
    </row>
    <row r="267" ht="13.5" customHeight="1" spans="1:4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100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100"/>
      <c r="AO267" s="2"/>
      <c r="AP267" s="2"/>
      <c r="AQ267" s="2"/>
      <c r="AR267" s="2"/>
    </row>
    <row r="268" ht="13.5" customHeight="1" spans="1:4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100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100"/>
      <c r="AO268" s="2"/>
      <c r="AP268" s="2"/>
      <c r="AQ268" s="2"/>
      <c r="AR268" s="2"/>
    </row>
    <row r="269" ht="13.5" customHeight="1" spans="1:4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100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100"/>
      <c r="AO269" s="2"/>
      <c r="AP269" s="2"/>
      <c r="AQ269" s="2"/>
      <c r="AR269" s="2"/>
    </row>
    <row r="270" ht="13.5" customHeight="1" spans="1:4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100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100"/>
      <c r="AO270" s="2"/>
      <c r="AP270" s="2"/>
      <c r="AQ270" s="2"/>
      <c r="AR270" s="2"/>
    </row>
    <row r="271" ht="13.5" customHeight="1" spans="1:4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100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100"/>
      <c r="AO271" s="2"/>
      <c r="AP271" s="2"/>
      <c r="AQ271" s="2"/>
      <c r="AR271" s="2"/>
    </row>
    <row r="272" ht="13.5" customHeight="1" spans="1:4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100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100"/>
      <c r="AO272" s="2"/>
      <c r="AP272" s="2"/>
      <c r="AQ272" s="2"/>
      <c r="AR272" s="2"/>
    </row>
    <row r="273" ht="13.5" customHeight="1" spans="1:4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100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100"/>
      <c r="AO273" s="2"/>
      <c r="AP273" s="2"/>
      <c r="AQ273" s="2"/>
      <c r="AR273" s="2"/>
    </row>
    <row r="274" ht="13.5" customHeight="1" spans="1:4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100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100"/>
      <c r="AO274" s="2"/>
      <c r="AP274" s="2"/>
      <c r="AQ274" s="2"/>
      <c r="AR274" s="2"/>
    </row>
    <row r="275" ht="13.5" customHeight="1" spans="1:4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100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100"/>
      <c r="AO275" s="2"/>
      <c r="AP275" s="2"/>
      <c r="AQ275" s="2"/>
      <c r="AR275" s="2"/>
    </row>
    <row r="276" ht="13.5" customHeight="1" spans="1:4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100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100"/>
      <c r="AO276" s="2"/>
      <c r="AP276" s="2"/>
      <c r="AQ276" s="2"/>
      <c r="AR276" s="2"/>
    </row>
    <row r="277" ht="13.5" customHeight="1" spans="1:4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100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100"/>
      <c r="AO277" s="2"/>
      <c r="AP277" s="2"/>
      <c r="AQ277" s="2"/>
      <c r="AR277" s="2"/>
    </row>
    <row r="278" ht="13.5" customHeight="1" spans="1:4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100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100"/>
      <c r="AO278" s="2"/>
      <c r="AP278" s="2"/>
      <c r="AQ278" s="2"/>
      <c r="AR278" s="2"/>
    </row>
    <row r="279" ht="13.5" customHeight="1" spans="1:4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100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100"/>
      <c r="AO279" s="2"/>
      <c r="AP279" s="2"/>
      <c r="AQ279" s="2"/>
      <c r="AR279" s="2"/>
    </row>
    <row r="280" ht="13.5" customHeight="1" spans="1:4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100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100"/>
      <c r="AO280" s="2"/>
      <c r="AP280" s="2"/>
      <c r="AQ280" s="2"/>
      <c r="AR280" s="2"/>
    </row>
    <row r="281" ht="13.5" customHeight="1" spans="1:4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100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100"/>
      <c r="AO281" s="2"/>
      <c r="AP281" s="2"/>
      <c r="AQ281" s="2"/>
      <c r="AR281" s="2"/>
    </row>
    <row r="282" ht="13.5" customHeight="1" spans="1:4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100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100"/>
      <c r="AO282" s="2"/>
      <c r="AP282" s="2"/>
      <c r="AQ282" s="2"/>
      <c r="AR282" s="2"/>
    </row>
    <row r="283" ht="13.5" customHeight="1" spans="1:4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100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100"/>
      <c r="AO283" s="2"/>
      <c r="AP283" s="2"/>
      <c r="AQ283" s="2"/>
      <c r="AR283" s="2"/>
    </row>
    <row r="284" ht="13.5" customHeight="1" spans="1:4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100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100"/>
      <c r="AO284" s="2"/>
      <c r="AP284" s="2"/>
      <c r="AQ284" s="2"/>
      <c r="AR284" s="2"/>
    </row>
    <row r="285" ht="13.5" customHeight="1" spans="1:4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100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100"/>
      <c r="AO285" s="2"/>
      <c r="AP285" s="2"/>
      <c r="AQ285" s="2"/>
      <c r="AR285" s="2"/>
    </row>
    <row r="286" ht="13.5" customHeight="1" spans="1:4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100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100"/>
      <c r="AO286" s="2"/>
      <c r="AP286" s="2"/>
      <c r="AQ286" s="2"/>
      <c r="AR286" s="2"/>
    </row>
    <row r="287" ht="13.5" customHeight="1" spans="1:4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100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100"/>
      <c r="AO287" s="2"/>
      <c r="AP287" s="2"/>
      <c r="AQ287" s="2"/>
      <c r="AR287" s="2"/>
    </row>
    <row r="288" ht="13.5" customHeight="1" spans="1:4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100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100"/>
      <c r="AO288" s="2"/>
      <c r="AP288" s="2"/>
      <c r="AQ288" s="2"/>
      <c r="AR288" s="2"/>
    </row>
    <row r="289" ht="13.5" customHeight="1" spans="1:4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100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100"/>
      <c r="AO289" s="2"/>
      <c r="AP289" s="2"/>
      <c r="AQ289" s="2"/>
      <c r="AR289" s="2"/>
    </row>
    <row r="290" ht="13.5" customHeight="1" spans="1:4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100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100"/>
      <c r="AO290" s="2"/>
      <c r="AP290" s="2"/>
      <c r="AQ290" s="2"/>
      <c r="AR290" s="2"/>
    </row>
    <row r="291" ht="13.5" customHeight="1" spans="1:4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100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100"/>
      <c r="AO291" s="2"/>
      <c r="AP291" s="2"/>
      <c r="AQ291" s="2"/>
      <c r="AR291" s="2"/>
    </row>
    <row r="292" ht="13.5" customHeight="1" spans="1:4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100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100"/>
      <c r="AO292" s="2"/>
      <c r="AP292" s="2"/>
      <c r="AQ292" s="2"/>
      <c r="AR292" s="2"/>
    </row>
    <row r="293" ht="13.5" customHeight="1" spans="1:4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100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100"/>
      <c r="AO293" s="2"/>
      <c r="AP293" s="2"/>
      <c r="AQ293" s="2"/>
      <c r="AR293" s="2"/>
    </row>
    <row r="294" ht="13.5" customHeight="1" spans="1:4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100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100"/>
      <c r="AO294" s="2"/>
      <c r="AP294" s="2"/>
      <c r="AQ294" s="2"/>
      <c r="AR294" s="2"/>
    </row>
    <row r="295" ht="13.5" customHeight="1" spans="1:4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100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100"/>
      <c r="AO295" s="2"/>
      <c r="AP295" s="2"/>
      <c r="AQ295" s="2"/>
      <c r="AR295" s="2"/>
    </row>
    <row r="296" ht="13.5" customHeight="1" spans="1:4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100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100"/>
      <c r="AO296" s="2"/>
      <c r="AP296" s="2"/>
      <c r="AQ296" s="2"/>
      <c r="AR296" s="2"/>
    </row>
    <row r="297" ht="13.5" customHeight="1" spans="1:4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100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100"/>
      <c r="AO297" s="2"/>
      <c r="AP297" s="2"/>
      <c r="AQ297" s="2"/>
      <c r="AR297" s="2"/>
    </row>
    <row r="298" ht="13.5" customHeight="1" spans="1:4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100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100"/>
      <c r="AO298" s="2"/>
      <c r="AP298" s="2"/>
      <c r="AQ298" s="2"/>
      <c r="AR298" s="2"/>
    </row>
    <row r="299" ht="13.5" customHeight="1" spans="1:4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100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100"/>
      <c r="AO299" s="2"/>
      <c r="AP299" s="2"/>
      <c r="AQ299" s="2"/>
      <c r="AR299" s="2"/>
    </row>
    <row r="300" ht="13.5" customHeight="1" spans="1:4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100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100"/>
      <c r="AO300" s="2"/>
      <c r="AP300" s="2"/>
      <c r="AQ300" s="2"/>
      <c r="AR300" s="2"/>
    </row>
    <row r="301" ht="13.5" customHeight="1" spans="1:4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100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100"/>
      <c r="AO301" s="2"/>
      <c r="AP301" s="2"/>
      <c r="AQ301" s="2"/>
      <c r="AR301" s="2"/>
    </row>
    <row r="302" ht="13.5" customHeight="1" spans="1:4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100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100"/>
      <c r="AO302" s="2"/>
      <c r="AP302" s="2"/>
      <c r="AQ302" s="2"/>
      <c r="AR302" s="2"/>
    </row>
    <row r="303" ht="13.5" customHeight="1" spans="1:4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100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100"/>
      <c r="AO303" s="2"/>
      <c r="AP303" s="2"/>
      <c r="AQ303" s="2"/>
      <c r="AR303" s="2"/>
    </row>
    <row r="304" ht="13.5" customHeight="1" spans="1:4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100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100"/>
      <c r="AO304" s="2"/>
      <c r="AP304" s="2"/>
      <c r="AQ304" s="2"/>
      <c r="AR304" s="2"/>
    </row>
    <row r="305" ht="13.5" customHeight="1" spans="1:4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100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100"/>
      <c r="AO305" s="2"/>
      <c r="AP305" s="2"/>
      <c r="AQ305" s="2"/>
      <c r="AR305" s="2"/>
    </row>
    <row r="306" ht="13.5" customHeight="1" spans="1:4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100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100"/>
      <c r="AO306" s="2"/>
      <c r="AP306" s="2"/>
      <c r="AQ306" s="2"/>
      <c r="AR306" s="2"/>
    </row>
    <row r="307" ht="13.5" customHeight="1" spans="1:4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100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100"/>
      <c r="AO307" s="2"/>
      <c r="AP307" s="2"/>
      <c r="AQ307" s="2"/>
      <c r="AR307" s="2"/>
    </row>
    <row r="308" ht="13.5" customHeight="1" spans="1:4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100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100"/>
      <c r="AO308" s="2"/>
      <c r="AP308" s="2"/>
      <c r="AQ308" s="2"/>
      <c r="AR308" s="2"/>
    </row>
    <row r="309" ht="13.5" customHeight="1" spans="1:4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100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100"/>
      <c r="AO309" s="2"/>
      <c r="AP309" s="2"/>
      <c r="AQ309" s="2"/>
      <c r="AR309" s="2"/>
    </row>
    <row r="310" ht="13.5" customHeight="1" spans="1:4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100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100"/>
      <c r="AO310" s="2"/>
      <c r="AP310" s="2"/>
      <c r="AQ310" s="2"/>
      <c r="AR310" s="2"/>
    </row>
    <row r="311" ht="13.5" customHeight="1" spans="1:4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100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100"/>
      <c r="AO311" s="2"/>
      <c r="AP311" s="2"/>
      <c r="AQ311" s="2"/>
      <c r="AR311" s="2"/>
    </row>
    <row r="312" ht="13.5" customHeight="1" spans="1:4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100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100"/>
      <c r="AO312" s="2"/>
      <c r="AP312" s="2"/>
      <c r="AQ312" s="2"/>
      <c r="AR312" s="2"/>
    </row>
    <row r="313" ht="13.5" customHeight="1" spans="1:4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100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100"/>
      <c r="AO313" s="2"/>
      <c r="AP313" s="2"/>
      <c r="AQ313" s="2"/>
      <c r="AR313" s="2"/>
    </row>
    <row r="314" ht="13.5" customHeight="1" spans="1:4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100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100"/>
      <c r="AO314" s="2"/>
      <c r="AP314" s="2"/>
      <c r="AQ314" s="2"/>
      <c r="AR314" s="2"/>
    </row>
    <row r="315" ht="13.5" customHeight="1" spans="1:4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100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100"/>
      <c r="AO315" s="2"/>
      <c r="AP315" s="2"/>
      <c r="AQ315" s="2"/>
      <c r="AR315" s="2"/>
    </row>
    <row r="316" ht="13.5" customHeight="1" spans="1:4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100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100"/>
      <c r="AO316" s="2"/>
      <c r="AP316" s="2"/>
      <c r="AQ316" s="2"/>
      <c r="AR316" s="2"/>
    </row>
    <row r="317" ht="13.5" customHeight="1" spans="1:4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100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100"/>
      <c r="AO317" s="2"/>
      <c r="AP317" s="2"/>
      <c r="AQ317" s="2"/>
      <c r="AR317" s="2"/>
    </row>
    <row r="318" ht="13.5" customHeight="1" spans="1:4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100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100"/>
      <c r="AO318" s="2"/>
      <c r="AP318" s="2"/>
      <c r="AQ318" s="2"/>
      <c r="AR318" s="2"/>
    </row>
    <row r="319" ht="13.5" customHeight="1" spans="1:4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100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100"/>
      <c r="AO319" s="2"/>
      <c r="AP319" s="2"/>
      <c r="AQ319" s="2"/>
      <c r="AR319" s="2"/>
    </row>
    <row r="320" ht="13.5" customHeight="1" spans="1:4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100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100"/>
      <c r="AO320" s="2"/>
      <c r="AP320" s="2"/>
      <c r="AQ320" s="2"/>
      <c r="AR320" s="2"/>
    </row>
    <row r="321" ht="13.5" customHeight="1" spans="1:4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100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100"/>
      <c r="AO321" s="2"/>
      <c r="AP321" s="2"/>
      <c r="AQ321" s="2"/>
      <c r="AR321" s="2"/>
    </row>
    <row r="322" ht="13.5" customHeight="1" spans="1:4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100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100"/>
      <c r="AO322" s="2"/>
      <c r="AP322" s="2"/>
      <c r="AQ322" s="2"/>
      <c r="AR322" s="2"/>
    </row>
    <row r="323" ht="13.5" customHeight="1" spans="1:4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100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100"/>
      <c r="AO323" s="2"/>
      <c r="AP323" s="2"/>
      <c r="AQ323" s="2"/>
      <c r="AR323" s="2"/>
    </row>
    <row r="324" ht="13.5" customHeight="1" spans="1:4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100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100"/>
      <c r="AO324" s="2"/>
      <c r="AP324" s="2"/>
      <c r="AQ324" s="2"/>
      <c r="AR324" s="2"/>
    </row>
    <row r="325" ht="13.5" customHeight="1" spans="1:4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100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100"/>
      <c r="AO325" s="2"/>
      <c r="AP325" s="2"/>
      <c r="AQ325" s="2"/>
      <c r="AR325" s="2"/>
    </row>
    <row r="326" ht="13.5" customHeight="1" spans="1:4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100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100"/>
      <c r="AO326" s="2"/>
      <c r="AP326" s="2"/>
      <c r="AQ326" s="2"/>
      <c r="AR326" s="2"/>
    </row>
    <row r="327" ht="13.5" customHeight="1" spans="1:4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100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100"/>
      <c r="AO327" s="2"/>
      <c r="AP327" s="2"/>
      <c r="AQ327" s="2"/>
      <c r="AR327" s="2"/>
    </row>
    <row r="328" ht="13.5" customHeight="1" spans="1:4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100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100"/>
      <c r="AO328" s="2"/>
      <c r="AP328" s="2"/>
      <c r="AQ328" s="2"/>
      <c r="AR328" s="2"/>
    </row>
    <row r="329" ht="13.5" customHeight="1" spans="1:4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100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100"/>
      <c r="AO329" s="2"/>
      <c r="AP329" s="2"/>
      <c r="AQ329" s="2"/>
      <c r="AR329" s="2"/>
    </row>
    <row r="330" ht="13.5" customHeight="1" spans="1:4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100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100"/>
      <c r="AO330" s="2"/>
      <c r="AP330" s="2"/>
      <c r="AQ330" s="2"/>
      <c r="AR330" s="2"/>
    </row>
    <row r="331" ht="13.5" customHeight="1" spans="1:4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100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100"/>
      <c r="AO331" s="2"/>
      <c r="AP331" s="2"/>
      <c r="AQ331" s="2"/>
      <c r="AR331" s="2"/>
    </row>
    <row r="332" ht="13.5" customHeight="1" spans="1:4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100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100"/>
      <c r="AO332" s="2"/>
      <c r="AP332" s="2"/>
      <c r="AQ332" s="2"/>
      <c r="AR332" s="2"/>
    </row>
    <row r="333" ht="13.5" customHeight="1" spans="1:4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100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100"/>
      <c r="AO333" s="2"/>
      <c r="AP333" s="2"/>
      <c r="AQ333" s="2"/>
      <c r="AR333" s="2"/>
    </row>
    <row r="334" ht="13.5" customHeight="1" spans="1:4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100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100"/>
      <c r="AO334" s="2"/>
      <c r="AP334" s="2"/>
      <c r="AQ334" s="2"/>
      <c r="AR334" s="2"/>
    </row>
    <row r="335" ht="13.5" customHeight="1" spans="1:4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100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100"/>
      <c r="AO335" s="2"/>
      <c r="AP335" s="2"/>
      <c r="AQ335" s="2"/>
      <c r="AR335" s="2"/>
    </row>
    <row r="336" ht="13.5" customHeight="1" spans="1:4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100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100"/>
      <c r="AO336" s="2"/>
      <c r="AP336" s="2"/>
      <c r="AQ336" s="2"/>
      <c r="AR336" s="2"/>
    </row>
    <row r="337" ht="13.5" customHeight="1" spans="1:4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100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100"/>
      <c r="AO337" s="2"/>
      <c r="AP337" s="2"/>
      <c r="AQ337" s="2"/>
      <c r="AR337" s="2"/>
    </row>
    <row r="338" ht="13.5" customHeight="1" spans="1:4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100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100"/>
      <c r="AO338" s="2"/>
      <c r="AP338" s="2"/>
      <c r="AQ338" s="2"/>
      <c r="AR338" s="2"/>
    </row>
    <row r="339" ht="13.5" customHeight="1" spans="1:4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100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100"/>
      <c r="AO339" s="2"/>
      <c r="AP339" s="2"/>
      <c r="AQ339" s="2"/>
      <c r="AR339" s="2"/>
    </row>
    <row r="340" ht="13.5" customHeight="1" spans="1:4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100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100"/>
      <c r="AO340" s="2"/>
      <c r="AP340" s="2"/>
      <c r="AQ340" s="2"/>
      <c r="AR340" s="2"/>
    </row>
    <row r="341" ht="13.5" customHeight="1" spans="1:4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100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100"/>
      <c r="AO341" s="2"/>
      <c r="AP341" s="2"/>
      <c r="AQ341" s="2"/>
      <c r="AR341" s="2"/>
    </row>
    <row r="342" ht="13.5" customHeight="1" spans="1:4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100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100"/>
      <c r="AO342" s="2"/>
      <c r="AP342" s="2"/>
      <c r="AQ342" s="2"/>
      <c r="AR342" s="2"/>
    </row>
    <row r="343" ht="13.5" customHeight="1" spans="1:4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100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100"/>
      <c r="AO343" s="2"/>
      <c r="AP343" s="2"/>
      <c r="AQ343" s="2"/>
      <c r="AR343" s="2"/>
    </row>
    <row r="344" ht="13.5" customHeight="1" spans="1:4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100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100"/>
      <c r="AO344" s="2"/>
      <c r="AP344" s="2"/>
      <c r="AQ344" s="2"/>
      <c r="AR344" s="2"/>
    </row>
    <row r="345" ht="13.5" customHeight="1" spans="1:4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100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100"/>
      <c r="AO345" s="2"/>
      <c r="AP345" s="2"/>
      <c r="AQ345" s="2"/>
      <c r="AR345" s="2"/>
    </row>
    <row r="346" ht="13.5" customHeight="1" spans="1:4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100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100"/>
      <c r="AO346" s="2"/>
      <c r="AP346" s="2"/>
      <c r="AQ346" s="2"/>
      <c r="AR346" s="2"/>
    </row>
    <row r="347" ht="13.5" customHeight="1" spans="1:4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100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100"/>
      <c r="AO347" s="2"/>
      <c r="AP347" s="2"/>
      <c r="AQ347" s="2"/>
      <c r="AR347" s="2"/>
    </row>
    <row r="348" ht="13.5" customHeight="1" spans="1:4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100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100"/>
      <c r="AO348" s="2"/>
      <c r="AP348" s="2"/>
      <c r="AQ348" s="2"/>
      <c r="AR348" s="2"/>
    </row>
    <row r="349" ht="13.5" customHeight="1" spans="1:4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100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100"/>
      <c r="AO349" s="2"/>
      <c r="AP349" s="2"/>
      <c r="AQ349" s="2"/>
      <c r="AR349" s="2"/>
    </row>
    <row r="350" ht="13.5" customHeight="1" spans="1:4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100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100"/>
      <c r="AO350" s="2"/>
      <c r="AP350" s="2"/>
      <c r="AQ350" s="2"/>
      <c r="AR350" s="2"/>
    </row>
    <row r="351" ht="13.5" customHeight="1" spans="1:4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100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100"/>
      <c r="AO351" s="2"/>
      <c r="AP351" s="2"/>
      <c r="AQ351" s="2"/>
      <c r="AR351" s="2"/>
    </row>
    <row r="352" ht="13.5" customHeight="1" spans="1:4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100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100"/>
      <c r="AO352" s="2"/>
      <c r="AP352" s="2"/>
      <c r="AQ352" s="2"/>
      <c r="AR352" s="2"/>
    </row>
    <row r="353" ht="13.5" customHeight="1" spans="1:4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100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100"/>
      <c r="AO353" s="2"/>
      <c r="AP353" s="2"/>
      <c r="AQ353" s="2"/>
      <c r="AR353" s="2"/>
    </row>
    <row r="354" ht="13.5" customHeight="1" spans="1:4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100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100"/>
      <c r="AO354" s="2"/>
      <c r="AP354" s="2"/>
      <c r="AQ354" s="2"/>
      <c r="AR354" s="2"/>
    </row>
    <row r="355" ht="13.5" customHeight="1" spans="1:4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100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100"/>
      <c r="AO355" s="2"/>
      <c r="AP355" s="2"/>
      <c r="AQ355" s="2"/>
      <c r="AR355" s="2"/>
    </row>
    <row r="356" ht="13.5" customHeight="1" spans="1:4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100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100"/>
      <c r="AO356" s="2"/>
      <c r="AP356" s="2"/>
      <c r="AQ356" s="2"/>
      <c r="AR356" s="2"/>
    </row>
    <row r="357" ht="13.5" customHeight="1" spans="1:4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100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100"/>
      <c r="AO357" s="2"/>
      <c r="AP357" s="2"/>
      <c r="AQ357" s="2"/>
      <c r="AR357" s="2"/>
    </row>
    <row r="358" ht="13.5" customHeight="1" spans="1:4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100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100"/>
      <c r="AO358" s="2"/>
      <c r="AP358" s="2"/>
      <c r="AQ358" s="2"/>
      <c r="AR358" s="2"/>
    </row>
    <row r="359" ht="13.5" customHeight="1" spans="1:4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100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100"/>
      <c r="AO359" s="2"/>
      <c r="AP359" s="2"/>
      <c r="AQ359" s="2"/>
      <c r="AR359" s="2"/>
    </row>
    <row r="360" ht="13.5" customHeight="1" spans="1:4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100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100"/>
      <c r="AO360" s="2"/>
      <c r="AP360" s="2"/>
      <c r="AQ360" s="2"/>
      <c r="AR360" s="2"/>
    </row>
    <row r="361" ht="13.5" customHeight="1" spans="1:4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100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100"/>
      <c r="AO361" s="2"/>
      <c r="AP361" s="2"/>
      <c r="AQ361" s="2"/>
      <c r="AR361" s="2"/>
    </row>
    <row r="362" ht="13.5" customHeight="1" spans="1:4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100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100"/>
      <c r="AO362" s="2"/>
      <c r="AP362" s="2"/>
      <c r="AQ362" s="2"/>
      <c r="AR362" s="2"/>
    </row>
    <row r="363" ht="13.5" customHeight="1" spans="1:4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100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100"/>
      <c r="AO363" s="2"/>
      <c r="AP363" s="2"/>
      <c r="AQ363" s="2"/>
      <c r="AR363" s="2"/>
    </row>
    <row r="364" ht="13.5" customHeight="1" spans="1:4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100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100"/>
      <c r="AO364" s="2"/>
      <c r="AP364" s="2"/>
      <c r="AQ364" s="2"/>
      <c r="AR364" s="2"/>
    </row>
    <row r="365" ht="13.5" customHeight="1" spans="1:4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100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100"/>
      <c r="AO365" s="2"/>
      <c r="AP365" s="2"/>
      <c r="AQ365" s="2"/>
      <c r="AR365" s="2"/>
    </row>
    <row r="366" ht="13.5" customHeight="1" spans="1:4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100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100"/>
      <c r="AO366" s="2"/>
      <c r="AP366" s="2"/>
      <c r="AQ366" s="2"/>
      <c r="AR366" s="2"/>
    </row>
    <row r="367" ht="13.5" customHeight="1" spans="1:4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100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100"/>
      <c r="AO367" s="2"/>
      <c r="AP367" s="2"/>
      <c r="AQ367" s="2"/>
      <c r="AR367" s="2"/>
    </row>
    <row r="368" ht="13.5" customHeight="1" spans="1:4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100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100"/>
      <c r="AO368" s="2"/>
      <c r="AP368" s="2"/>
      <c r="AQ368" s="2"/>
      <c r="AR368" s="2"/>
    </row>
    <row r="369" ht="13.5" customHeight="1" spans="1:4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100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100"/>
      <c r="AO369" s="2"/>
      <c r="AP369" s="2"/>
      <c r="AQ369" s="2"/>
      <c r="AR369" s="2"/>
    </row>
    <row r="370" ht="13.5" customHeight="1" spans="1:4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100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100"/>
      <c r="AO370" s="2"/>
      <c r="AP370" s="2"/>
      <c r="AQ370" s="2"/>
      <c r="AR370" s="2"/>
    </row>
    <row r="371" ht="13.5" customHeight="1" spans="1:4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100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100"/>
      <c r="AO371" s="2"/>
      <c r="AP371" s="2"/>
      <c r="AQ371" s="2"/>
      <c r="AR371" s="2"/>
    </row>
    <row r="372" ht="13.5" customHeight="1" spans="1:4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100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100"/>
      <c r="AO372" s="2"/>
      <c r="AP372" s="2"/>
      <c r="AQ372" s="2"/>
      <c r="AR372" s="2"/>
    </row>
    <row r="373" ht="13.5" customHeight="1" spans="1:4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100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100"/>
      <c r="AO373" s="2"/>
      <c r="AP373" s="2"/>
      <c r="AQ373" s="2"/>
      <c r="AR373" s="2"/>
    </row>
    <row r="374" ht="13.5" customHeight="1" spans="1:4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100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100"/>
      <c r="AO374" s="2"/>
      <c r="AP374" s="2"/>
      <c r="AQ374" s="2"/>
      <c r="AR374" s="2"/>
    </row>
    <row r="375" ht="13.5" customHeight="1" spans="1:4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100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100"/>
      <c r="AO375" s="2"/>
      <c r="AP375" s="2"/>
      <c r="AQ375" s="2"/>
      <c r="AR375" s="2"/>
    </row>
    <row r="376" ht="13.5" customHeight="1" spans="1:4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100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100"/>
      <c r="AO376" s="2"/>
      <c r="AP376" s="2"/>
      <c r="AQ376" s="2"/>
      <c r="AR376" s="2"/>
    </row>
    <row r="377" ht="13.5" customHeight="1" spans="1:4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100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100"/>
      <c r="AO377" s="2"/>
      <c r="AP377" s="2"/>
      <c r="AQ377" s="2"/>
      <c r="AR377" s="2"/>
    </row>
    <row r="378" ht="13.5" customHeight="1" spans="1:4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100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100"/>
      <c r="AO378" s="2"/>
      <c r="AP378" s="2"/>
      <c r="AQ378" s="2"/>
      <c r="AR378" s="2"/>
    </row>
    <row r="379" ht="13.5" customHeight="1" spans="1:4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100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100"/>
      <c r="AO379" s="2"/>
      <c r="AP379" s="2"/>
      <c r="AQ379" s="2"/>
      <c r="AR379" s="2"/>
    </row>
    <row r="380" ht="13.5" customHeight="1" spans="1:4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100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100"/>
      <c r="AO380" s="2"/>
      <c r="AP380" s="2"/>
      <c r="AQ380" s="2"/>
      <c r="AR380" s="2"/>
    </row>
    <row r="381" ht="13.5" customHeight="1" spans="1:4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100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100"/>
      <c r="AO381" s="2"/>
      <c r="AP381" s="2"/>
      <c r="AQ381" s="2"/>
      <c r="AR381" s="2"/>
    </row>
    <row r="382" ht="13.5" customHeight="1" spans="1:4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100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100"/>
      <c r="AO382" s="2"/>
      <c r="AP382" s="2"/>
      <c r="AQ382" s="2"/>
      <c r="AR382" s="2"/>
    </row>
    <row r="383" ht="13.5" customHeight="1" spans="1:4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100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100"/>
      <c r="AO383" s="2"/>
      <c r="AP383" s="2"/>
      <c r="AQ383" s="2"/>
      <c r="AR383" s="2"/>
    </row>
    <row r="384" ht="13.5" customHeight="1" spans="1:4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100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100"/>
      <c r="AO384" s="2"/>
      <c r="AP384" s="2"/>
      <c r="AQ384" s="2"/>
      <c r="AR384" s="2"/>
    </row>
    <row r="385" ht="13.5" customHeight="1" spans="1:4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100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100"/>
      <c r="AO385" s="2"/>
      <c r="AP385" s="2"/>
      <c r="AQ385" s="2"/>
      <c r="AR385" s="2"/>
    </row>
    <row r="386" ht="13.5" customHeight="1" spans="1:4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100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100"/>
      <c r="AO386" s="2"/>
      <c r="AP386" s="2"/>
      <c r="AQ386" s="2"/>
      <c r="AR386" s="2"/>
    </row>
    <row r="387" ht="13.5" customHeight="1" spans="1:4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100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100"/>
      <c r="AO387" s="2"/>
      <c r="AP387" s="2"/>
      <c r="AQ387" s="2"/>
      <c r="AR387" s="2"/>
    </row>
    <row r="388" ht="13.5" customHeight="1" spans="1:4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100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100"/>
      <c r="AO388" s="2"/>
      <c r="AP388" s="2"/>
      <c r="AQ388" s="2"/>
      <c r="AR388" s="2"/>
    </row>
    <row r="389" ht="13.5" customHeight="1" spans="1:4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100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100"/>
      <c r="AO389" s="2"/>
      <c r="AP389" s="2"/>
      <c r="AQ389" s="2"/>
      <c r="AR389" s="2"/>
    </row>
    <row r="390" ht="13.5" customHeight="1" spans="1:4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100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100"/>
      <c r="AO390" s="2"/>
      <c r="AP390" s="2"/>
      <c r="AQ390" s="2"/>
      <c r="AR390" s="2"/>
    </row>
    <row r="391" ht="13.5" customHeight="1" spans="1:4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100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100"/>
      <c r="AO391" s="2"/>
      <c r="AP391" s="2"/>
      <c r="AQ391" s="2"/>
      <c r="AR391" s="2"/>
    </row>
    <row r="392" ht="13.5" customHeight="1" spans="1:4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100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100"/>
      <c r="AO392" s="2"/>
      <c r="AP392" s="2"/>
      <c r="AQ392" s="2"/>
      <c r="AR392" s="2"/>
    </row>
    <row r="393" ht="13.5" customHeight="1" spans="1:4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100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100"/>
      <c r="AO393" s="2"/>
      <c r="AP393" s="2"/>
      <c r="AQ393" s="2"/>
      <c r="AR393" s="2"/>
    </row>
    <row r="394" ht="13.5" customHeight="1" spans="1:4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100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100"/>
      <c r="AO394" s="2"/>
      <c r="AP394" s="2"/>
      <c r="AQ394" s="2"/>
      <c r="AR394" s="2"/>
    </row>
    <row r="395" ht="13.5" customHeight="1" spans="1:4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100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100"/>
      <c r="AO395" s="2"/>
      <c r="AP395" s="2"/>
      <c r="AQ395" s="2"/>
      <c r="AR395" s="2"/>
    </row>
    <row r="396" ht="13.5" customHeight="1" spans="1:4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100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100"/>
      <c r="AO396" s="2"/>
      <c r="AP396" s="2"/>
      <c r="AQ396" s="2"/>
      <c r="AR396" s="2"/>
    </row>
    <row r="397" ht="13.5" customHeight="1" spans="1:4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100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100"/>
      <c r="AO397" s="2"/>
      <c r="AP397" s="2"/>
      <c r="AQ397" s="2"/>
      <c r="AR397" s="2"/>
    </row>
    <row r="398" ht="13.5" customHeight="1" spans="1:4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100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100"/>
      <c r="AO398" s="2"/>
      <c r="AP398" s="2"/>
      <c r="AQ398" s="2"/>
      <c r="AR398" s="2"/>
    </row>
    <row r="399" ht="13.5" customHeight="1" spans="1:4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100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100"/>
      <c r="AO399" s="2"/>
      <c r="AP399" s="2"/>
      <c r="AQ399" s="2"/>
      <c r="AR399" s="2"/>
    </row>
    <row r="400" ht="13.5" customHeight="1" spans="1:4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100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100"/>
      <c r="AO400" s="2"/>
      <c r="AP400" s="2"/>
      <c r="AQ400" s="2"/>
      <c r="AR400" s="2"/>
    </row>
    <row r="401" ht="13.5" customHeight="1" spans="1:4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100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100"/>
      <c r="AO401" s="2"/>
      <c r="AP401" s="2"/>
      <c r="AQ401" s="2"/>
      <c r="AR401" s="2"/>
    </row>
    <row r="402" ht="13.5" customHeight="1" spans="1:4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100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100"/>
      <c r="AO402" s="2"/>
      <c r="AP402" s="2"/>
      <c r="AQ402" s="2"/>
      <c r="AR402" s="2"/>
    </row>
    <row r="403" ht="13.5" customHeight="1" spans="1:4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100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100"/>
      <c r="AO403" s="2"/>
      <c r="AP403" s="2"/>
      <c r="AQ403" s="2"/>
      <c r="AR403" s="2"/>
    </row>
    <row r="404" ht="13.5" customHeight="1" spans="1:4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100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100"/>
      <c r="AO404" s="2"/>
      <c r="AP404" s="2"/>
      <c r="AQ404" s="2"/>
      <c r="AR404" s="2"/>
    </row>
    <row r="405" ht="13.5" customHeight="1" spans="1:4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100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100"/>
      <c r="AO405" s="2"/>
      <c r="AP405" s="2"/>
      <c r="AQ405" s="2"/>
      <c r="AR405" s="2"/>
    </row>
    <row r="406" ht="13.5" customHeight="1" spans="1:4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100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100"/>
      <c r="AO406" s="2"/>
      <c r="AP406" s="2"/>
      <c r="AQ406" s="2"/>
      <c r="AR406" s="2"/>
    </row>
    <row r="407" ht="13.5" customHeight="1" spans="1:4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100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100"/>
      <c r="AO407" s="2"/>
      <c r="AP407" s="2"/>
      <c r="AQ407" s="2"/>
      <c r="AR407" s="2"/>
    </row>
    <row r="408" ht="13.5" customHeight="1" spans="1:4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100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100"/>
      <c r="AO408" s="2"/>
      <c r="AP408" s="2"/>
      <c r="AQ408" s="2"/>
      <c r="AR408" s="2"/>
    </row>
    <row r="409" ht="13.5" customHeight="1" spans="1:4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100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100"/>
      <c r="AO409" s="2"/>
      <c r="AP409" s="2"/>
      <c r="AQ409" s="2"/>
      <c r="AR409" s="2"/>
    </row>
    <row r="410" ht="13.5" customHeight="1" spans="1:4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100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100"/>
      <c r="AO410" s="2"/>
      <c r="AP410" s="2"/>
      <c r="AQ410" s="2"/>
      <c r="AR410" s="2"/>
    </row>
    <row r="411" ht="13.5" customHeight="1" spans="1:4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100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100"/>
      <c r="AO411" s="2"/>
      <c r="AP411" s="2"/>
      <c r="AQ411" s="2"/>
      <c r="AR411" s="2"/>
    </row>
    <row r="412" ht="13.5" customHeight="1" spans="1:4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100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100"/>
      <c r="AO412" s="2"/>
      <c r="AP412" s="2"/>
      <c r="AQ412" s="2"/>
      <c r="AR412" s="2"/>
    </row>
    <row r="413" ht="13.5" customHeight="1" spans="1:4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100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100"/>
      <c r="AO413" s="2"/>
      <c r="AP413" s="2"/>
      <c r="AQ413" s="2"/>
      <c r="AR413" s="2"/>
    </row>
    <row r="414" ht="13.5" customHeight="1" spans="1:4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100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100"/>
      <c r="AO414" s="2"/>
      <c r="AP414" s="2"/>
      <c r="AQ414" s="2"/>
      <c r="AR414" s="2"/>
    </row>
    <row r="415" ht="13.5" customHeight="1" spans="1:4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100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100"/>
      <c r="AO415" s="2"/>
      <c r="AP415" s="2"/>
      <c r="AQ415" s="2"/>
      <c r="AR415" s="2"/>
    </row>
    <row r="416" ht="13.5" customHeight="1" spans="1:4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100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100"/>
      <c r="AO416" s="2"/>
      <c r="AP416" s="2"/>
      <c r="AQ416" s="2"/>
      <c r="AR416" s="2"/>
    </row>
    <row r="417" ht="13.5" customHeight="1" spans="1:4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100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100"/>
      <c r="AO417" s="2"/>
      <c r="AP417" s="2"/>
      <c r="AQ417" s="2"/>
      <c r="AR417" s="2"/>
    </row>
    <row r="418" ht="13.5" customHeight="1" spans="1:4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100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100"/>
      <c r="AO418" s="2"/>
      <c r="AP418" s="2"/>
      <c r="AQ418" s="2"/>
      <c r="AR418" s="2"/>
    </row>
    <row r="419" ht="13.5" customHeight="1" spans="1:4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100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100"/>
      <c r="AO419" s="2"/>
      <c r="AP419" s="2"/>
      <c r="AQ419" s="2"/>
      <c r="AR419" s="2"/>
    </row>
    <row r="420" ht="13.5" customHeight="1" spans="1:4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100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100"/>
      <c r="AO420" s="2"/>
      <c r="AP420" s="2"/>
      <c r="AQ420" s="2"/>
      <c r="AR420" s="2"/>
    </row>
    <row r="421" ht="13.5" customHeight="1" spans="1:4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100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100"/>
      <c r="AO421" s="2"/>
      <c r="AP421" s="2"/>
      <c r="AQ421" s="2"/>
      <c r="AR421" s="2"/>
    </row>
    <row r="422" ht="13.5" customHeight="1" spans="1:4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100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100"/>
      <c r="AO422" s="2"/>
      <c r="AP422" s="2"/>
      <c r="AQ422" s="2"/>
      <c r="AR422" s="2"/>
    </row>
    <row r="423" ht="13.5" customHeight="1" spans="1:4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100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100"/>
      <c r="AO423" s="2"/>
      <c r="AP423" s="2"/>
      <c r="AQ423" s="2"/>
      <c r="AR423" s="2"/>
    </row>
    <row r="424" ht="13.5" customHeight="1" spans="1:4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100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100"/>
      <c r="AO424" s="2"/>
      <c r="AP424" s="2"/>
      <c r="AQ424" s="2"/>
      <c r="AR424" s="2"/>
    </row>
    <row r="425" ht="13.5" customHeight="1" spans="1:4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100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100"/>
      <c r="AO425" s="2"/>
      <c r="AP425" s="2"/>
      <c r="AQ425" s="2"/>
      <c r="AR425" s="2"/>
    </row>
    <row r="426" ht="13.5" customHeight="1" spans="1:4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100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100"/>
      <c r="AO426" s="2"/>
      <c r="AP426" s="2"/>
      <c r="AQ426" s="2"/>
      <c r="AR426" s="2"/>
    </row>
    <row r="427" ht="13.5" customHeight="1" spans="1:4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100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100"/>
      <c r="AO427" s="2"/>
      <c r="AP427" s="2"/>
      <c r="AQ427" s="2"/>
      <c r="AR427" s="2"/>
    </row>
    <row r="428" ht="13.5" customHeight="1" spans="1:4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100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100"/>
      <c r="AO428" s="2"/>
      <c r="AP428" s="2"/>
      <c r="AQ428" s="2"/>
      <c r="AR428" s="2"/>
    </row>
    <row r="429" ht="13.5" customHeight="1" spans="1:4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100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100"/>
      <c r="AO429" s="2"/>
      <c r="AP429" s="2"/>
      <c r="AQ429" s="2"/>
      <c r="AR429" s="2"/>
    </row>
    <row r="430" ht="13.5" customHeight="1" spans="1:4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100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100"/>
      <c r="AO430" s="2"/>
      <c r="AP430" s="2"/>
      <c r="AQ430" s="2"/>
      <c r="AR430" s="2"/>
    </row>
    <row r="431" ht="13.5" customHeight="1" spans="1:4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100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100"/>
      <c r="AO431" s="2"/>
      <c r="AP431" s="2"/>
      <c r="AQ431" s="2"/>
      <c r="AR431" s="2"/>
    </row>
    <row r="432" ht="13.5" customHeight="1" spans="1:4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100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100"/>
      <c r="AO432" s="2"/>
      <c r="AP432" s="2"/>
      <c r="AQ432" s="2"/>
      <c r="AR432" s="2"/>
    </row>
    <row r="433" ht="13.5" customHeight="1" spans="1:4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100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100"/>
      <c r="AO433" s="2"/>
      <c r="AP433" s="2"/>
      <c r="AQ433" s="2"/>
      <c r="AR433" s="2"/>
    </row>
    <row r="434" ht="13.5" customHeight="1" spans="1:4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100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100"/>
      <c r="AO434" s="2"/>
      <c r="AP434" s="2"/>
      <c r="AQ434" s="2"/>
      <c r="AR434" s="2"/>
    </row>
    <row r="435" ht="13.5" customHeight="1" spans="1:4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100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100"/>
      <c r="AO435" s="2"/>
      <c r="AP435" s="2"/>
      <c r="AQ435" s="2"/>
      <c r="AR435" s="2"/>
    </row>
    <row r="436" ht="13.5" customHeight="1" spans="1:4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100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100"/>
      <c r="AO436" s="2"/>
      <c r="AP436" s="2"/>
      <c r="AQ436" s="2"/>
      <c r="AR436" s="2"/>
    </row>
    <row r="437" ht="13.5" customHeight="1" spans="1:4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100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100"/>
      <c r="AO437" s="2"/>
      <c r="AP437" s="2"/>
      <c r="AQ437" s="2"/>
      <c r="AR437" s="2"/>
    </row>
    <row r="438" ht="13.5" customHeight="1" spans="1:4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100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100"/>
      <c r="AO438" s="2"/>
      <c r="AP438" s="2"/>
      <c r="AQ438" s="2"/>
      <c r="AR438" s="2"/>
    </row>
    <row r="439" ht="13.5" customHeight="1" spans="1:4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100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100"/>
      <c r="AO439" s="2"/>
      <c r="AP439" s="2"/>
      <c r="AQ439" s="2"/>
      <c r="AR439" s="2"/>
    </row>
    <row r="440" ht="13.5" customHeight="1" spans="1:4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100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100"/>
      <c r="AO440" s="2"/>
      <c r="AP440" s="2"/>
      <c r="AQ440" s="2"/>
      <c r="AR440" s="2"/>
    </row>
    <row r="441" ht="13.5" customHeight="1" spans="1:4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100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100"/>
      <c r="AO441" s="2"/>
      <c r="AP441" s="2"/>
      <c r="AQ441" s="2"/>
      <c r="AR441" s="2"/>
    </row>
    <row r="442" ht="13.5" customHeight="1" spans="1:4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100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100"/>
      <c r="AO442" s="2"/>
      <c r="AP442" s="2"/>
      <c r="AQ442" s="2"/>
      <c r="AR442" s="2"/>
    </row>
    <row r="443" ht="13.5" customHeight="1" spans="1:4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100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100"/>
      <c r="AO443" s="2"/>
      <c r="AP443" s="2"/>
      <c r="AQ443" s="2"/>
      <c r="AR443" s="2"/>
    </row>
    <row r="444" ht="13.5" customHeight="1" spans="1:4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100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100"/>
      <c r="AO444" s="2"/>
      <c r="AP444" s="2"/>
      <c r="AQ444" s="2"/>
      <c r="AR444" s="2"/>
    </row>
    <row r="445" ht="13.5" customHeight="1" spans="1:4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100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100"/>
      <c r="AO445" s="2"/>
      <c r="AP445" s="2"/>
      <c r="AQ445" s="2"/>
      <c r="AR445" s="2"/>
    </row>
    <row r="446" ht="13.5" customHeight="1" spans="1:4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100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100"/>
      <c r="AO446" s="2"/>
      <c r="AP446" s="2"/>
      <c r="AQ446" s="2"/>
      <c r="AR446" s="2"/>
    </row>
    <row r="447" ht="13.5" customHeight="1" spans="1:4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100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100"/>
      <c r="AO447" s="2"/>
      <c r="AP447" s="2"/>
      <c r="AQ447" s="2"/>
      <c r="AR447" s="2"/>
    </row>
    <row r="448" ht="13.5" customHeight="1" spans="1:4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100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100"/>
      <c r="AO448" s="2"/>
      <c r="AP448" s="2"/>
      <c r="AQ448" s="2"/>
      <c r="AR448" s="2"/>
    </row>
    <row r="449" ht="13.5" customHeight="1" spans="1:4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100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100"/>
      <c r="AO449" s="2"/>
      <c r="AP449" s="2"/>
      <c r="AQ449" s="2"/>
      <c r="AR449" s="2"/>
    </row>
    <row r="450" ht="13.5" customHeight="1" spans="1:4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100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100"/>
      <c r="AO450" s="2"/>
      <c r="AP450" s="2"/>
      <c r="AQ450" s="2"/>
      <c r="AR450" s="2"/>
    </row>
    <row r="451" ht="13.5" customHeight="1" spans="1:4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100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100"/>
      <c r="AO451" s="2"/>
      <c r="AP451" s="2"/>
      <c r="AQ451" s="2"/>
      <c r="AR451" s="2"/>
    </row>
    <row r="452" ht="13.5" customHeight="1" spans="1:4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100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100"/>
      <c r="AO452" s="2"/>
      <c r="AP452" s="2"/>
      <c r="AQ452" s="2"/>
      <c r="AR452" s="2"/>
    </row>
    <row r="453" ht="13.5" customHeight="1" spans="1:4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100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100"/>
      <c r="AO453" s="2"/>
      <c r="AP453" s="2"/>
      <c r="AQ453" s="2"/>
      <c r="AR453" s="2"/>
    </row>
    <row r="454" ht="13.5" customHeight="1" spans="1:4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100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100"/>
      <c r="AO454" s="2"/>
      <c r="AP454" s="2"/>
      <c r="AQ454" s="2"/>
      <c r="AR454" s="2"/>
    </row>
    <row r="455" ht="13.5" customHeight="1" spans="1:4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100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100"/>
      <c r="AO455" s="2"/>
      <c r="AP455" s="2"/>
      <c r="AQ455" s="2"/>
      <c r="AR455" s="2"/>
    </row>
    <row r="456" ht="13.5" customHeight="1" spans="1:4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100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100"/>
      <c r="AO456" s="2"/>
      <c r="AP456" s="2"/>
      <c r="AQ456" s="2"/>
      <c r="AR456" s="2"/>
    </row>
    <row r="457" ht="13.5" customHeight="1" spans="1:4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100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100"/>
      <c r="AO457" s="2"/>
      <c r="AP457" s="2"/>
      <c r="AQ457" s="2"/>
      <c r="AR457" s="2"/>
    </row>
    <row r="458" ht="13.5" customHeight="1" spans="1:4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100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100"/>
      <c r="AO458" s="2"/>
      <c r="AP458" s="2"/>
      <c r="AQ458" s="2"/>
      <c r="AR458" s="2"/>
    </row>
    <row r="459" ht="13.5" customHeight="1" spans="1:4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100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100"/>
      <c r="AO459" s="2"/>
      <c r="AP459" s="2"/>
      <c r="AQ459" s="2"/>
      <c r="AR459" s="2"/>
    </row>
    <row r="460" ht="13.5" customHeight="1" spans="1:4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100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100"/>
      <c r="AO460" s="2"/>
      <c r="AP460" s="2"/>
      <c r="AQ460" s="2"/>
      <c r="AR460" s="2"/>
    </row>
    <row r="461" ht="13.5" customHeight="1" spans="1:4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100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100"/>
      <c r="AO461" s="2"/>
      <c r="AP461" s="2"/>
      <c r="AQ461" s="2"/>
      <c r="AR461" s="2"/>
    </row>
    <row r="462" ht="13.5" customHeight="1" spans="1:4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100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100"/>
      <c r="AO462" s="2"/>
      <c r="AP462" s="2"/>
      <c r="AQ462" s="2"/>
      <c r="AR462" s="2"/>
    </row>
    <row r="463" ht="13.5" customHeight="1" spans="1:4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100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100"/>
      <c r="AO463" s="2"/>
      <c r="AP463" s="2"/>
      <c r="AQ463" s="2"/>
      <c r="AR463" s="2"/>
    </row>
    <row r="464" ht="13.5" customHeight="1" spans="1:4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100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100"/>
      <c r="AO464" s="2"/>
      <c r="AP464" s="2"/>
      <c r="AQ464" s="2"/>
      <c r="AR464" s="2"/>
    </row>
    <row r="465" ht="13.5" customHeight="1" spans="1:4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100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100"/>
      <c r="AO465" s="2"/>
      <c r="AP465" s="2"/>
      <c r="AQ465" s="2"/>
      <c r="AR465" s="2"/>
    </row>
    <row r="466" ht="13.5" customHeight="1" spans="1:4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100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100"/>
      <c r="AO466" s="2"/>
      <c r="AP466" s="2"/>
      <c r="AQ466" s="2"/>
      <c r="AR466" s="2"/>
    </row>
    <row r="467" ht="13.5" customHeight="1" spans="1:4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100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100"/>
      <c r="AO467" s="2"/>
      <c r="AP467" s="2"/>
      <c r="AQ467" s="2"/>
      <c r="AR467" s="2"/>
    </row>
    <row r="468" ht="13.5" customHeight="1" spans="1:4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100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100"/>
      <c r="AO468" s="2"/>
      <c r="AP468" s="2"/>
      <c r="AQ468" s="2"/>
      <c r="AR468" s="2"/>
    </row>
    <row r="469" ht="13.5" customHeight="1" spans="1:4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100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100"/>
      <c r="AO469" s="2"/>
      <c r="AP469" s="2"/>
      <c r="AQ469" s="2"/>
      <c r="AR469" s="2"/>
    </row>
    <row r="470" ht="13.5" customHeight="1" spans="1:4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100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100"/>
      <c r="AO470" s="2"/>
      <c r="AP470" s="2"/>
      <c r="AQ470" s="2"/>
      <c r="AR470" s="2"/>
    </row>
    <row r="471" ht="13.5" customHeight="1" spans="1:4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100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100"/>
      <c r="AO471" s="2"/>
      <c r="AP471" s="2"/>
      <c r="AQ471" s="2"/>
      <c r="AR471" s="2"/>
    </row>
    <row r="472" ht="13.5" customHeight="1" spans="1:4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100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100"/>
      <c r="AO472" s="2"/>
      <c r="AP472" s="2"/>
      <c r="AQ472" s="2"/>
      <c r="AR472" s="2"/>
    </row>
    <row r="473" ht="13.5" customHeight="1" spans="1:4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100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100"/>
      <c r="AO473" s="2"/>
      <c r="AP473" s="2"/>
      <c r="AQ473" s="2"/>
      <c r="AR473" s="2"/>
    </row>
    <row r="474" ht="13.5" customHeight="1" spans="1:4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100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100"/>
      <c r="AO474" s="2"/>
      <c r="AP474" s="2"/>
      <c r="AQ474" s="2"/>
      <c r="AR474" s="2"/>
    </row>
    <row r="475" ht="13.5" customHeight="1" spans="1:4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100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100"/>
      <c r="AO475" s="2"/>
      <c r="AP475" s="2"/>
      <c r="AQ475" s="2"/>
      <c r="AR475" s="2"/>
    </row>
    <row r="476" ht="13.5" customHeight="1" spans="1:4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100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100"/>
      <c r="AO476" s="2"/>
      <c r="AP476" s="2"/>
      <c r="AQ476" s="2"/>
      <c r="AR476" s="2"/>
    </row>
    <row r="477" ht="13.5" customHeight="1" spans="1:4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100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100"/>
      <c r="AO477" s="2"/>
      <c r="AP477" s="2"/>
      <c r="AQ477" s="2"/>
      <c r="AR477" s="2"/>
    </row>
    <row r="478" ht="13.5" customHeight="1" spans="1:4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100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100"/>
      <c r="AO478" s="2"/>
      <c r="AP478" s="2"/>
      <c r="AQ478" s="2"/>
      <c r="AR478" s="2"/>
    </row>
    <row r="479" ht="13.5" customHeight="1" spans="1:4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100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100"/>
      <c r="AO479" s="2"/>
      <c r="AP479" s="2"/>
      <c r="AQ479" s="2"/>
      <c r="AR479" s="2"/>
    </row>
    <row r="480" ht="13.5" customHeight="1" spans="1:4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100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100"/>
      <c r="AO480" s="2"/>
      <c r="AP480" s="2"/>
      <c r="AQ480" s="2"/>
      <c r="AR480" s="2"/>
    </row>
    <row r="481" ht="13.5" customHeight="1" spans="1:4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100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100"/>
      <c r="AO481" s="2"/>
      <c r="AP481" s="2"/>
      <c r="AQ481" s="2"/>
      <c r="AR481" s="2"/>
    </row>
    <row r="482" ht="13.5" customHeight="1" spans="1:4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100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100"/>
      <c r="AO482" s="2"/>
      <c r="AP482" s="2"/>
      <c r="AQ482" s="2"/>
      <c r="AR482" s="2"/>
    </row>
    <row r="483" ht="13.5" customHeight="1" spans="1:4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100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100"/>
      <c r="AO483" s="2"/>
      <c r="AP483" s="2"/>
      <c r="AQ483" s="2"/>
      <c r="AR483" s="2"/>
    </row>
    <row r="484" ht="13.5" customHeight="1" spans="1:4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100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100"/>
      <c r="AO484" s="2"/>
      <c r="AP484" s="2"/>
      <c r="AQ484" s="2"/>
      <c r="AR484" s="2"/>
    </row>
    <row r="485" ht="13.5" customHeight="1" spans="1:4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100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100"/>
      <c r="AO485" s="2"/>
      <c r="AP485" s="2"/>
      <c r="AQ485" s="2"/>
      <c r="AR485" s="2"/>
    </row>
    <row r="486" ht="13.5" customHeight="1" spans="1:4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100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100"/>
      <c r="AO486" s="2"/>
      <c r="AP486" s="2"/>
      <c r="AQ486" s="2"/>
      <c r="AR486" s="2"/>
    </row>
    <row r="487" ht="13.5" customHeight="1" spans="1:4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100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100"/>
      <c r="AO487" s="2"/>
      <c r="AP487" s="2"/>
      <c r="AQ487" s="2"/>
      <c r="AR487" s="2"/>
    </row>
    <row r="488" ht="13.5" customHeight="1" spans="1:4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100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100"/>
      <c r="AO488" s="2"/>
      <c r="AP488" s="2"/>
      <c r="AQ488" s="2"/>
      <c r="AR488" s="2"/>
    </row>
    <row r="489" ht="13.5" customHeight="1" spans="1:4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100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100"/>
      <c r="AO489" s="2"/>
      <c r="AP489" s="2"/>
      <c r="AQ489" s="2"/>
      <c r="AR489" s="2"/>
    </row>
    <row r="490" ht="13.5" customHeight="1" spans="1:4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100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100"/>
      <c r="AO490" s="2"/>
      <c r="AP490" s="2"/>
      <c r="AQ490" s="2"/>
      <c r="AR490" s="2"/>
    </row>
    <row r="491" ht="13.5" customHeight="1" spans="1:4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100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100"/>
      <c r="AO491" s="2"/>
      <c r="AP491" s="2"/>
      <c r="AQ491" s="2"/>
      <c r="AR491" s="2"/>
    </row>
    <row r="492" ht="13.5" customHeight="1" spans="1:4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100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100"/>
      <c r="AO492" s="2"/>
      <c r="AP492" s="2"/>
      <c r="AQ492" s="2"/>
      <c r="AR492" s="2"/>
    </row>
    <row r="493" ht="13.5" customHeight="1" spans="1:4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100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100"/>
      <c r="AO493" s="2"/>
      <c r="AP493" s="2"/>
      <c r="AQ493" s="2"/>
      <c r="AR493" s="2"/>
    </row>
    <row r="494" ht="13.5" customHeight="1" spans="1:4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100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100"/>
      <c r="AO494" s="2"/>
      <c r="AP494" s="2"/>
      <c r="AQ494" s="2"/>
      <c r="AR494" s="2"/>
    </row>
    <row r="495" ht="13.5" customHeight="1" spans="1:4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100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100"/>
      <c r="AO495" s="2"/>
      <c r="AP495" s="2"/>
      <c r="AQ495" s="2"/>
      <c r="AR495" s="2"/>
    </row>
    <row r="496" ht="13.5" customHeight="1" spans="1:4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100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100"/>
      <c r="AO496" s="2"/>
      <c r="AP496" s="2"/>
      <c r="AQ496" s="2"/>
      <c r="AR496" s="2"/>
    </row>
    <row r="497" ht="13.5" customHeight="1" spans="1:4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100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100"/>
      <c r="AO497" s="2"/>
      <c r="AP497" s="2"/>
      <c r="AQ497" s="2"/>
      <c r="AR497" s="2"/>
    </row>
    <row r="498" ht="13.5" customHeight="1" spans="1:4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100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100"/>
      <c r="AO498" s="2"/>
      <c r="AP498" s="2"/>
      <c r="AQ498" s="2"/>
      <c r="AR498" s="2"/>
    </row>
    <row r="499" ht="13.5" customHeight="1" spans="1:4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100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100"/>
      <c r="AO499" s="2"/>
      <c r="AP499" s="2"/>
      <c r="AQ499" s="2"/>
      <c r="AR499" s="2"/>
    </row>
    <row r="500" ht="13.5" customHeight="1" spans="1:4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100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100"/>
      <c r="AO500" s="2"/>
      <c r="AP500" s="2"/>
      <c r="AQ500" s="2"/>
      <c r="AR500" s="2"/>
    </row>
    <row r="501" ht="13.5" customHeight="1" spans="1:4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100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100"/>
      <c r="AO501" s="2"/>
      <c r="AP501" s="2"/>
      <c r="AQ501" s="2"/>
      <c r="AR501" s="2"/>
    </row>
    <row r="502" ht="13.5" customHeight="1" spans="1:4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100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100"/>
      <c r="AO502" s="2"/>
      <c r="AP502" s="2"/>
      <c r="AQ502" s="2"/>
      <c r="AR502" s="2"/>
    </row>
    <row r="503" ht="13.5" customHeight="1" spans="1:4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100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100"/>
      <c r="AO503" s="2"/>
      <c r="AP503" s="2"/>
      <c r="AQ503" s="2"/>
      <c r="AR503" s="2"/>
    </row>
    <row r="504" ht="13.5" customHeight="1" spans="1:4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100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100"/>
      <c r="AO504" s="2"/>
      <c r="AP504" s="2"/>
      <c r="AQ504" s="2"/>
      <c r="AR504" s="2"/>
    </row>
    <row r="505" ht="13.5" customHeight="1" spans="1:4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100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100"/>
      <c r="AO505" s="2"/>
      <c r="AP505" s="2"/>
      <c r="AQ505" s="2"/>
      <c r="AR505" s="2"/>
    </row>
    <row r="506" ht="13.5" customHeight="1" spans="1:4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100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100"/>
      <c r="AO506" s="2"/>
      <c r="AP506" s="2"/>
      <c r="AQ506" s="2"/>
      <c r="AR506" s="2"/>
    </row>
    <row r="507" ht="13.5" customHeight="1" spans="1:4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100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100"/>
      <c r="AO507" s="2"/>
      <c r="AP507" s="2"/>
      <c r="AQ507" s="2"/>
      <c r="AR507" s="2"/>
    </row>
    <row r="508" ht="13.5" customHeight="1" spans="1:4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100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100"/>
      <c r="AO508" s="2"/>
      <c r="AP508" s="2"/>
      <c r="AQ508" s="2"/>
      <c r="AR508" s="2"/>
    </row>
    <row r="509" ht="13.5" customHeight="1" spans="1:4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100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100"/>
      <c r="AO509" s="2"/>
      <c r="AP509" s="2"/>
      <c r="AQ509" s="2"/>
      <c r="AR509" s="2"/>
    </row>
    <row r="510" ht="13.5" customHeight="1" spans="1:4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100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100"/>
      <c r="AO510" s="2"/>
      <c r="AP510" s="2"/>
      <c r="AQ510" s="2"/>
      <c r="AR510" s="2"/>
    </row>
    <row r="511" ht="13.5" customHeight="1" spans="1:4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100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100"/>
      <c r="AO511" s="2"/>
      <c r="AP511" s="2"/>
      <c r="AQ511" s="2"/>
      <c r="AR511" s="2"/>
    </row>
    <row r="512" ht="13.5" customHeight="1" spans="1:4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100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100"/>
      <c r="AO512" s="2"/>
      <c r="AP512" s="2"/>
      <c r="AQ512" s="2"/>
      <c r="AR512" s="2"/>
    </row>
    <row r="513" ht="13.5" customHeight="1" spans="1:4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100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100"/>
      <c r="AO513" s="2"/>
      <c r="AP513" s="2"/>
      <c r="AQ513" s="2"/>
      <c r="AR513" s="2"/>
    </row>
    <row r="514" ht="13.5" customHeight="1" spans="1:4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100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100"/>
      <c r="AO514" s="2"/>
      <c r="AP514" s="2"/>
      <c r="AQ514" s="2"/>
      <c r="AR514" s="2"/>
    </row>
    <row r="515" ht="13.5" customHeight="1" spans="1:4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100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100"/>
      <c r="AO515" s="2"/>
      <c r="AP515" s="2"/>
      <c r="AQ515" s="2"/>
      <c r="AR515" s="2"/>
    </row>
    <row r="516" ht="13.5" customHeight="1" spans="1:4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100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100"/>
      <c r="AO516" s="2"/>
      <c r="AP516" s="2"/>
      <c r="AQ516" s="2"/>
      <c r="AR516" s="2"/>
    </row>
    <row r="517" ht="13.5" customHeight="1" spans="1:4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100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100"/>
      <c r="AO517" s="2"/>
      <c r="AP517" s="2"/>
      <c r="AQ517" s="2"/>
      <c r="AR517" s="2"/>
    </row>
    <row r="518" ht="13.5" customHeight="1" spans="1:4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100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100"/>
      <c r="AO518" s="2"/>
      <c r="AP518" s="2"/>
      <c r="AQ518" s="2"/>
      <c r="AR518" s="2"/>
    </row>
    <row r="519" ht="13.5" customHeight="1" spans="1:4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100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100"/>
      <c r="AO519" s="2"/>
      <c r="AP519" s="2"/>
      <c r="AQ519" s="2"/>
      <c r="AR519" s="2"/>
    </row>
    <row r="520" ht="13.5" customHeight="1" spans="1:4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100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100"/>
      <c r="AO520" s="2"/>
      <c r="AP520" s="2"/>
      <c r="AQ520" s="2"/>
      <c r="AR520" s="2"/>
    </row>
    <row r="521" ht="13.5" customHeight="1" spans="1:4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100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100"/>
      <c r="AO521" s="2"/>
      <c r="AP521" s="2"/>
      <c r="AQ521" s="2"/>
      <c r="AR521" s="2"/>
    </row>
    <row r="522" ht="13.5" customHeight="1" spans="1:4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100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100"/>
      <c r="AO522" s="2"/>
      <c r="AP522" s="2"/>
      <c r="AQ522" s="2"/>
      <c r="AR522" s="2"/>
    </row>
    <row r="523" ht="13.5" customHeight="1" spans="1:4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100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100"/>
      <c r="AO523" s="2"/>
      <c r="AP523" s="2"/>
      <c r="AQ523" s="2"/>
      <c r="AR523" s="2"/>
    </row>
    <row r="524" ht="13.5" customHeight="1" spans="1:4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100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100"/>
      <c r="AO524" s="2"/>
      <c r="AP524" s="2"/>
      <c r="AQ524" s="2"/>
      <c r="AR524" s="2"/>
    </row>
    <row r="525" ht="13.5" customHeight="1" spans="1:4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100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100"/>
      <c r="AO525" s="2"/>
      <c r="AP525" s="2"/>
      <c r="AQ525" s="2"/>
      <c r="AR525" s="2"/>
    </row>
    <row r="526" ht="13.5" customHeight="1" spans="1:4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100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100"/>
      <c r="AO526" s="2"/>
      <c r="AP526" s="2"/>
      <c r="AQ526" s="2"/>
      <c r="AR526" s="2"/>
    </row>
    <row r="527" ht="13.5" customHeight="1" spans="1:4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100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100"/>
      <c r="AO527" s="2"/>
      <c r="AP527" s="2"/>
      <c r="AQ527" s="2"/>
      <c r="AR527" s="2"/>
    </row>
    <row r="528" ht="13.5" customHeight="1" spans="1:4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100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100"/>
      <c r="AO528" s="2"/>
      <c r="AP528" s="2"/>
      <c r="AQ528" s="2"/>
      <c r="AR528" s="2"/>
    </row>
    <row r="529" ht="13.5" customHeight="1" spans="1:4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100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100"/>
      <c r="AO529" s="2"/>
      <c r="AP529" s="2"/>
      <c r="AQ529" s="2"/>
      <c r="AR529" s="2"/>
    </row>
    <row r="530" ht="13.5" customHeight="1" spans="1:4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100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100"/>
      <c r="AO530" s="2"/>
      <c r="AP530" s="2"/>
      <c r="AQ530" s="2"/>
      <c r="AR530" s="2"/>
    </row>
    <row r="531" ht="13.5" customHeight="1" spans="1:4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100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100"/>
      <c r="AO531" s="2"/>
      <c r="AP531" s="2"/>
      <c r="AQ531" s="2"/>
      <c r="AR531" s="2"/>
    </row>
    <row r="532" ht="13.5" customHeight="1" spans="1:4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100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100"/>
      <c r="AO532" s="2"/>
      <c r="AP532" s="2"/>
      <c r="AQ532" s="2"/>
      <c r="AR532" s="2"/>
    </row>
    <row r="533" ht="13.5" customHeight="1" spans="1:4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100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100"/>
      <c r="AO533" s="2"/>
      <c r="AP533" s="2"/>
      <c r="AQ533" s="2"/>
      <c r="AR533" s="2"/>
    </row>
    <row r="534" ht="13.5" customHeight="1" spans="1:4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100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100"/>
      <c r="AO534" s="2"/>
      <c r="AP534" s="2"/>
      <c r="AQ534" s="2"/>
      <c r="AR534" s="2"/>
    </row>
    <row r="535" ht="13.5" customHeight="1" spans="1:4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100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100"/>
      <c r="AO535" s="2"/>
      <c r="AP535" s="2"/>
      <c r="AQ535" s="2"/>
      <c r="AR535" s="2"/>
    </row>
    <row r="536" ht="13.5" customHeight="1" spans="1:4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100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100"/>
      <c r="AO536" s="2"/>
      <c r="AP536" s="2"/>
      <c r="AQ536" s="2"/>
      <c r="AR536" s="2"/>
    </row>
    <row r="537" ht="13.5" customHeight="1" spans="1:4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100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100"/>
      <c r="AO537" s="2"/>
      <c r="AP537" s="2"/>
      <c r="AQ537" s="2"/>
      <c r="AR537" s="2"/>
    </row>
    <row r="538" ht="13.5" customHeight="1" spans="1:4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100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100"/>
      <c r="AO538" s="2"/>
      <c r="AP538" s="2"/>
      <c r="AQ538" s="2"/>
      <c r="AR538" s="2"/>
    </row>
    <row r="539" ht="13.5" customHeight="1" spans="1:4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100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100"/>
      <c r="AO539" s="2"/>
      <c r="AP539" s="2"/>
      <c r="AQ539" s="2"/>
      <c r="AR539" s="2"/>
    </row>
    <row r="540" ht="13.5" customHeight="1" spans="1:4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100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100"/>
      <c r="AO540" s="2"/>
      <c r="AP540" s="2"/>
      <c r="AQ540" s="2"/>
      <c r="AR540" s="2"/>
    </row>
    <row r="541" ht="13.5" customHeight="1" spans="1:4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100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100"/>
      <c r="AO541" s="2"/>
      <c r="AP541" s="2"/>
      <c r="AQ541" s="2"/>
      <c r="AR541" s="2"/>
    </row>
    <row r="542" ht="13.5" customHeight="1" spans="1:4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100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100"/>
      <c r="AO542" s="2"/>
      <c r="AP542" s="2"/>
      <c r="AQ542" s="2"/>
      <c r="AR542" s="2"/>
    </row>
    <row r="543" ht="13.5" customHeight="1" spans="1:4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100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100"/>
      <c r="AO543" s="2"/>
      <c r="AP543" s="2"/>
      <c r="AQ543" s="2"/>
      <c r="AR543" s="2"/>
    </row>
    <row r="544" ht="13.5" customHeight="1" spans="1:4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100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100"/>
      <c r="AO544" s="2"/>
      <c r="AP544" s="2"/>
      <c r="AQ544" s="2"/>
      <c r="AR544" s="2"/>
    </row>
    <row r="545" ht="13.5" customHeight="1" spans="1:4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100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100"/>
      <c r="AO545" s="2"/>
      <c r="AP545" s="2"/>
      <c r="AQ545" s="2"/>
      <c r="AR545" s="2"/>
    </row>
    <row r="546" ht="13.5" customHeight="1" spans="1:4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100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100"/>
      <c r="AO546" s="2"/>
      <c r="AP546" s="2"/>
      <c r="AQ546" s="2"/>
      <c r="AR546" s="2"/>
    </row>
    <row r="547" ht="13.5" customHeight="1" spans="1:4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100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100"/>
      <c r="AO547" s="2"/>
      <c r="AP547" s="2"/>
      <c r="AQ547" s="2"/>
      <c r="AR547" s="2"/>
    </row>
    <row r="548" ht="13.5" customHeight="1" spans="1:4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100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100"/>
      <c r="AO548" s="2"/>
      <c r="AP548" s="2"/>
      <c r="AQ548" s="2"/>
      <c r="AR548" s="2"/>
    </row>
    <row r="549" ht="13.5" customHeight="1" spans="1:4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100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100"/>
      <c r="AO549" s="2"/>
      <c r="AP549" s="2"/>
      <c r="AQ549" s="2"/>
      <c r="AR549" s="2"/>
    </row>
    <row r="550" ht="13.5" customHeight="1" spans="1:4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100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100"/>
      <c r="AO550" s="2"/>
      <c r="AP550" s="2"/>
      <c r="AQ550" s="2"/>
      <c r="AR550" s="2"/>
    </row>
    <row r="551" ht="13.5" customHeight="1" spans="1:4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100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100"/>
      <c r="AO551" s="2"/>
      <c r="AP551" s="2"/>
      <c r="AQ551" s="2"/>
      <c r="AR551" s="2"/>
    </row>
    <row r="552" ht="13.5" customHeight="1" spans="1:4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100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100"/>
      <c r="AO552" s="2"/>
      <c r="AP552" s="2"/>
      <c r="AQ552" s="2"/>
      <c r="AR552" s="2"/>
    </row>
    <row r="553" ht="13.5" customHeight="1" spans="1:4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100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100"/>
      <c r="AO553" s="2"/>
      <c r="AP553" s="2"/>
      <c r="AQ553" s="2"/>
      <c r="AR553" s="2"/>
    </row>
    <row r="554" ht="13.5" customHeight="1" spans="1:4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100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100"/>
      <c r="AO554" s="2"/>
      <c r="AP554" s="2"/>
      <c r="AQ554" s="2"/>
      <c r="AR554" s="2"/>
    </row>
    <row r="555" ht="13.5" customHeight="1" spans="1:4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100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100"/>
      <c r="AO555" s="2"/>
      <c r="AP555" s="2"/>
      <c r="AQ555" s="2"/>
      <c r="AR555" s="2"/>
    </row>
    <row r="556" ht="13.5" customHeight="1" spans="1:4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100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100"/>
      <c r="AO556" s="2"/>
      <c r="AP556" s="2"/>
      <c r="AQ556" s="2"/>
      <c r="AR556" s="2"/>
    </row>
    <row r="557" ht="13.5" customHeight="1" spans="1:4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100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100"/>
      <c r="AO557" s="2"/>
      <c r="AP557" s="2"/>
      <c r="AQ557" s="2"/>
      <c r="AR557" s="2"/>
    </row>
    <row r="558" ht="13.5" customHeight="1" spans="1:4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100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100"/>
      <c r="AO558" s="2"/>
      <c r="AP558" s="2"/>
      <c r="AQ558" s="2"/>
      <c r="AR558" s="2"/>
    </row>
    <row r="559" ht="13.5" customHeight="1" spans="1:4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100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100"/>
      <c r="AO559" s="2"/>
      <c r="AP559" s="2"/>
      <c r="AQ559" s="2"/>
      <c r="AR559" s="2"/>
    </row>
    <row r="560" ht="13.5" customHeight="1" spans="1:4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100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100"/>
      <c r="AO560" s="2"/>
      <c r="AP560" s="2"/>
      <c r="AQ560" s="2"/>
      <c r="AR560" s="2"/>
    </row>
    <row r="561" ht="13.5" customHeight="1" spans="1:4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100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100"/>
      <c r="AO561" s="2"/>
      <c r="AP561" s="2"/>
      <c r="AQ561" s="2"/>
      <c r="AR561" s="2"/>
    </row>
    <row r="562" ht="13.5" customHeight="1" spans="1:4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100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100"/>
      <c r="AO562" s="2"/>
      <c r="AP562" s="2"/>
      <c r="AQ562" s="2"/>
      <c r="AR562" s="2"/>
    </row>
    <row r="563" ht="13.5" customHeight="1" spans="1:4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100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100"/>
      <c r="AO563" s="2"/>
      <c r="AP563" s="2"/>
      <c r="AQ563" s="2"/>
      <c r="AR563" s="2"/>
    </row>
    <row r="564" ht="13.5" customHeight="1" spans="1:4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100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100"/>
      <c r="AO564" s="2"/>
      <c r="AP564" s="2"/>
      <c r="AQ564" s="2"/>
      <c r="AR564" s="2"/>
    </row>
    <row r="565" ht="13.5" customHeight="1" spans="1:4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100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100"/>
      <c r="AO565" s="2"/>
      <c r="AP565" s="2"/>
      <c r="AQ565" s="2"/>
      <c r="AR565" s="2"/>
    </row>
    <row r="566" ht="13.5" customHeight="1" spans="1:4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100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100"/>
      <c r="AO566" s="2"/>
      <c r="AP566" s="2"/>
      <c r="AQ566" s="2"/>
      <c r="AR566" s="2"/>
    </row>
    <row r="567" ht="13.5" customHeight="1" spans="1:4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100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100"/>
      <c r="AO567" s="2"/>
      <c r="AP567" s="2"/>
      <c r="AQ567" s="2"/>
      <c r="AR567" s="2"/>
    </row>
    <row r="568" ht="13.5" customHeight="1" spans="1:4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100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100"/>
      <c r="AO568" s="2"/>
      <c r="AP568" s="2"/>
      <c r="AQ568" s="2"/>
      <c r="AR568" s="2"/>
    </row>
    <row r="569" ht="13.5" customHeight="1" spans="1:4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100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100"/>
      <c r="AO569" s="2"/>
      <c r="AP569" s="2"/>
      <c r="AQ569" s="2"/>
      <c r="AR569" s="2"/>
    </row>
    <row r="570" ht="13.5" customHeight="1" spans="1:4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100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100"/>
      <c r="AO570" s="2"/>
      <c r="AP570" s="2"/>
      <c r="AQ570" s="2"/>
      <c r="AR570" s="2"/>
    </row>
    <row r="571" ht="13.5" customHeight="1" spans="1:4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100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100"/>
      <c r="AO571" s="2"/>
      <c r="AP571" s="2"/>
      <c r="AQ571" s="2"/>
      <c r="AR571" s="2"/>
    </row>
    <row r="572" ht="13.5" customHeight="1" spans="1:4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100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100"/>
      <c r="AO572" s="2"/>
      <c r="AP572" s="2"/>
      <c r="AQ572" s="2"/>
      <c r="AR572" s="2"/>
    </row>
    <row r="573" ht="13.5" customHeight="1" spans="1:4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100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100"/>
      <c r="AO573" s="2"/>
      <c r="AP573" s="2"/>
      <c r="AQ573" s="2"/>
      <c r="AR573" s="2"/>
    </row>
    <row r="574" ht="13.5" customHeight="1" spans="1:4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100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100"/>
      <c r="AO574" s="2"/>
      <c r="AP574" s="2"/>
      <c r="AQ574" s="2"/>
      <c r="AR574" s="2"/>
    </row>
    <row r="575" ht="13.5" customHeight="1" spans="1:4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100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100"/>
      <c r="AO575" s="2"/>
      <c r="AP575" s="2"/>
      <c r="AQ575" s="2"/>
      <c r="AR575" s="2"/>
    </row>
    <row r="576" ht="13.5" customHeight="1" spans="1:4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100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100"/>
      <c r="AO576" s="2"/>
      <c r="AP576" s="2"/>
      <c r="AQ576" s="2"/>
      <c r="AR576" s="2"/>
    </row>
    <row r="577" ht="13.5" customHeight="1" spans="1:4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100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100"/>
      <c r="AO577" s="2"/>
      <c r="AP577" s="2"/>
      <c r="AQ577" s="2"/>
      <c r="AR577" s="2"/>
    </row>
    <row r="578" ht="13.5" customHeight="1" spans="1:4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100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100"/>
      <c r="AO578" s="2"/>
      <c r="AP578" s="2"/>
      <c r="AQ578" s="2"/>
      <c r="AR578" s="2"/>
    </row>
    <row r="579" ht="13.5" customHeight="1" spans="1:4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100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100"/>
      <c r="AO579" s="2"/>
      <c r="AP579" s="2"/>
      <c r="AQ579" s="2"/>
      <c r="AR579" s="2"/>
    </row>
    <row r="580" ht="13.5" customHeight="1" spans="1:4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100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100"/>
      <c r="AO580" s="2"/>
      <c r="AP580" s="2"/>
      <c r="AQ580" s="2"/>
      <c r="AR580" s="2"/>
    </row>
    <row r="581" ht="13.5" customHeight="1" spans="1:4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100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100"/>
      <c r="AO581" s="2"/>
      <c r="AP581" s="2"/>
      <c r="AQ581" s="2"/>
      <c r="AR581" s="2"/>
    </row>
    <row r="582" ht="13.5" customHeight="1" spans="1:4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100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100"/>
      <c r="AO582" s="2"/>
      <c r="AP582" s="2"/>
      <c r="AQ582" s="2"/>
      <c r="AR582" s="2"/>
    </row>
    <row r="583" ht="13.5" customHeight="1" spans="1:4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100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100"/>
      <c r="AO583" s="2"/>
      <c r="AP583" s="2"/>
      <c r="AQ583" s="2"/>
      <c r="AR583" s="2"/>
    </row>
    <row r="584" ht="13.5" customHeight="1" spans="1:4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100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100"/>
      <c r="AO584" s="2"/>
      <c r="AP584" s="2"/>
      <c r="AQ584" s="2"/>
      <c r="AR584" s="2"/>
    </row>
    <row r="585" ht="13.5" customHeight="1" spans="1:4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100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100"/>
      <c r="AO585" s="2"/>
      <c r="AP585" s="2"/>
      <c r="AQ585" s="2"/>
      <c r="AR585" s="2"/>
    </row>
    <row r="586" ht="13.5" customHeight="1" spans="1:4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100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100"/>
      <c r="AO586" s="2"/>
      <c r="AP586" s="2"/>
      <c r="AQ586" s="2"/>
      <c r="AR586" s="2"/>
    </row>
    <row r="587" ht="13.5" customHeight="1" spans="1:4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100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100"/>
      <c r="AO587" s="2"/>
      <c r="AP587" s="2"/>
      <c r="AQ587" s="2"/>
      <c r="AR587" s="2"/>
    </row>
    <row r="588" ht="13.5" customHeight="1" spans="1:4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100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100"/>
      <c r="AO588" s="2"/>
      <c r="AP588" s="2"/>
      <c r="AQ588" s="2"/>
      <c r="AR588" s="2"/>
    </row>
    <row r="589" ht="13.5" customHeight="1" spans="1:4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100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100"/>
      <c r="AO589" s="2"/>
      <c r="AP589" s="2"/>
      <c r="AQ589" s="2"/>
      <c r="AR589" s="2"/>
    </row>
    <row r="590" ht="13.5" customHeight="1" spans="1:4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100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100"/>
      <c r="AO590" s="2"/>
      <c r="AP590" s="2"/>
      <c r="AQ590" s="2"/>
      <c r="AR590" s="2"/>
    </row>
    <row r="591" ht="13.5" customHeight="1" spans="1:4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100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100"/>
      <c r="AO591" s="2"/>
      <c r="AP591" s="2"/>
      <c r="AQ591" s="2"/>
      <c r="AR591" s="2"/>
    </row>
    <row r="592" ht="13.5" customHeight="1" spans="1:4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100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100"/>
      <c r="AO592" s="2"/>
      <c r="AP592" s="2"/>
      <c r="AQ592" s="2"/>
      <c r="AR592" s="2"/>
    </row>
    <row r="593" ht="13.5" customHeight="1" spans="1:4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100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100"/>
      <c r="AO593" s="2"/>
      <c r="AP593" s="2"/>
      <c r="AQ593" s="2"/>
      <c r="AR593" s="2"/>
    </row>
    <row r="594" ht="13.5" customHeight="1" spans="1:4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100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100"/>
      <c r="AO594" s="2"/>
      <c r="AP594" s="2"/>
      <c r="AQ594" s="2"/>
      <c r="AR594" s="2"/>
    </row>
    <row r="595" ht="13.5" customHeight="1" spans="1:4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100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100"/>
      <c r="AO595" s="2"/>
      <c r="AP595" s="2"/>
      <c r="AQ595" s="2"/>
      <c r="AR595" s="2"/>
    </row>
    <row r="596" ht="13.5" customHeight="1" spans="1:4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100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100"/>
      <c r="AO596" s="2"/>
      <c r="AP596" s="2"/>
      <c r="AQ596" s="2"/>
      <c r="AR596" s="2"/>
    </row>
    <row r="597" ht="13.5" customHeight="1" spans="1:4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100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100"/>
      <c r="AO597" s="2"/>
      <c r="AP597" s="2"/>
      <c r="AQ597" s="2"/>
      <c r="AR597" s="2"/>
    </row>
    <row r="598" ht="13.5" customHeight="1" spans="1:4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100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100"/>
      <c r="AO598" s="2"/>
      <c r="AP598" s="2"/>
      <c r="AQ598" s="2"/>
      <c r="AR598" s="2"/>
    </row>
    <row r="599" ht="13.5" customHeight="1" spans="1:4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100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100"/>
      <c r="AO599" s="2"/>
      <c r="AP599" s="2"/>
      <c r="AQ599" s="2"/>
      <c r="AR599" s="2"/>
    </row>
    <row r="600" ht="13.5" customHeight="1" spans="1:4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100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100"/>
      <c r="AO600" s="2"/>
      <c r="AP600" s="2"/>
      <c r="AQ600" s="2"/>
      <c r="AR600" s="2"/>
    </row>
    <row r="601" ht="13.5" customHeight="1" spans="1:4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100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100"/>
      <c r="AO601" s="2"/>
      <c r="AP601" s="2"/>
      <c r="AQ601" s="2"/>
      <c r="AR601" s="2"/>
    </row>
    <row r="602" ht="13.5" customHeight="1" spans="1:4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100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100"/>
      <c r="AO602" s="2"/>
      <c r="AP602" s="2"/>
      <c r="AQ602" s="2"/>
      <c r="AR602" s="2"/>
    </row>
    <row r="603" ht="13.5" customHeight="1" spans="1:4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100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100"/>
      <c r="AO603" s="2"/>
      <c r="AP603" s="2"/>
      <c r="AQ603" s="2"/>
      <c r="AR603" s="2"/>
    </row>
    <row r="604" ht="13.5" customHeight="1" spans="1:4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100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100"/>
      <c r="AO604" s="2"/>
      <c r="AP604" s="2"/>
      <c r="AQ604" s="2"/>
      <c r="AR604" s="2"/>
    </row>
    <row r="605" ht="13.5" customHeight="1" spans="1:4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100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100"/>
      <c r="AO605" s="2"/>
      <c r="AP605" s="2"/>
      <c r="AQ605" s="2"/>
      <c r="AR605" s="2"/>
    </row>
    <row r="606" ht="13.5" customHeight="1" spans="1:4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100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100"/>
      <c r="AO606" s="2"/>
      <c r="AP606" s="2"/>
      <c r="AQ606" s="2"/>
      <c r="AR606" s="2"/>
    </row>
    <row r="607" ht="13.5" customHeight="1" spans="1:4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100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100"/>
      <c r="AO607" s="2"/>
      <c r="AP607" s="2"/>
      <c r="AQ607" s="2"/>
      <c r="AR607" s="2"/>
    </row>
    <row r="608" ht="13.5" customHeight="1" spans="1:4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100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100"/>
      <c r="AO608" s="2"/>
      <c r="AP608" s="2"/>
      <c r="AQ608" s="2"/>
      <c r="AR608" s="2"/>
    </row>
    <row r="609" ht="13.5" customHeight="1" spans="1:4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100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100"/>
      <c r="AO609" s="2"/>
      <c r="AP609" s="2"/>
      <c r="AQ609" s="2"/>
      <c r="AR609" s="2"/>
    </row>
    <row r="610" ht="13.5" customHeight="1" spans="1:4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100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100"/>
      <c r="AO610" s="2"/>
      <c r="AP610" s="2"/>
      <c r="AQ610" s="2"/>
      <c r="AR610" s="2"/>
    </row>
    <row r="611" ht="13.5" customHeight="1" spans="1:4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100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100"/>
      <c r="AO611" s="2"/>
      <c r="AP611" s="2"/>
      <c r="AQ611" s="2"/>
      <c r="AR611" s="2"/>
    </row>
    <row r="612" ht="13.5" customHeight="1" spans="1:4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100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100"/>
      <c r="AO612" s="2"/>
      <c r="AP612" s="2"/>
      <c r="AQ612" s="2"/>
      <c r="AR612" s="2"/>
    </row>
    <row r="613" ht="13.5" customHeight="1" spans="1:4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100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100"/>
      <c r="AO613" s="2"/>
      <c r="AP613" s="2"/>
      <c r="AQ613" s="2"/>
      <c r="AR613" s="2"/>
    </row>
    <row r="614" ht="13.5" customHeight="1" spans="1:4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100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100"/>
      <c r="AO614" s="2"/>
      <c r="AP614" s="2"/>
      <c r="AQ614" s="2"/>
      <c r="AR614" s="2"/>
    </row>
    <row r="615" ht="13.5" customHeight="1" spans="1:4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100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100"/>
      <c r="AO615" s="2"/>
      <c r="AP615" s="2"/>
      <c r="AQ615" s="2"/>
      <c r="AR615" s="2"/>
    </row>
    <row r="616" ht="13.5" customHeight="1" spans="1:4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100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100"/>
      <c r="AO616" s="2"/>
      <c r="AP616" s="2"/>
      <c r="AQ616" s="2"/>
      <c r="AR616" s="2"/>
    </row>
    <row r="617" ht="13.5" customHeight="1" spans="1:4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100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100"/>
      <c r="AO617" s="2"/>
      <c r="AP617" s="2"/>
      <c r="AQ617" s="2"/>
      <c r="AR617" s="2"/>
    </row>
    <row r="618" ht="13.5" customHeight="1" spans="1:4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100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100"/>
      <c r="AO618" s="2"/>
      <c r="AP618" s="2"/>
      <c r="AQ618" s="2"/>
      <c r="AR618" s="2"/>
    </row>
    <row r="619" ht="13.5" customHeight="1" spans="1:4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100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100"/>
      <c r="AO619" s="2"/>
      <c r="AP619" s="2"/>
      <c r="AQ619" s="2"/>
      <c r="AR619" s="2"/>
    </row>
    <row r="620" ht="13.5" customHeight="1" spans="1:4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100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100"/>
      <c r="AO620" s="2"/>
      <c r="AP620" s="2"/>
      <c r="AQ620" s="2"/>
      <c r="AR620" s="2"/>
    </row>
    <row r="621" ht="13.5" customHeight="1" spans="1:4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100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100"/>
      <c r="AO621" s="2"/>
      <c r="AP621" s="2"/>
      <c r="AQ621" s="2"/>
      <c r="AR621" s="2"/>
    </row>
    <row r="622" ht="13.5" customHeight="1" spans="1:4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100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100"/>
      <c r="AO622" s="2"/>
      <c r="AP622" s="2"/>
      <c r="AQ622" s="2"/>
      <c r="AR622" s="2"/>
    </row>
    <row r="623" ht="13.5" customHeight="1" spans="1:4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100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100"/>
      <c r="AO623" s="2"/>
      <c r="AP623" s="2"/>
      <c r="AQ623" s="2"/>
      <c r="AR623" s="2"/>
    </row>
    <row r="624" ht="13.5" customHeight="1" spans="1:4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100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100"/>
      <c r="AO624" s="2"/>
      <c r="AP624" s="2"/>
      <c r="AQ624" s="2"/>
      <c r="AR624" s="2"/>
    </row>
    <row r="625" ht="13.5" customHeight="1" spans="1:4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100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100"/>
      <c r="AO625" s="2"/>
      <c r="AP625" s="2"/>
      <c r="AQ625" s="2"/>
      <c r="AR625" s="2"/>
    </row>
    <row r="626" ht="13.5" customHeight="1" spans="1:4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100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100"/>
      <c r="AO626" s="2"/>
      <c r="AP626" s="2"/>
      <c r="AQ626" s="2"/>
      <c r="AR626" s="2"/>
    </row>
    <row r="627" ht="13.5" customHeight="1" spans="1:4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100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100"/>
      <c r="AO627" s="2"/>
      <c r="AP627" s="2"/>
      <c r="AQ627" s="2"/>
      <c r="AR627" s="2"/>
    </row>
    <row r="628" ht="13.5" customHeight="1" spans="1:4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100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100"/>
      <c r="AO628" s="2"/>
      <c r="AP628" s="2"/>
      <c r="AQ628" s="2"/>
      <c r="AR628" s="2"/>
    </row>
    <row r="629" ht="13.5" customHeight="1" spans="1:4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100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100"/>
      <c r="AO629" s="2"/>
      <c r="AP629" s="2"/>
      <c r="AQ629" s="2"/>
      <c r="AR629" s="2"/>
    </row>
    <row r="630" ht="13.5" customHeight="1" spans="1:4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100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100"/>
      <c r="AO630" s="2"/>
      <c r="AP630" s="2"/>
      <c r="AQ630" s="2"/>
      <c r="AR630" s="2"/>
    </row>
    <row r="631" ht="13.5" customHeight="1" spans="1:4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100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100"/>
      <c r="AO631" s="2"/>
      <c r="AP631" s="2"/>
      <c r="AQ631" s="2"/>
      <c r="AR631" s="2"/>
    </row>
    <row r="632" ht="13.5" customHeight="1" spans="1:4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100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100"/>
      <c r="AO632" s="2"/>
      <c r="AP632" s="2"/>
      <c r="AQ632" s="2"/>
      <c r="AR632" s="2"/>
    </row>
    <row r="633" ht="13.5" customHeight="1" spans="1:4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100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100"/>
      <c r="AO633" s="2"/>
      <c r="AP633" s="2"/>
      <c r="AQ633" s="2"/>
      <c r="AR633" s="2"/>
    </row>
    <row r="634" ht="13.5" customHeight="1" spans="1:4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100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100"/>
      <c r="AO634" s="2"/>
      <c r="AP634" s="2"/>
      <c r="AQ634" s="2"/>
      <c r="AR634" s="2"/>
    </row>
    <row r="635" ht="13.5" customHeight="1" spans="1:4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100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100"/>
      <c r="AO635" s="2"/>
      <c r="AP635" s="2"/>
      <c r="AQ635" s="2"/>
      <c r="AR635" s="2"/>
    </row>
    <row r="636" ht="13.5" customHeight="1" spans="1:4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100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100"/>
      <c r="AO636" s="2"/>
      <c r="AP636" s="2"/>
      <c r="AQ636" s="2"/>
      <c r="AR636" s="2"/>
    </row>
    <row r="637" ht="13.5" customHeight="1" spans="1:4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100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100"/>
      <c r="AO637" s="2"/>
      <c r="AP637" s="2"/>
      <c r="AQ637" s="2"/>
      <c r="AR637" s="2"/>
    </row>
    <row r="638" ht="13.5" customHeight="1" spans="1:4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100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100"/>
      <c r="AO638" s="2"/>
      <c r="AP638" s="2"/>
      <c r="AQ638" s="2"/>
      <c r="AR638" s="2"/>
    </row>
    <row r="639" ht="13.5" customHeight="1" spans="1:4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100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100"/>
      <c r="AO639" s="2"/>
      <c r="AP639" s="2"/>
      <c r="AQ639" s="2"/>
      <c r="AR639" s="2"/>
    </row>
    <row r="640" ht="13.5" customHeight="1" spans="1:4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100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100"/>
      <c r="AO640" s="2"/>
      <c r="AP640" s="2"/>
      <c r="AQ640" s="2"/>
      <c r="AR640" s="2"/>
    </row>
    <row r="641" ht="13.5" customHeight="1" spans="1:4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100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100"/>
      <c r="AO641" s="2"/>
      <c r="AP641" s="2"/>
      <c r="AQ641" s="2"/>
      <c r="AR641" s="2"/>
    </row>
    <row r="642" ht="13.5" customHeight="1" spans="1:4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100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100"/>
      <c r="AO642" s="2"/>
      <c r="AP642" s="2"/>
      <c r="AQ642" s="2"/>
      <c r="AR642" s="2"/>
    </row>
    <row r="643" ht="13.5" customHeight="1" spans="1:4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100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100"/>
      <c r="AO643" s="2"/>
      <c r="AP643" s="2"/>
      <c r="AQ643" s="2"/>
      <c r="AR643" s="2"/>
    </row>
    <row r="644" ht="13.5" customHeight="1" spans="1:4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100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100"/>
      <c r="AO644" s="2"/>
      <c r="AP644" s="2"/>
      <c r="AQ644" s="2"/>
      <c r="AR644" s="2"/>
    </row>
    <row r="645" ht="13.5" customHeight="1" spans="1:4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100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100"/>
      <c r="AO645" s="2"/>
      <c r="AP645" s="2"/>
      <c r="AQ645" s="2"/>
      <c r="AR645" s="2"/>
    </row>
    <row r="646" ht="13.5" customHeight="1" spans="1:4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100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100"/>
      <c r="AO646" s="2"/>
      <c r="AP646" s="2"/>
      <c r="AQ646" s="2"/>
      <c r="AR646" s="2"/>
    </row>
    <row r="647" ht="13.5" customHeight="1" spans="1:4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100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100"/>
      <c r="AO647" s="2"/>
      <c r="AP647" s="2"/>
      <c r="AQ647" s="2"/>
      <c r="AR647" s="2"/>
    </row>
    <row r="648" ht="13.5" customHeight="1" spans="1:4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100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100"/>
      <c r="AO648" s="2"/>
      <c r="AP648" s="2"/>
      <c r="AQ648" s="2"/>
      <c r="AR648" s="2"/>
    </row>
    <row r="649" ht="13.5" customHeight="1" spans="1:4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100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100"/>
      <c r="AO649" s="2"/>
      <c r="AP649" s="2"/>
      <c r="AQ649" s="2"/>
      <c r="AR649" s="2"/>
    </row>
    <row r="650" ht="13.5" customHeight="1" spans="1:4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100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100"/>
      <c r="AO650" s="2"/>
      <c r="AP650" s="2"/>
      <c r="AQ650" s="2"/>
      <c r="AR650" s="2"/>
    </row>
    <row r="651" ht="13.5" customHeight="1" spans="1:4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100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100"/>
      <c r="AO651" s="2"/>
      <c r="AP651" s="2"/>
      <c r="AQ651" s="2"/>
      <c r="AR651" s="2"/>
    </row>
    <row r="652" ht="13.5" customHeight="1" spans="1:4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100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100"/>
      <c r="AO652" s="2"/>
      <c r="AP652" s="2"/>
      <c r="AQ652" s="2"/>
      <c r="AR652" s="2"/>
    </row>
    <row r="653" ht="13.5" customHeight="1" spans="1:4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100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100"/>
      <c r="AO653" s="2"/>
      <c r="AP653" s="2"/>
      <c r="AQ653" s="2"/>
      <c r="AR653" s="2"/>
    </row>
    <row r="654" ht="13.5" customHeight="1" spans="1:4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100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100"/>
      <c r="AO654" s="2"/>
      <c r="AP654" s="2"/>
      <c r="AQ654" s="2"/>
      <c r="AR654" s="2"/>
    </row>
    <row r="655" ht="13.5" customHeight="1" spans="1:4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100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100"/>
      <c r="AO655" s="2"/>
      <c r="AP655" s="2"/>
      <c r="AQ655" s="2"/>
      <c r="AR655" s="2"/>
    </row>
    <row r="656" ht="13.5" customHeight="1" spans="1:4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100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100"/>
      <c r="AO656" s="2"/>
      <c r="AP656" s="2"/>
      <c r="AQ656" s="2"/>
      <c r="AR656" s="2"/>
    </row>
    <row r="657" ht="13.5" customHeight="1" spans="1:4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100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100"/>
      <c r="AO657" s="2"/>
      <c r="AP657" s="2"/>
      <c r="AQ657" s="2"/>
      <c r="AR657" s="2"/>
    </row>
    <row r="658" ht="13.5" customHeight="1" spans="1:4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100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100"/>
      <c r="AO658" s="2"/>
      <c r="AP658" s="2"/>
      <c r="AQ658" s="2"/>
      <c r="AR658" s="2"/>
    </row>
    <row r="659" ht="13.5" customHeight="1" spans="1:4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100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100"/>
      <c r="AO659" s="2"/>
      <c r="AP659" s="2"/>
      <c r="AQ659" s="2"/>
      <c r="AR659" s="2"/>
    </row>
    <row r="660" ht="13.5" customHeight="1" spans="1:4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100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100"/>
      <c r="AO660" s="2"/>
      <c r="AP660" s="2"/>
      <c r="AQ660" s="2"/>
      <c r="AR660" s="2"/>
    </row>
    <row r="661" ht="13.5" customHeight="1" spans="1:4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100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100"/>
      <c r="AO661" s="2"/>
      <c r="AP661" s="2"/>
      <c r="AQ661" s="2"/>
      <c r="AR661" s="2"/>
    </row>
    <row r="662" ht="13.5" customHeight="1" spans="1:4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100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100"/>
      <c r="AO662" s="2"/>
      <c r="AP662" s="2"/>
      <c r="AQ662" s="2"/>
      <c r="AR662" s="2"/>
    </row>
    <row r="663" ht="13.5" customHeight="1" spans="1:4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100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100"/>
      <c r="AO663" s="2"/>
      <c r="AP663" s="2"/>
      <c r="AQ663" s="2"/>
      <c r="AR663" s="2"/>
    </row>
    <row r="664" ht="13.5" customHeight="1" spans="1:4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100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100"/>
      <c r="AO664" s="2"/>
      <c r="AP664" s="2"/>
      <c r="AQ664" s="2"/>
      <c r="AR664" s="2"/>
    </row>
    <row r="665" ht="13.5" customHeight="1" spans="1:4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100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100"/>
      <c r="AO665" s="2"/>
      <c r="AP665" s="2"/>
      <c r="AQ665" s="2"/>
      <c r="AR665" s="2"/>
    </row>
    <row r="666" ht="13.5" customHeight="1" spans="1:4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100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100"/>
      <c r="AO666" s="2"/>
      <c r="AP666" s="2"/>
      <c r="AQ666" s="2"/>
      <c r="AR666" s="2"/>
    </row>
    <row r="667" ht="13.5" customHeight="1" spans="1:4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100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100"/>
      <c r="AO667" s="2"/>
      <c r="AP667" s="2"/>
      <c r="AQ667" s="2"/>
      <c r="AR667" s="2"/>
    </row>
    <row r="668" ht="13.5" customHeight="1" spans="1:4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100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100"/>
      <c r="AO668" s="2"/>
      <c r="AP668" s="2"/>
      <c r="AQ668" s="2"/>
      <c r="AR668" s="2"/>
    </row>
    <row r="669" ht="13.5" customHeight="1" spans="1:4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100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100"/>
      <c r="AO669" s="2"/>
      <c r="AP669" s="2"/>
      <c r="AQ669" s="2"/>
      <c r="AR669" s="2"/>
    </row>
    <row r="670" ht="13.5" customHeight="1" spans="1:4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100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100"/>
      <c r="AO670" s="2"/>
      <c r="AP670" s="2"/>
      <c r="AQ670" s="2"/>
      <c r="AR670" s="2"/>
    </row>
    <row r="671" ht="13.5" customHeight="1" spans="1:4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100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100"/>
      <c r="AO671" s="2"/>
      <c r="AP671" s="2"/>
      <c r="AQ671" s="2"/>
      <c r="AR671" s="2"/>
    </row>
    <row r="672" ht="13.5" customHeight="1" spans="1:4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100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100"/>
      <c r="AO672" s="2"/>
      <c r="AP672" s="2"/>
      <c r="AQ672" s="2"/>
      <c r="AR672" s="2"/>
    </row>
    <row r="673" ht="13.5" customHeight="1" spans="1:4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100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100"/>
      <c r="AO673" s="2"/>
      <c r="AP673" s="2"/>
      <c r="AQ673" s="2"/>
      <c r="AR673" s="2"/>
    </row>
    <row r="674" ht="13.5" customHeight="1" spans="1:4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100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100"/>
      <c r="AO674" s="2"/>
      <c r="AP674" s="2"/>
      <c r="AQ674" s="2"/>
      <c r="AR674" s="2"/>
    </row>
    <row r="675" ht="13.5" customHeight="1" spans="1:4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100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100"/>
      <c r="AO675" s="2"/>
      <c r="AP675" s="2"/>
      <c r="AQ675" s="2"/>
      <c r="AR675" s="2"/>
    </row>
    <row r="676" ht="13.5" customHeight="1" spans="1:4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100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100"/>
      <c r="AO676" s="2"/>
      <c r="AP676" s="2"/>
      <c r="AQ676" s="2"/>
      <c r="AR676" s="2"/>
    </row>
    <row r="677" ht="13.5" customHeight="1" spans="1:4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100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100"/>
      <c r="AO677" s="2"/>
      <c r="AP677" s="2"/>
      <c r="AQ677" s="2"/>
      <c r="AR677" s="2"/>
    </row>
    <row r="678" ht="13.5" customHeight="1" spans="1:4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100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100"/>
      <c r="AO678" s="2"/>
      <c r="AP678" s="2"/>
      <c r="AQ678" s="2"/>
      <c r="AR678" s="2"/>
    </row>
    <row r="679" ht="13.5" customHeight="1" spans="1:4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100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100"/>
      <c r="AO679" s="2"/>
      <c r="AP679" s="2"/>
      <c r="AQ679" s="2"/>
      <c r="AR679" s="2"/>
    </row>
    <row r="680" ht="13.5" customHeight="1" spans="1:4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100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100"/>
      <c r="AO680" s="2"/>
      <c r="AP680" s="2"/>
      <c r="AQ680" s="2"/>
      <c r="AR680" s="2"/>
    </row>
    <row r="681" ht="13.5" customHeight="1" spans="1:4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100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100"/>
      <c r="AO681" s="2"/>
      <c r="AP681" s="2"/>
      <c r="AQ681" s="2"/>
      <c r="AR681" s="2"/>
    </row>
    <row r="682" ht="13.5" customHeight="1" spans="1:4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100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100"/>
      <c r="AO682" s="2"/>
      <c r="AP682" s="2"/>
      <c r="AQ682" s="2"/>
      <c r="AR682" s="2"/>
    </row>
    <row r="683" ht="13.5" customHeight="1" spans="1:4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100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100"/>
      <c r="AO683" s="2"/>
      <c r="AP683" s="2"/>
      <c r="AQ683" s="2"/>
      <c r="AR683" s="2"/>
    </row>
    <row r="684" ht="13.5" customHeight="1" spans="1:4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100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100"/>
      <c r="AO684" s="2"/>
      <c r="AP684" s="2"/>
      <c r="AQ684" s="2"/>
      <c r="AR684" s="2"/>
    </row>
    <row r="685" ht="13.5" customHeight="1" spans="1:4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100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100"/>
      <c r="AO685" s="2"/>
      <c r="AP685" s="2"/>
      <c r="AQ685" s="2"/>
      <c r="AR685" s="2"/>
    </row>
    <row r="686" ht="13.5" customHeight="1" spans="1:4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100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100"/>
      <c r="AO686" s="2"/>
      <c r="AP686" s="2"/>
      <c r="AQ686" s="2"/>
      <c r="AR686" s="2"/>
    </row>
    <row r="687" ht="13.5" customHeight="1" spans="1:4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100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100"/>
      <c r="AO687" s="2"/>
      <c r="AP687" s="2"/>
      <c r="AQ687" s="2"/>
      <c r="AR687" s="2"/>
    </row>
    <row r="688" ht="13.5" customHeight="1" spans="1:4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100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100"/>
      <c r="AO688" s="2"/>
      <c r="AP688" s="2"/>
      <c r="AQ688" s="2"/>
      <c r="AR688" s="2"/>
    </row>
    <row r="689" ht="13.5" customHeight="1" spans="1:4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100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100"/>
      <c r="AO689" s="2"/>
      <c r="AP689" s="2"/>
      <c r="AQ689" s="2"/>
      <c r="AR689" s="2"/>
    </row>
    <row r="690" ht="13.5" customHeight="1" spans="1:4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100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100"/>
      <c r="AO690" s="2"/>
      <c r="AP690" s="2"/>
      <c r="AQ690" s="2"/>
      <c r="AR690" s="2"/>
    </row>
    <row r="691" ht="13.5" customHeight="1" spans="1:4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100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100"/>
      <c r="AO691" s="2"/>
      <c r="AP691" s="2"/>
      <c r="AQ691" s="2"/>
      <c r="AR691" s="2"/>
    </row>
    <row r="692" ht="13.5" customHeight="1" spans="1:4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100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100"/>
      <c r="AO692" s="2"/>
      <c r="AP692" s="2"/>
      <c r="AQ692" s="2"/>
      <c r="AR692" s="2"/>
    </row>
    <row r="693" ht="13.5" customHeight="1" spans="1:4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100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100"/>
      <c r="AO693" s="2"/>
      <c r="AP693" s="2"/>
      <c r="AQ693" s="2"/>
      <c r="AR693" s="2"/>
    </row>
    <row r="694" ht="13.5" customHeight="1" spans="1:4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100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100"/>
      <c r="AO694" s="2"/>
      <c r="AP694" s="2"/>
      <c r="AQ694" s="2"/>
      <c r="AR694" s="2"/>
    </row>
    <row r="695" ht="13.5" customHeight="1" spans="1:4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100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100"/>
      <c r="AO695" s="2"/>
      <c r="AP695" s="2"/>
      <c r="AQ695" s="2"/>
      <c r="AR695" s="2"/>
    </row>
    <row r="696" ht="13.5" customHeight="1" spans="1:4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100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100"/>
      <c r="AO696" s="2"/>
      <c r="AP696" s="2"/>
      <c r="AQ696" s="2"/>
      <c r="AR696" s="2"/>
    </row>
    <row r="697" ht="13.5" customHeight="1" spans="1:4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100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100"/>
      <c r="AO697" s="2"/>
      <c r="AP697" s="2"/>
      <c r="AQ697" s="2"/>
      <c r="AR697" s="2"/>
    </row>
    <row r="698" ht="13.5" customHeight="1" spans="1:4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100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100"/>
      <c r="AO698" s="2"/>
      <c r="AP698" s="2"/>
      <c r="AQ698" s="2"/>
      <c r="AR698" s="2"/>
    </row>
    <row r="699" ht="13.5" customHeight="1" spans="1:4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100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100"/>
      <c r="AO699" s="2"/>
      <c r="AP699" s="2"/>
      <c r="AQ699" s="2"/>
      <c r="AR699" s="2"/>
    </row>
    <row r="700" ht="13.5" customHeight="1" spans="1:4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100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100"/>
      <c r="AO700" s="2"/>
      <c r="AP700" s="2"/>
      <c r="AQ700" s="2"/>
      <c r="AR700" s="2"/>
    </row>
    <row r="701" ht="13.5" customHeight="1" spans="1:4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100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100"/>
      <c r="AO701" s="2"/>
      <c r="AP701" s="2"/>
      <c r="AQ701" s="2"/>
      <c r="AR701" s="2"/>
    </row>
    <row r="702" ht="13.5" customHeight="1" spans="1:4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100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100"/>
      <c r="AO702" s="2"/>
      <c r="AP702" s="2"/>
      <c r="AQ702" s="2"/>
      <c r="AR702" s="2"/>
    </row>
    <row r="703" ht="13.5" customHeight="1" spans="1:4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100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100"/>
      <c r="AO703" s="2"/>
      <c r="AP703" s="2"/>
      <c r="AQ703" s="2"/>
      <c r="AR703" s="2"/>
    </row>
    <row r="704" ht="13.5" customHeight="1" spans="1:4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100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100"/>
      <c r="AO704" s="2"/>
      <c r="AP704" s="2"/>
      <c r="AQ704" s="2"/>
      <c r="AR704" s="2"/>
    </row>
    <row r="705" ht="13.5" customHeight="1" spans="1:4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100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100"/>
      <c r="AO705" s="2"/>
      <c r="AP705" s="2"/>
      <c r="AQ705" s="2"/>
      <c r="AR705" s="2"/>
    </row>
    <row r="706" ht="13.5" customHeight="1" spans="1:4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100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100"/>
      <c r="AO706" s="2"/>
      <c r="AP706" s="2"/>
      <c r="AQ706" s="2"/>
      <c r="AR706" s="2"/>
    </row>
    <row r="707" ht="13.5" customHeight="1" spans="1:4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100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100"/>
      <c r="AO707" s="2"/>
      <c r="AP707" s="2"/>
      <c r="AQ707" s="2"/>
      <c r="AR707" s="2"/>
    </row>
    <row r="708" ht="13.5" customHeight="1" spans="1:4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100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100"/>
      <c r="AO708" s="2"/>
      <c r="AP708" s="2"/>
      <c r="AQ708" s="2"/>
      <c r="AR708" s="2"/>
    </row>
    <row r="709" ht="13.5" customHeight="1" spans="1:4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100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100"/>
      <c r="AO709" s="2"/>
      <c r="AP709" s="2"/>
      <c r="AQ709" s="2"/>
      <c r="AR709" s="2"/>
    </row>
    <row r="710" ht="13.5" customHeight="1" spans="1:4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100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100"/>
      <c r="AO710" s="2"/>
      <c r="AP710" s="2"/>
      <c r="AQ710" s="2"/>
      <c r="AR710" s="2"/>
    </row>
    <row r="711" ht="13.5" customHeight="1" spans="1:4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100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100"/>
      <c r="AO711" s="2"/>
      <c r="AP711" s="2"/>
      <c r="AQ711" s="2"/>
      <c r="AR711" s="2"/>
    </row>
    <row r="712" ht="13.5" customHeight="1" spans="1:4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100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100"/>
      <c r="AO712" s="2"/>
      <c r="AP712" s="2"/>
      <c r="AQ712" s="2"/>
      <c r="AR712" s="2"/>
    </row>
    <row r="713" ht="13.5" customHeight="1" spans="1:4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100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100"/>
      <c r="AO713" s="2"/>
      <c r="AP713" s="2"/>
      <c r="AQ713" s="2"/>
      <c r="AR713" s="2"/>
    </row>
    <row r="714" ht="13.5" customHeight="1" spans="1:4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100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100"/>
      <c r="AO714" s="2"/>
      <c r="AP714" s="2"/>
      <c r="AQ714" s="2"/>
      <c r="AR714" s="2"/>
    </row>
    <row r="715" ht="13.5" customHeight="1" spans="1:4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100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100"/>
      <c r="AO715" s="2"/>
      <c r="AP715" s="2"/>
      <c r="AQ715" s="2"/>
      <c r="AR715" s="2"/>
    </row>
    <row r="716" ht="13.5" customHeight="1" spans="1:4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100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100"/>
      <c r="AO716" s="2"/>
      <c r="AP716" s="2"/>
      <c r="AQ716" s="2"/>
      <c r="AR716" s="2"/>
    </row>
    <row r="717" ht="13.5" customHeight="1" spans="1:4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100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100"/>
      <c r="AO717" s="2"/>
      <c r="AP717" s="2"/>
      <c r="AQ717" s="2"/>
      <c r="AR717" s="2"/>
    </row>
    <row r="718" ht="13.5" customHeight="1" spans="1:4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100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100"/>
      <c r="AO718" s="2"/>
      <c r="AP718" s="2"/>
      <c r="AQ718" s="2"/>
      <c r="AR718" s="2"/>
    </row>
    <row r="719" ht="13.5" customHeight="1" spans="1:4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100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100"/>
      <c r="AO719" s="2"/>
      <c r="AP719" s="2"/>
      <c r="AQ719" s="2"/>
      <c r="AR719" s="2"/>
    </row>
    <row r="720" ht="13.5" customHeight="1" spans="1:4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100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100"/>
      <c r="AO720" s="2"/>
      <c r="AP720" s="2"/>
      <c r="AQ720" s="2"/>
      <c r="AR720" s="2"/>
    </row>
    <row r="721" ht="13.5" customHeight="1" spans="1:4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100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100"/>
      <c r="AO721" s="2"/>
      <c r="AP721" s="2"/>
      <c r="AQ721" s="2"/>
      <c r="AR721" s="2"/>
    </row>
    <row r="722" ht="13.5" customHeight="1" spans="1:4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100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100"/>
      <c r="AO722" s="2"/>
      <c r="AP722" s="2"/>
      <c r="AQ722" s="2"/>
      <c r="AR722" s="2"/>
    </row>
    <row r="723" ht="13.5" customHeight="1" spans="1:4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100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100"/>
      <c r="AO723" s="2"/>
      <c r="AP723" s="2"/>
      <c r="AQ723" s="2"/>
      <c r="AR723" s="2"/>
    </row>
    <row r="724" ht="13.5" customHeight="1" spans="1:4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100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100"/>
      <c r="AO724" s="2"/>
      <c r="AP724" s="2"/>
      <c r="AQ724" s="2"/>
      <c r="AR724" s="2"/>
    </row>
    <row r="725" ht="13.5" customHeight="1" spans="1:4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100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100"/>
      <c r="AO725" s="2"/>
      <c r="AP725" s="2"/>
      <c r="AQ725" s="2"/>
      <c r="AR725" s="2"/>
    </row>
    <row r="726" ht="13.5" customHeight="1" spans="1:4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100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100"/>
      <c r="AO726" s="2"/>
      <c r="AP726" s="2"/>
      <c r="AQ726" s="2"/>
      <c r="AR726" s="2"/>
    </row>
    <row r="727" ht="13.5" customHeight="1" spans="1:4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100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100"/>
      <c r="AO727" s="2"/>
      <c r="AP727" s="2"/>
      <c r="AQ727" s="2"/>
      <c r="AR727" s="2"/>
    </row>
    <row r="728" ht="13.5" customHeight="1" spans="1:4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100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100"/>
      <c r="AO728" s="2"/>
      <c r="AP728" s="2"/>
      <c r="AQ728" s="2"/>
      <c r="AR728" s="2"/>
    </row>
    <row r="729" ht="13.5" customHeight="1" spans="1:4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100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100"/>
      <c r="AO729" s="2"/>
      <c r="AP729" s="2"/>
      <c r="AQ729" s="2"/>
      <c r="AR729" s="2"/>
    </row>
    <row r="730" ht="13.5" customHeight="1" spans="1:4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100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100"/>
      <c r="AO730" s="2"/>
      <c r="AP730" s="2"/>
      <c r="AQ730" s="2"/>
      <c r="AR730" s="2"/>
    </row>
    <row r="731" ht="13.5" customHeight="1" spans="1:4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100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100"/>
      <c r="AO731" s="2"/>
      <c r="AP731" s="2"/>
      <c r="AQ731" s="2"/>
      <c r="AR731" s="2"/>
    </row>
    <row r="732" ht="13.5" customHeight="1" spans="1:4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100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100"/>
      <c r="AO732" s="2"/>
      <c r="AP732" s="2"/>
      <c r="AQ732" s="2"/>
      <c r="AR732" s="2"/>
    </row>
    <row r="733" ht="13.5" customHeight="1" spans="1:4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100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100"/>
      <c r="AO733" s="2"/>
      <c r="AP733" s="2"/>
      <c r="AQ733" s="2"/>
      <c r="AR733" s="2"/>
    </row>
    <row r="734" ht="13.5" customHeight="1" spans="1:4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100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100"/>
      <c r="AO734" s="2"/>
      <c r="AP734" s="2"/>
      <c r="AQ734" s="2"/>
      <c r="AR734" s="2"/>
    </row>
    <row r="735" ht="13.5" customHeight="1" spans="1:4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100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100"/>
      <c r="AO735" s="2"/>
      <c r="AP735" s="2"/>
      <c r="AQ735" s="2"/>
      <c r="AR735" s="2"/>
    </row>
    <row r="736" ht="13.5" customHeight="1" spans="1:4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100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100"/>
      <c r="AO736" s="2"/>
      <c r="AP736" s="2"/>
      <c r="AQ736" s="2"/>
      <c r="AR736" s="2"/>
    </row>
    <row r="737" ht="13.5" customHeight="1" spans="1:4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100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100"/>
      <c r="AO737" s="2"/>
      <c r="AP737" s="2"/>
      <c r="AQ737" s="2"/>
      <c r="AR737" s="2"/>
    </row>
    <row r="738" ht="13.5" customHeight="1" spans="1:4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100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100"/>
      <c r="AO738" s="2"/>
      <c r="AP738" s="2"/>
      <c r="AQ738" s="2"/>
      <c r="AR738" s="2"/>
    </row>
    <row r="739" ht="13.5" customHeight="1" spans="1:4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100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100"/>
      <c r="AO739" s="2"/>
      <c r="AP739" s="2"/>
      <c r="AQ739" s="2"/>
      <c r="AR739" s="2"/>
    </row>
    <row r="740" ht="13.5" customHeight="1" spans="1:4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100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100"/>
      <c r="AO740" s="2"/>
      <c r="AP740" s="2"/>
      <c r="AQ740" s="2"/>
      <c r="AR740" s="2"/>
    </row>
    <row r="741" ht="13.5" customHeight="1" spans="1:4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100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100"/>
      <c r="AO741" s="2"/>
      <c r="AP741" s="2"/>
      <c r="AQ741" s="2"/>
      <c r="AR741" s="2"/>
    </row>
    <row r="742" ht="13.5" customHeight="1" spans="1:4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100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100"/>
      <c r="AO742" s="2"/>
      <c r="AP742" s="2"/>
      <c r="AQ742" s="2"/>
      <c r="AR742" s="2"/>
    </row>
    <row r="743" ht="13.5" customHeight="1" spans="1:4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100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100"/>
      <c r="AO743" s="2"/>
      <c r="AP743" s="2"/>
      <c r="AQ743" s="2"/>
      <c r="AR743" s="2"/>
    </row>
    <row r="744" ht="13.5" customHeight="1" spans="1:4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100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100"/>
      <c r="AO744" s="2"/>
      <c r="AP744" s="2"/>
      <c r="AQ744" s="2"/>
      <c r="AR744" s="2"/>
    </row>
    <row r="745" ht="13.5" customHeight="1" spans="1:4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100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100"/>
      <c r="AO745" s="2"/>
      <c r="AP745" s="2"/>
      <c r="AQ745" s="2"/>
      <c r="AR745" s="2"/>
    </row>
    <row r="746" ht="13.5" customHeight="1" spans="1:4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100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100"/>
      <c r="AO746" s="2"/>
      <c r="AP746" s="2"/>
      <c r="AQ746" s="2"/>
      <c r="AR746" s="2"/>
    </row>
    <row r="747" ht="13.5" customHeight="1" spans="1:4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100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100"/>
      <c r="AO747" s="2"/>
      <c r="AP747" s="2"/>
      <c r="AQ747" s="2"/>
      <c r="AR747" s="2"/>
    </row>
    <row r="748" ht="13.5" customHeight="1" spans="1:4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100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100"/>
      <c r="AO748" s="2"/>
      <c r="AP748" s="2"/>
      <c r="AQ748" s="2"/>
      <c r="AR748" s="2"/>
    </row>
    <row r="749" ht="13.5" customHeight="1" spans="1:4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100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100"/>
      <c r="AO749" s="2"/>
      <c r="AP749" s="2"/>
      <c r="AQ749" s="2"/>
      <c r="AR749" s="2"/>
    </row>
    <row r="750" ht="13.5" customHeight="1" spans="1:4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100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100"/>
      <c r="AO750" s="2"/>
      <c r="AP750" s="2"/>
      <c r="AQ750" s="2"/>
      <c r="AR750" s="2"/>
    </row>
    <row r="751" ht="13.5" customHeight="1" spans="1:4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100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100"/>
      <c r="AO751" s="2"/>
      <c r="AP751" s="2"/>
      <c r="AQ751" s="2"/>
      <c r="AR751" s="2"/>
    </row>
    <row r="752" ht="13.5" customHeight="1" spans="1:4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100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100"/>
      <c r="AO752" s="2"/>
      <c r="AP752" s="2"/>
      <c r="AQ752" s="2"/>
      <c r="AR752" s="2"/>
    </row>
    <row r="753" ht="13.5" customHeight="1" spans="1:4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100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100"/>
      <c r="AO753" s="2"/>
      <c r="AP753" s="2"/>
      <c r="AQ753" s="2"/>
      <c r="AR753" s="2"/>
    </row>
    <row r="754" ht="13.5" customHeight="1" spans="1:4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100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100"/>
      <c r="AO754" s="2"/>
      <c r="AP754" s="2"/>
      <c r="AQ754" s="2"/>
      <c r="AR754" s="2"/>
    </row>
    <row r="755" ht="13.5" customHeight="1" spans="1:4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100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100"/>
      <c r="AO755" s="2"/>
      <c r="AP755" s="2"/>
      <c r="AQ755" s="2"/>
      <c r="AR755" s="2"/>
    </row>
    <row r="756" ht="13.5" customHeight="1" spans="1:4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100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100"/>
      <c r="AO756" s="2"/>
      <c r="AP756" s="2"/>
      <c r="AQ756" s="2"/>
      <c r="AR756" s="2"/>
    </row>
    <row r="757" ht="13.5" customHeight="1" spans="1:4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100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100"/>
      <c r="AO757" s="2"/>
      <c r="AP757" s="2"/>
      <c r="AQ757" s="2"/>
      <c r="AR757" s="2"/>
    </row>
    <row r="758" ht="13.5" customHeight="1" spans="1:4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100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100"/>
      <c r="AO758" s="2"/>
      <c r="AP758" s="2"/>
      <c r="AQ758" s="2"/>
      <c r="AR758" s="2"/>
    </row>
    <row r="759" ht="13.5" customHeight="1" spans="1:4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100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100"/>
      <c r="AO759" s="2"/>
      <c r="AP759" s="2"/>
      <c r="AQ759" s="2"/>
      <c r="AR759" s="2"/>
    </row>
    <row r="760" ht="13.5" customHeight="1" spans="1:4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100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100"/>
      <c r="AO760" s="2"/>
      <c r="AP760" s="2"/>
      <c r="AQ760" s="2"/>
      <c r="AR760" s="2"/>
    </row>
    <row r="761" ht="13.5" customHeight="1" spans="1:4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100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100"/>
      <c r="AO761" s="2"/>
      <c r="AP761" s="2"/>
      <c r="AQ761" s="2"/>
      <c r="AR761" s="2"/>
    </row>
    <row r="762" ht="13.5" customHeight="1" spans="1:4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100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100"/>
      <c r="AO762" s="2"/>
      <c r="AP762" s="2"/>
      <c r="AQ762" s="2"/>
      <c r="AR762" s="2"/>
    </row>
    <row r="763" ht="13.5" customHeight="1" spans="1:4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100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100"/>
      <c r="AO763" s="2"/>
      <c r="AP763" s="2"/>
      <c r="AQ763" s="2"/>
      <c r="AR763" s="2"/>
    </row>
    <row r="764" ht="13.5" customHeight="1" spans="1:4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100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100"/>
      <c r="AO764" s="2"/>
      <c r="AP764" s="2"/>
      <c r="AQ764" s="2"/>
      <c r="AR764" s="2"/>
    </row>
    <row r="765" ht="13.5" customHeight="1" spans="1:4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100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100"/>
      <c r="AO765" s="2"/>
      <c r="AP765" s="2"/>
      <c r="AQ765" s="2"/>
      <c r="AR765" s="2"/>
    </row>
    <row r="766" ht="13.5" customHeight="1" spans="1:4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100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100"/>
      <c r="AO766" s="2"/>
      <c r="AP766" s="2"/>
      <c r="AQ766" s="2"/>
      <c r="AR766" s="2"/>
    </row>
    <row r="767" ht="13.5" customHeight="1" spans="1:4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100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100"/>
      <c r="AO767" s="2"/>
      <c r="AP767" s="2"/>
      <c r="AQ767" s="2"/>
      <c r="AR767" s="2"/>
    </row>
    <row r="768" ht="13.5" customHeight="1" spans="1:4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100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100"/>
      <c r="AO768" s="2"/>
      <c r="AP768" s="2"/>
      <c r="AQ768" s="2"/>
      <c r="AR768" s="2"/>
    </row>
    <row r="769" ht="13.5" customHeight="1" spans="1:4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100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100"/>
      <c r="AO769" s="2"/>
      <c r="AP769" s="2"/>
      <c r="AQ769" s="2"/>
      <c r="AR769" s="2"/>
    </row>
    <row r="770" ht="13.5" customHeight="1" spans="1:4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100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100"/>
      <c r="AO770" s="2"/>
      <c r="AP770" s="2"/>
      <c r="AQ770" s="2"/>
      <c r="AR770" s="2"/>
    </row>
    <row r="771" ht="13.5" customHeight="1" spans="1:4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100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100"/>
      <c r="AO771" s="2"/>
      <c r="AP771" s="2"/>
      <c r="AQ771" s="2"/>
      <c r="AR771" s="2"/>
    </row>
    <row r="772" ht="13.5" customHeight="1" spans="1:4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100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100"/>
      <c r="AO772" s="2"/>
      <c r="AP772" s="2"/>
      <c r="AQ772" s="2"/>
      <c r="AR772" s="2"/>
    </row>
    <row r="773" ht="13.5" customHeight="1" spans="1:4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100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100"/>
      <c r="AO773" s="2"/>
      <c r="AP773" s="2"/>
      <c r="AQ773" s="2"/>
      <c r="AR773" s="2"/>
    </row>
    <row r="774" ht="13.5" customHeight="1" spans="1:4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100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100"/>
      <c r="AO774" s="2"/>
      <c r="AP774" s="2"/>
      <c r="AQ774" s="2"/>
      <c r="AR774" s="2"/>
    </row>
    <row r="775" ht="13.5" customHeight="1" spans="1:4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100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100"/>
      <c r="AO775" s="2"/>
      <c r="AP775" s="2"/>
      <c r="AQ775" s="2"/>
      <c r="AR775" s="2"/>
    </row>
    <row r="776" ht="13.5" customHeight="1" spans="1:4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100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100"/>
      <c r="AO776" s="2"/>
      <c r="AP776" s="2"/>
      <c r="AQ776" s="2"/>
      <c r="AR776" s="2"/>
    </row>
    <row r="777" ht="13.5" customHeight="1" spans="1:4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100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100"/>
      <c r="AO777" s="2"/>
      <c r="AP777" s="2"/>
      <c r="AQ777" s="2"/>
      <c r="AR777" s="2"/>
    </row>
    <row r="778" ht="13.5" customHeight="1" spans="1:4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100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100"/>
      <c r="AO778" s="2"/>
      <c r="AP778" s="2"/>
      <c r="AQ778" s="2"/>
      <c r="AR778" s="2"/>
    </row>
    <row r="779" ht="13.5" customHeight="1" spans="1:4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100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100"/>
      <c r="AO779" s="2"/>
      <c r="AP779" s="2"/>
      <c r="AQ779" s="2"/>
      <c r="AR779" s="2"/>
    </row>
    <row r="780" ht="13.5" customHeight="1" spans="1:4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100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100"/>
      <c r="AO780" s="2"/>
      <c r="AP780" s="2"/>
      <c r="AQ780" s="2"/>
      <c r="AR780" s="2"/>
    </row>
    <row r="781" ht="13.5" customHeight="1" spans="1:4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100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100"/>
      <c r="AO781" s="2"/>
      <c r="AP781" s="2"/>
      <c r="AQ781" s="2"/>
      <c r="AR781" s="2"/>
    </row>
    <row r="782" ht="13.5" customHeight="1" spans="1:4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100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100"/>
      <c r="AO782" s="2"/>
      <c r="AP782" s="2"/>
      <c r="AQ782" s="2"/>
      <c r="AR782" s="2"/>
    </row>
    <row r="783" ht="13.5" customHeight="1" spans="1:4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100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100"/>
      <c r="AO783" s="2"/>
      <c r="AP783" s="2"/>
      <c r="AQ783" s="2"/>
      <c r="AR783" s="2"/>
    </row>
    <row r="784" ht="13.5" customHeight="1" spans="1:4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100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100"/>
      <c r="AO784" s="2"/>
      <c r="AP784" s="2"/>
      <c r="AQ784" s="2"/>
      <c r="AR784" s="2"/>
    </row>
    <row r="785" ht="13.5" customHeight="1" spans="1:4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100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100"/>
      <c r="AO785" s="2"/>
      <c r="AP785" s="2"/>
      <c r="AQ785" s="2"/>
      <c r="AR785" s="2"/>
    </row>
    <row r="786" ht="13.5" customHeight="1" spans="1:4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100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100"/>
      <c r="AO786" s="2"/>
      <c r="AP786" s="2"/>
      <c r="AQ786" s="2"/>
      <c r="AR786" s="2"/>
    </row>
    <row r="787" ht="13.5" customHeight="1" spans="1:4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100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100"/>
      <c r="AO787" s="2"/>
      <c r="AP787" s="2"/>
      <c r="AQ787" s="2"/>
      <c r="AR787" s="2"/>
    </row>
    <row r="788" ht="13.5" customHeight="1" spans="1:4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100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100"/>
      <c r="AO788" s="2"/>
      <c r="AP788" s="2"/>
      <c r="AQ788" s="2"/>
      <c r="AR788" s="2"/>
    </row>
    <row r="789" ht="13.5" customHeight="1" spans="1:4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100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100"/>
      <c r="AO789" s="2"/>
      <c r="AP789" s="2"/>
      <c r="AQ789" s="2"/>
      <c r="AR789" s="2"/>
    </row>
    <row r="790" ht="13.5" customHeight="1" spans="1:4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100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100"/>
      <c r="AO790" s="2"/>
      <c r="AP790" s="2"/>
      <c r="AQ790" s="2"/>
      <c r="AR790" s="2"/>
    </row>
    <row r="791" ht="13.5" customHeight="1" spans="1:4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100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100"/>
      <c r="AO791" s="2"/>
      <c r="AP791" s="2"/>
      <c r="AQ791" s="2"/>
      <c r="AR791" s="2"/>
    </row>
    <row r="792" ht="13.5" customHeight="1" spans="1:4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100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100"/>
      <c r="AO792" s="2"/>
      <c r="AP792" s="2"/>
      <c r="AQ792" s="2"/>
      <c r="AR792" s="2"/>
    </row>
    <row r="793" ht="13.5" customHeight="1" spans="1:4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100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100"/>
      <c r="AO793" s="2"/>
      <c r="AP793" s="2"/>
      <c r="AQ793" s="2"/>
      <c r="AR793" s="2"/>
    </row>
    <row r="794" ht="13.5" customHeight="1" spans="1:4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100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100"/>
      <c r="AO794" s="2"/>
      <c r="AP794" s="2"/>
      <c r="AQ794" s="2"/>
      <c r="AR794" s="2"/>
    </row>
    <row r="795" ht="13.5" customHeight="1" spans="1:4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100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100"/>
      <c r="AO795" s="2"/>
      <c r="AP795" s="2"/>
      <c r="AQ795" s="2"/>
      <c r="AR795" s="2"/>
    </row>
    <row r="796" ht="13.5" customHeight="1" spans="1:4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100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100"/>
      <c r="AO796" s="2"/>
      <c r="AP796" s="2"/>
      <c r="AQ796" s="2"/>
      <c r="AR796" s="2"/>
    </row>
    <row r="797" ht="13.5" customHeight="1" spans="1:4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100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100"/>
      <c r="AO797" s="2"/>
      <c r="AP797" s="2"/>
      <c r="AQ797" s="2"/>
      <c r="AR797" s="2"/>
    </row>
    <row r="798" ht="13.5" customHeight="1" spans="1:4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100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100"/>
      <c r="AO798" s="2"/>
      <c r="AP798" s="2"/>
      <c r="AQ798" s="2"/>
      <c r="AR798" s="2"/>
    </row>
    <row r="799" ht="13.5" customHeight="1" spans="1:4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100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100"/>
      <c r="AO799" s="2"/>
      <c r="AP799" s="2"/>
      <c r="AQ799" s="2"/>
      <c r="AR799" s="2"/>
    </row>
    <row r="800" ht="13.5" customHeight="1" spans="1:4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100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100"/>
      <c r="AO800" s="2"/>
      <c r="AP800" s="2"/>
      <c r="AQ800" s="2"/>
      <c r="AR800" s="2"/>
    </row>
    <row r="801" ht="13.5" customHeight="1" spans="1:4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100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100"/>
      <c r="AO801" s="2"/>
      <c r="AP801" s="2"/>
      <c r="AQ801" s="2"/>
      <c r="AR801" s="2"/>
    </row>
    <row r="802" ht="13.5" customHeight="1" spans="1:4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100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100"/>
      <c r="AO802" s="2"/>
      <c r="AP802" s="2"/>
      <c r="AQ802" s="2"/>
      <c r="AR802" s="2"/>
    </row>
    <row r="803" ht="13.5" customHeight="1" spans="1:4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100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100"/>
      <c r="AO803" s="2"/>
      <c r="AP803" s="2"/>
      <c r="AQ803" s="2"/>
      <c r="AR803" s="2"/>
    </row>
    <row r="804" ht="13.5" customHeight="1" spans="1:4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100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100"/>
      <c r="AO804" s="2"/>
      <c r="AP804" s="2"/>
      <c r="AQ804" s="2"/>
      <c r="AR804" s="2"/>
    </row>
    <row r="805" ht="13.5" customHeight="1" spans="1:4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100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100"/>
      <c r="AO805" s="2"/>
      <c r="AP805" s="2"/>
      <c r="AQ805" s="2"/>
      <c r="AR805" s="2"/>
    </row>
    <row r="806" ht="13.5" customHeight="1" spans="1:4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100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100"/>
      <c r="AO806" s="2"/>
      <c r="AP806" s="2"/>
      <c r="AQ806" s="2"/>
      <c r="AR806" s="2"/>
    </row>
    <row r="807" ht="13.5" customHeight="1" spans="1:4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100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100"/>
      <c r="AO807" s="2"/>
      <c r="AP807" s="2"/>
      <c r="AQ807" s="2"/>
      <c r="AR807" s="2"/>
    </row>
    <row r="808" ht="13.5" customHeight="1" spans="1:4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100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100"/>
      <c r="AO808" s="2"/>
      <c r="AP808" s="2"/>
      <c r="AQ808" s="2"/>
      <c r="AR808" s="2"/>
    </row>
    <row r="809" ht="13.5" customHeight="1" spans="1:4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100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100"/>
      <c r="AO809" s="2"/>
      <c r="AP809" s="2"/>
      <c r="AQ809" s="2"/>
      <c r="AR809" s="2"/>
    </row>
    <row r="810" ht="13.5" customHeight="1" spans="1:4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100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100"/>
      <c r="AO810" s="2"/>
      <c r="AP810" s="2"/>
      <c r="AQ810" s="2"/>
      <c r="AR810" s="2"/>
    </row>
    <row r="811" ht="13.5" customHeight="1" spans="1:4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100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100"/>
      <c r="AO811" s="2"/>
      <c r="AP811" s="2"/>
      <c r="AQ811" s="2"/>
      <c r="AR811" s="2"/>
    </row>
    <row r="812" ht="13.5" customHeight="1" spans="1:4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100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100"/>
      <c r="AO812" s="2"/>
      <c r="AP812" s="2"/>
      <c r="AQ812" s="2"/>
      <c r="AR812" s="2"/>
    </row>
    <row r="813" ht="13.5" customHeight="1" spans="1:4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100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100"/>
      <c r="AO813" s="2"/>
      <c r="AP813" s="2"/>
      <c r="AQ813" s="2"/>
      <c r="AR813" s="2"/>
    </row>
    <row r="814" ht="13.5" customHeight="1" spans="1:4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100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100"/>
      <c r="AO814" s="2"/>
      <c r="AP814" s="2"/>
      <c r="AQ814" s="2"/>
      <c r="AR814" s="2"/>
    </row>
    <row r="815" ht="13.5" customHeight="1" spans="1:4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100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100"/>
      <c r="AO815" s="2"/>
      <c r="AP815" s="2"/>
      <c r="AQ815" s="2"/>
      <c r="AR815" s="2"/>
    </row>
    <row r="816" ht="13.5" customHeight="1" spans="1:4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100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100"/>
      <c r="AO816" s="2"/>
      <c r="AP816" s="2"/>
      <c r="AQ816" s="2"/>
      <c r="AR816" s="2"/>
    </row>
    <row r="817" ht="13.5" customHeight="1" spans="1:4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100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100"/>
      <c r="AO817" s="2"/>
      <c r="AP817" s="2"/>
      <c r="AQ817" s="2"/>
      <c r="AR817" s="2"/>
    </row>
    <row r="818" ht="13.5" customHeight="1" spans="1:4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100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100"/>
      <c r="AO818" s="2"/>
      <c r="AP818" s="2"/>
      <c r="AQ818" s="2"/>
      <c r="AR818" s="2"/>
    </row>
    <row r="819" ht="13.5" customHeight="1" spans="1:4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100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100"/>
      <c r="AO819" s="2"/>
      <c r="AP819" s="2"/>
      <c r="AQ819" s="2"/>
      <c r="AR819" s="2"/>
    </row>
    <row r="820" ht="13.5" customHeight="1" spans="1:4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100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100"/>
      <c r="AO820" s="2"/>
      <c r="AP820" s="2"/>
      <c r="AQ820" s="2"/>
      <c r="AR820" s="2"/>
    </row>
    <row r="821" ht="13.5" customHeight="1" spans="1:4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100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100"/>
      <c r="AO821" s="2"/>
      <c r="AP821" s="2"/>
      <c r="AQ821" s="2"/>
      <c r="AR821" s="2"/>
    </row>
    <row r="822" ht="13.5" customHeight="1" spans="1:4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100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100"/>
      <c r="AO822" s="2"/>
      <c r="AP822" s="2"/>
      <c r="AQ822" s="2"/>
      <c r="AR822" s="2"/>
    </row>
    <row r="823" ht="13.5" customHeight="1" spans="1:4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100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100"/>
      <c r="AO823" s="2"/>
      <c r="AP823" s="2"/>
      <c r="AQ823" s="2"/>
      <c r="AR823" s="2"/>
    </row>
    <row r="824" ht="13.5" customHeight="1" spans="1:4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100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100"/>
      <c r="AO824" s="2"/>
      <c r="AP824" s="2"/>
      <c r="AQ824" s="2"/>
      <c r="AR824" s="2"/>
    </row>
    <row r="825" ht="13.5" customHeight="1" spans="1:4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100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100"/>
      <c r="AO825" s="2"/>
      <c r="AP825" s="2"/>
      <c r="AQ825" s="2"/>
      <c r="AR825" s="2"/>
    </row>
    <row r="826" ht="13.5" customHeight="1" spans="1:4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100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100"/>
      <c r="AO826" s="2"/>
      <c r="AP826" s="2"/>
      <c r="AQ826" s="2"/>
      <c r="AR826" s="2"/>
    </row>
    <row r="827" ht="13.5" customHeight="1" spans="1:4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100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100"/>
      <c r="AO827" s="2"/>
      <c r="AP827" s="2"/>
      <c r="AQ827" s="2"/>
      <c r="AR827" s="2"/>
    </row>
    <row r="828" ht="13.5" customHeight="1" spans="1:4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100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100"/>
      <c r="AO828" s="2"/>
      <c r="AP828" s="2"/>
      <c r="AQ828" s="2"/>
      <c r="AR828" s="2"/>
    </row>
    <row r="829" ht="13.5" customHeight="1" spans="1:4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100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100"/>
      <c r="AO829" s="2"/>
      <c r="AP829" s="2"/>
      <c r="AQ829" s="2"/>
      <c r="AR829" s="2"/>
    </row>
    <row r="830" ht="13.5" customHeight="1" spans="1:4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100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100"/>
      <c r="AO830" s="2"/>
      <c r="AP830" s="2"/>
      <c r="AQ830" s="2"/>
      <c r="AR830" s="2"/>
    </row>
    <row r="831" ht="13.5" customHeight="1" spans="1:4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100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100"/>
      <c r="AO831" s="2"/>
      <c r="AP831" s="2"/>
      <c r="AQ831" s="2"/>
      <c r="AR831" s="2"/>
    </row>
    <row r="832" ht="13.5" customHeight="1" spans="1:4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100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100"/>
      <c r="AO832" s="2"/>
      <c r="AP832" s="2"/>
      <c r="AQ832" s="2"/>
      <c r="AR832" s="2"/>
    </row>
    <row r="833" ht="13.5" customHeight="1" spans="1:4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100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100"/>
      <c r="AO833" s="2"/>
      <c r="AP833" s="2"/>
      <c r="AQ833" s="2"/>
      <c r="AR833" s="2"/>
    </row>
    <row r="834" ht="13.5" customHeight="1" spans="1:4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100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100"/>
      <c r="AO834" s="2"/>
      <c r="AP834" s="2"/>
      <c r="AQ834" s="2"/>
      <c r="AR834" s="2"/>
    </row>
    <row r="835" ht="13.5" customHeight="1" spans="1:4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100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100"/>
      <c r="AO835" s="2"/>
      <c r="AP835" s="2"/>
      <c r="AQ835" s="2"/>
      <c r="AR835" s="2"/>
    </row>
    <row r="836" ht="13.5" customHeight="1" spans="1:4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100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100"/>
      <c r="AO836" s="2"/>
      <c r="AP836" s="2"/>
      <c r="AQ836" s="2"/>
      <c r="AR836" s="2"/>
    </row>
    <row r="837" ht="13.5" customHeight="1" spans="1:4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100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100"/>
      <c r="AO837" s="2"/>
      <c r="AP837" s="2"/>
      <c r="AQ837" s="2"/>
      <c r="AR837" s="2"/>
    </row>
    <row r="838" ht="13.5" customHeight="1" spans="1:4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100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100"/>
      <c r="AO838" s="2"/>
      <c r="AP838" s="2"/>
      <c r="AQ838" s="2"/>
      <c r="AR838" s="2"/>
    </row>
    <row r="839" ht="13.5" customHeight="1" spans="1:4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100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100"/>
      <c r="AO839" s="2"/>
      <c r="AP839" s="2"/>
      <c r="AQ839" s="2"/>
      <c r="AR839" s="2"/>
    </row>
    <row r="840" ht="13.5" customHeight="1" spans="1:4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100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100"/>
      <c r="AO840" s="2"/>
      <c r="AP840" s="2"/>
      <c r="AQ840" s="2"/>
      <c r="AR840" s="2"/>
    </row>
    <row r="841" ht="13.5" customHeight="1" spans="1:4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100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100"/>
      <c r="AO841" s="2"/>
      <c r="AP841" s="2"/>
      <c r="AQ841" s="2"/>
      <c r="AR841" s="2"/>
    </row>
    <row r="842" ht="13.5" customHeight="1" spans="1:4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100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100"/>
      <c r="AO842" s="2"/>
      <c r="AP842" s="2"/>
      <c r="AQ842" s="2"/>
      <c r="AR842" s="2"/>
    </row>
    <row r="843" ht="13.5" customHeight="1" spans="1:4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100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100"/>
      <c r="AO843" s="2"/>
      <c r="AP843" s="2"/>
      <c r="AQ843" s="2"/>
      <c r="AR843" s="2"/>
    </row>
    <row r="844" ht="13.5" customHeight="1" spans="1:4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100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100"/>
      <c r="AO844" s="2"/>
      <c r="AP844" s="2"/>
      <c r="AQ844" s="2"/>
      <c r="AR844" s="2"/>
    </row>
    <row r="845" ht="13.5" customHeight="1" spans="1:4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100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100"/>
      <c r="AO845" s="2"/>
      <c r="AP845" s="2"/>
      <c r="AQ845" s="2"/>
      <c r="AR845" s="2"/>
    </row>
    <row r="846" ht="13.5" customHeight="1" spans="1:4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100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100"/>
      <c r="AO846" s="2"/>
      <c r="AP846" s="2"/>
      <c r="AQ846" s="2"/>
      <c r="AR846" s="2"/>
    </row>
    <row r="847" ht="13.5" customHeight="1" spans="1:4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100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100"/>
      <c r="AO847" s="2"/>
      <c r="AP847" s="2"/>
      <c r="AQ847" s="2"/>
      <c r="AR847" s="2"/>
    </row>
    <row r="848" ht="13.5" customHeight="1" spans="1:4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100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100"/>
      <c r="AO848" s="2"/>
      <c r="AP848" s="2"/>
      <c r="AQ848" s="2"/>
      <c r="AR848" s="2"/>
    </row>
    <row r="849" ht="13.5" customHeight="1" spans="1:4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100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100"/>
      <c r="AO849" s="2"/>
      <c r="AP849" s="2"/>
      <c r="AQ849" s="2"/>
      <c r="AR849" s="2"/>
    </row>
    <row r="850" ht="13.5" customHeight="1" spans="1:4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100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100"/>
      <c r="AO850" s="2"/>
      <c r="AP850" s="2"/>
      <c r="AQ850" s="2"/>
      <c r="AR850" s="2"/>
    </row>
    <row r="851" ht="13.5" customHeight="1" spans="1:4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100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100"/>
      <c r="AO851" s="2"/>
      <c r="AP851" s="2"/>
      <c r="AQ851" s="2"/>
      <c r="AR851" s="2"/>
    </row>
    <row r="852" ht="13.5" customHeight="1" spans="1:4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100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100"/>
      <c r="AO852" s="2"/>
      <c r="AP852" s="2"/>
      <c r="AQ852" s="2"/>
      <c r="AR852" s="2"/>
    </row>
    <row r="853" ht="13.5" customHeight="1" spans="1:4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100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100"/>
      <c r="AO853" s="2"/>
      <c r="AP853" s="2"/>
      <c r="AQ853" s="2"/>
      <c r="AR853" s="2"/>
    </row>
    <row r="854" ht="13.5" customHeight="1" spans="1:4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100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100"/>
      <c r="AO854" s="2"/>
      <c r="AP854" s="2"/>
      <c r="AQ854" s="2"/>
      <c r="AR854" s="2"/>
    </row>
    <row r="855" ht="13.5" customHeight="1" spans="1:4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100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100"/>
      <c r="AO855" s="2"/>
      <c r="AP855" s="2"/>
      <c r="AQ855" s="2"/>
      <c r="AR855" s="2"/>
    </row>
    <row r="856" ht="13.5" customHeight="1" spans="1:4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100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100"/>
      <c r="AO856" s="2"/>
      <c r="AP856" s="2"/>
      <c r="AQ856" s="2"/>
      <c r="AR856" s="2"/>
    </row>
    <row r="857" ht="13.5" customHeight="1" spans="1:4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100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100"/>
      <c r="AO857" s="2"/>
      <c r="AP857" s="2"/>
      <c r="AQ857" s="2"/>
      <c r="AR857" s="2"/>
    </row>
    <row r="858" ht="13.5" customHeight="1" spans="1:4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100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100"/>
      <c r="AO858" s="2"/>
      <c r="AP858" s="2"/>
      <c r="AQ858" s="2"/>
      <c r="AR858" s="2"/>
    </row>
    <row r="859" ht="13.5" customHeight="1" spans="1:4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100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100"/>
      <c r="AO859" s="2"/>
      <c r="AP859" s="2"/>
      <c r="AQ859" s="2"/>
      <c r="AR859" s="2"/>
    </row>
    <row r="860" ht="13.5" customHeight="1" spans="1:4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100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100"/>
      <c r="AO860" s="2"/>
      <c r="AP860" s="2"/>
      <c r="AQ860" s="2"/>
      <c r="AR860" s="2"/>
    </row>
    <row r="861" ht="13.5" customHeight="1" spans="1:4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100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100"/>
      <c r="AO861" s="2"/>
      <c r="AP861" s="2"/>
      <c r="AQ861" s="2"/>
      <c r="AR861" s="2"/>
    </row>
    <row r="862" ht="13.5" customHeight="1" spans="1:4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100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100"/>
      <c r="AO862" s="2"/>
      <c r="AP862" s="2"/>
      <c r="AQ862" s="2"/>
      <c r="AR862" s="2"/>
    </row>
    <row r="863" ht="13.5" customHeight="1" spans="1:4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100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100"/>
      <c r="AO863" s="2"/>
      <c r="AP863" s="2"/>
      <c r="AQ863" s="2"/>
      <c r="AR863" s="2"/>
    </row>
    <row r="864" ht="13.5" customHeight="1" spans="1:4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100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100"/>
      <c r="AO864" s="2"/>
      <c r="AP864" s="2"/>
      <c r="AQ864" s="2"/>
      <c r="AR864" s="2"/>
    </row>
    <row r="865" ht="13.5" customHeight="1" spans="1:4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100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100"/>
      <c r="AO865" s="2"/>
      <c r="AP865" s="2"/>
      <c r="AQ865" s="2"/>
      <c r="AR865" s="2"/>
    </row>
    <row r="866" ht="13.5" customHeight="1" spans="1:4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100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100"/>
      <c r="AO866" s="2"/>
      <c r="AP866" s="2"/>
      <c r="AQ866" s="2"/>
      <c r="AR866" s="2"/>
    </row>
    <row r="867" ht="13.5" customHeight="1" spans="1:4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100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100"/>
      <c r="AO867" s="2"/>
      <c r="AP867" s="2"/>
      <c r="AQ867" s="2"/>
      <c r="AR867" s="2"/>
    </row>
    <row r="868" ht="13.5" customHeight="1" spans="1:4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100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100"/>
      <c r="AO868" s="2"/>
      <c r="AP868" s="2"/>
      <c r="AQ868" s="2"/>
      <c r="AR868" s="2"/>
    </row>
    <row r="869" ht="13.5" customHeight="1" spans="1:4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100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100"/>
      <c r="AO869" s="2"/>
      <c r="AP869" s="2"/>
      <c r="AQ869" s="2"/>
      <c r="AR869" s="2"/>
    </row>
    <row r="870" ht="13.5" customHeight="1" spans="1:4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100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100"/>
      <c r="AO870" s="2"/>
      <c r="AP870" s="2"/>
      <c r="AQ870" s="2"/>
      <c r="AR870" s="2"/>
    </row>
    <row r="871" ht="13.5" customHeight="1" spans="1:4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100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100"/>
      <c r="AO871" s="2"/>
      <c r="AP871" s="2"/>
      <c r="AQ871" s="2"/>
      <c r="AR871" s="2"/>
    </row>
    <row r="872" ht="13.5" customHeight="1" spans="1:4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100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100"/>
      <c r="AO872" s="2"/>
      <c r="AP872" s="2"/>
      <c r="AQ872" s="2"/>
      <c r="AR872" s="2"/>
    </row>
    <row r="873" ht="13.5" customHeight="1" spans="1:4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100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100"/>
      <c r="AO873" s="2"/>
      <c r="AP873" s="2"/>
      <c r="AQ873" s="2"/>
      <c r="AR873" s="2"/>
    </row>
    <row r="874" ht="13.5" customHeight="1" spans="1:4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100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100"/>
      <c r="AO874" s="2"/>
      <c r="AP874" s="2"/>
      <c r="AQ874" s="2"/>
      <c r="AR874" s="2"/>
    </row>
    <row r="875" ht="13.5" customHeight="1" spans="1:4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100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100"/>
      <c r="AO875" s="2"/>
      <c r="AP875" s="2"/>
      <c r="AQ875" s="2"/>
      <c r="AR875" s="2"/>
    </row>
    <row r="876" ht="13.5" customHeight="1" spans="1:4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100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100"/>
      <c r="AO876" s="2"/>
      <c r="AP876" s="2"/>
      <c r="AQ876" s="2"/>
      <c r="AR876" s="2"/>
    </row>
    <row r="877" ht="13.5" customHeight="1" spans="1:4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100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100"/>
      <c r="AO877" s="2"/>
      <c r="AP877" s="2"/>
      <c r="AQ877" s="2"/>
      <c r="AR877" s="2"/>
    </row>
    <row r="878" ht="13.5" customHeight="1" spans="1:4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100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100"/>
      <c r="AO878" s="2"/>
      <c r="AP878" s="2"/>
      <c r="AQ878" s="2"/>
      <c r="AR878" s="2"/>
    </row>
    <row r="879" ht="13.5" customHeight="1" spans="1:4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100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100"/>
      <c r="AO879" s="2"/>
      <c r="AP879" s="2"/>
      <c r="AQ879" s="2"/>
      <c r="AR879" s="2"/>
    </row>
    <row r="880" ht="13.5" customHeight="1" spans="1:4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100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100"/>
      <c r="AO880" s="2"/>
      <c r="AP880" s="2"/>
      <c r="AQ880" s="2"/>
      <c r="AR880" s="2"/>
    </row>
    <row r="881" ht="13.5" customHeight="1" spans="1:4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100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100"/>
      <c r="AO881" s="2"/>
      <c r="AP881" s="2"/>
      <c r="AQ881" s="2"/>
      <c r="AR881" s="2"/>
    </row>
    <row r="882" ht="13.5" customHeight="1" spans="1:4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100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100"/>
      <c r="AO882" s="2"/>
      <c r="AP882" s="2"/>
      <c r="AQ882" s="2"/>
      <c r="AR882" s="2"/>
    </row>
    <row r="883" ht="13.5" customHeight="1" spans="1:4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100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100"/>
      <c r="AO883" s="2"/>
      <c r="AP883" s="2"/>
      <c r="AQ883" s="2"/>
      <c r="AR883" s="2"/>
    </row>
    <row r="884" ht="13.5" customHeight="1" spans="1:4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100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100"/>
      <c r="AO884" s="2"/>
      <c r="AP884" s="2"/>
      <c r="AQ884" s="2"/>
      <c r="AR884" s="2"/>
    </row>
    <row r="885" ht="13.5" customHeight="1" spans="1:4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100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100"/>
      <c r="AO885" s="2"/>
      <c r="AP885" s="2"/>
      <c r="AQ885" s="2"/>
      <c r="AR885" s="2"/>
    </row>
    <row r="886" ht="13.5" customHeight="1" spans="1:4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100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100"/>
      <c r="AO886" s="2"/>
      <c r="AP886" s="2"/>
      <c r="AQ886" s="2"/>
      <c r="AR886" s="2"/>
    </row>
    <row r="887" ht="13.5" customHeight="1" spans="1:4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100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100"/>
      <c r="AO887" s="2"/>
      <c r="AP887" s="2"/>
      <c r="AQ887" s="2"/>
      <c r="AR887" s="2"/>
    </row>
    <row r="888" ht="13.5" customHeight="1" spans="1:4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100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100"/>
      <c r="AO888" s="2"/>
      <c r="AP888" s="2"/>
      <c r="AQ888" s="2"/>
      <c r="AR888" s="2"/>
    </row>
    <row r="889" ht="13.5" customHeight="1" spans="1:4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100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100"/>
      <c r="AO889" s="2"/>
      <c r="AP889" s="2"/>
      <c r="AQ889" s="2"/>
      <c r="AR889" s="2"/>
    </row>
    <row r="890" ht="13.5" customHeight="1" spans="1:4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100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100"/>
      <c r="AO890" s="2"/>
      <c r="AP890" s="2"/>
      <c r="AQ890" s="2"/>
      <c r="AR890" s="2"/>
    </row>
    <row r="891" ht="13.5" customHeight="1" spans="1:4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100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100"/>
      <c r="AO891" s="2"/>
      <c r="AP891" s="2"/>
      <c r="AQ891" s="2"/>
      <c r="AR891" s="2"/>
    </row>
    <row r="892" ht="13.5" customHeight="1" spans="1:4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100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100"/>
      <c r="AO892" s="2"/>
      <c r="AP892" s="2"/>
      <c r="AQ892" s="2"/>
      <c r="AR892" s="2"/>
    </row>
    <row r="893" ht="13.5" customHeight="1" spans="1:4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100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100"/>
      <c r="AO893" s="2"/>
      <c r="AP893" s="2"/>
      <c r="AQ893" s="2"/>
      <c r="AR893" s="2"/>
    </row>
    <row r="894" ht="13.5" customHeight="1" spans="1:4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100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100"/>
      <c r="AO894" s="2"/>
      <c r="AP894" s="2"/>
      <c r="AQ894" s="2"/>
      <c r="AR894" s="2"/>
    </row>
    <row r="895" ht="13.5" customHeight="1" spans="1:4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100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100"/>
      <c r="AO895" s="2"/>
      <c r="AP895" s="2"/>
      <c r="AQ895" s="2"/>
      <c r="AR895" s="2"/>
    </row>
    <row r="896" ht="13.5" customHeight="1" spans="1:4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100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100"/>
      <c r="AO896" s="2"/>
      <c r="AP896" s="2"/>
      <c r="AQ896" s="2"/>
      <c r="AR896" s="2"/>
    </row>
    <row r="897" ht="13.5" customHeight="1" spans="1:4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100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100"/>
      <c r="AO897" s="2"/>
      <c r="AP897" s="2"/>
      <c r="AQ897" s="2"/>
      <c r="AR897" s="2"/>
    </row>
    <row r="898" ht="13.5" customHeight="1" spans="1:4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100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100"/>
      <c r="AO898" s="2"/>
      <c r="AP898" s="2"/>
      <c r="AQ898" s="2"/>
      <c r="AR898" s="2"/>
    </row>
    <row r="899" ht="13.5" customHeight="1" spans="1:4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100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100"/>
      <c r="AO899" s="2"/>
      <c r="AP899" s="2"/>
      <c r="AQ899" s="2"/>
      <c r="AR899" s="2"/>
    </row>
    <row r="900" ht="13.5" customHeight="1" spans="1:4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100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100"/>
      <c r="AO900" s="2"/>
      <c r="AP900" s="2"/>
      <c r="AQ900" s="2"/>
      <c r="AR900" s="2"/>
    </row>
    <row r="901" ht="13.5" customHeight="1" spans="1:4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100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100"/>
      <c r="AO901" s="2"/>
      <c r="AP901" s="2"/>
      <c r="AQ901" s="2"/>
      <c r="AR901" s="2"/>
    </row>
    <row r="902" ht="13.5" customHeight="1" spans="1:4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100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100"/>
      <c r="AO902" s="2"/>
      <c r="AP902" s="2"/>
      <c r="AQ902" s="2"/>
      <c r="AR902" s="2"/>
    </row>
    <row r="903" ht="13.5" customHeight="1" spans="1:4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100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100"/>
      <c r="AO903" s="2"/>
      <c r="AP903" s="2"/>
      <c r="AQ903" s="2"/>
      <c r="AR903" s="2"/>
    </row>
    <row r="904" ht="13.5" customHeight="1" spans="1:4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100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100"/>
      <c r="AO904" s="2"/>
      <c r="AP904" s="2"/>
      <c r="AQ904" s="2"/>
      <c r="AR904" s="2"/>
    </row>
    <row r="905" ht="13.5" customHeight="1" spans="1:4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100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100"/>
      <c r="AO905" s="2"/>
      <c r="AP905" s="2"/>
      <c r="AQ905" s="2"/>
      <c r="AR905" s="2"/>
    </row>
    <row r="906" ht="13.5" customHeight="1" spans="1:4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100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100"/>
      <c r="AO906" s="2"/>
      <c r="AP906" s="2"/>
      <c r="AQ906" s="2"/>
      <c r="AR906" s="2"/>
    </row>
    <row r="907" ht="13.5" customHeight="1" spans="1:4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100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100"/>
      <c r="AO907" s="2"/>
      <c r="AP907" s="2"/>
      <c r="AQ907" s="2"/>
      <c r="AR907" s="2"/>
    </row>
    <row r="908" ht="13.5" customHeight="1" spans="1:4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100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100"/>
      <c r="AO908" s="2"/>
      <c r="AP908" s="2"/>
      <c r="AQ908" s="2"/>
      <c r="AR908" s="2"/>
    </row>
    <row r="909" ht="13.5" customHeight="1" spans="1:4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100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100"/>
      <c r="AO909" s="2"/>
      <c r="AP909" s="2"/>
      <c r="AQ909" s="2"/>
      <c r="AR909" s="2"/>
    </row>
    <row r="910" ht="13.5" customHeight="1" spans="1:4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100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100"/>
      <c r="AO910" s="2"/>
      <c r="AP910" s="2"/>
      <c r="AQ910" s="2"/>
      <c r="AR910" s="2"/>
    </row>
    <row r="911" ht="13.5" customHeight="1" spans="1:44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100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100"/>
      <c r="AO911" s="2"/>
      <c r="AP911" s="2"/>
      <c r="AQ911" s="2"/>
      <c r="AR911" s="2"/>
    </row>
    <row r="912" ht="13.5" customHeight="1" spans="1:44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100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100"/>
      <c r="AO912" s="2"/>
      <c r="AP912" s="2"/>
      <c r="AQ912" s="2"/>
      <c r="AR912" s="2"/>
    </row>
    <row r="913" ht="13.5" customHeight="1" spans="1:44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100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100"/>
      <c r="AO913" s="2"/>
      <c r="AP913" s="2"/>
      <c r="AQ913" s="2"/>
      <c r="AR913" s="2"/>
    </row>
    <row r="914" ht="13.5" customHeight="1" spans="1:44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100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100"/>
      <c r="AO914" s="2"/>
      <c r="AP914" s="2"/>
      <c r="AQ914" s="2"/>
      <c r="AR914" s="2"/>
    </row>
    <row r="915" ht="13.5" customHeight="1" spans="1:44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100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100"/>
      <c r="AO915" s="2"/>
      <c r="AP915" s="2"/>
      <c r="AQ915" s="2"/>
      <c r="AR915" s="2"/>
    </row>
    <row r="916" ht="13.5" customHeight="1" spans="1:44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100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100"/>
      <c r="AO916" s="2"/>
      <c r="AP916" s="2"/>
      <c r="AQ916" s="2"/>
      <c r="AR916" s="2"/>
    </row>
    <row r="917" ht="13.5" customHeight="1" spans="1:44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100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100"/>
      <c r="AO917" s="2"/>
      <c r="AP917" s="2"/>
      <c r="AQ917" s="2"/>
      <c r="AR917" s="2"/>
    </row>
    <row r="918" ht="13.5" customHeight="1" spans="1:44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100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100"/>
      <c r="AO918" s="2"/>
      <c r="AP918" s="2"/>
      <c r="AQ918" s="2"/>
      <c r="AR918" s="2"/>
    </row>
    <row r="919" ht="13.5" customHeight="1" spans="1:44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100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100"/>
      <c r="AO919" s="2"/>
      <c r="AP919" s="2"/>
      <c r="AQ919" s="2"/>
      <c r="AR919" s="2"/>
    </row>
    <row r="920" ht="13.5" customHeight="1" spans="1:44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100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100"/>
      <c r="AO920" s="2"/>
      <c r="AP920" s="2"/>
      <c r="AQ920" s="2"/>
      <c r="AR920" s="2"/>
    </row>
    <row r="921" ht="13.5" customHeight="1" spans="1:44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100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100"/>
      <c r="AO921" s="2"/>
      <c r="AP921" s="2"/>
      <c r="AQ921" s="2"/>
      <c r="AR921" s="2"/>
    </row>
    <row r="922" ht="13.5" customHeight="1" spans="1:44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100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100"/>
      <c r="AO922" s="2"/>
      <c r="AP922" s="2"/>
      <c r="AQ922" s="2"/>
      <c r="AR922" s="2"/>
    </row>
    <row r="923" ht="13.5" customHeight="1" spans="1:44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100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100"/>
      <c r="AO923" s="2"/>
      <c r="AP923" s="2"/>
      <c r="AQ923" s="2"/>
      <c r="AR923" s="2"/>
    </row>
    <row r="924" ht="13.5" customHeight="1" spans="1:44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100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100"/>
      <c r="AO924" s="2"/>
      <c r="AP924" s="2"/>
      <c r="AQ924" s="2"/>
      <c r="AR924" s="2"/>
    </row>
    <row r="925" ht="13.5" customHeight="1" spans="1:44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100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100"/>
      <c r="AO925" s="2"/>
      <c r="AP925" s="2"/>
      <c r="AQ925" s="2"/>
      <c r="AR925" s="2"/>
    </row>
    <row r="926" ht="13.5" customHeight="1" spans="1:44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100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100"/>
      <c r="AO926" s="2"/>
      <c r="AP926" s="2"/>
      <c r="AQ926" s="2"/>
      <c r="AR926" s="2"/>
    </row>
    <row r="927" ht="13.5" customHeight="1" spans="1:44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100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100"/>
      <c r="AO927" s="2"/>
      <c r="AP927" s="2"/>
      <c r="AQ927" s="2"/>
      <c r="AR927" s="2"/>
    </row>
    <row r="928" ht="13.5" customHeight="1" spans="1:44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100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100"/>
      <c r="AO928" s="2"/>
      <c r="AP928" s="2"/>
      <c r="AQ928" s="2"/>
      <c r="AR928" s="2"/>
    </row>
    <row r="929" ht="13.5" customHeight="1" spans="1:44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100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100"/>
      <c r="AO929" s="2"/>
      <c r="AP929" s="2"/>
      <c r="AQ929" s="2"/>
      <c r="AR929" s="2"/>
    </row>
    <row r="930" ht="13.5" customHeight="1" spans="1:44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100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100"/>
      <c r="AO930" s="2"/>
      <c r="AP930" s="2"/>
      <c r="AQ930" s="2"/>
      <c r="AR930" s="2"/>
    </row>
    <row r="931" ht="13.5" customHeight="1" spans="1:44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100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100"/>
      <c r="AO931" s="2"/>
      <c r="AP931" s="2"/>
      <c r="AQ931" s="2"/>
      <c r="AR931" s="2"/>
    </row>
    <row r="932" ht="13.5" customHeight="1" spans="1:44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100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100"/>
      <c r="AO932" s="2"/>
      <c r="AP932" s="2"/>
      <c r="AQ932" s="2"/>
      <c r="AR932" s="2"/>
    </row>
    <row r="933" ht="13.5" customHeight="1" spans="1:44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100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100"/>
      <c r="AO933" s="2"/>
      <c r="AP933" s="2"/>
      <c r="AQ933" s="2"/>
      <c r="AR933" s="2"/>
    </row>
    <row r="934" ht="13.5" customHeight="1" spans="1:44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100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100"/>
      <c r="AO934" s="2"/>
      <c r="AP934" s="2"/>
      <c r="AQ934" s="2"/>
      <c r="AR934" s="2"/>
    </row>
    <row r="935" ht="13.5" customHeight="1" spans="1:44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100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100"/>
      <c r="AO935" s="2"/>
      <c r="AP935" s="2"/>
      <c r="AQ935" s="2"/>
      <c r="AR935" s="2"/>
    </row>
    <row r="936" ht="13.5" customHeight="1" spans="1:44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100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100"/>
      <c r="AO936" s="2"/>
      <c r="AP936" s="2"/>
      <c r="AQ936" s="2"/>
      <c r="AR936" s="2"/>
    </row>
    <row r="937" ht="13.5" customHeight="1" spans="1:44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100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100"/>
      <c r="AO937" s="2"/>
      <c r="AP937" s="2"/>
      <c r="AQ937" s="2"/>
      <c r="AR937" s="2"/>
    </row>
    <row r="938" ht="13.5" customHeight="1" spans="1:44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100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100"/>
      <c r="AO938" s="2"/>
      <c r="AP938" s="2"/>
      <c r="AQ938" s="2"/>
      <c r="AR938" s="2"/>
    </row>
    <row r="939" ht="13.5" customHeight="1" spans="1:44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100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100"/>
      <c r="AO939" s="2"/>
      <c r="AP939" s="2"/>
      <c r="AQ939" s="2"/>
      <c r="AR939" s="2"/>
    </row>
    <row r="940" ht="13.5" customHeight="1" spans="1:44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100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100"/>
      <c r="AO940" s="2"/>
      <c r="AP940" s="2"/>
      <c r="AQ940" s="2"/>
      <c r="AR940" s="2"/>
    </row>
    <row r="941" ht="13.5" customHeight="1" spans="1:44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100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100"/>
      <c r="AO941" s="2"/>
      <c r="AP941" s="2"/>
      <c r="AQ941" s="2"/>
      <c r="AR941" s="2"/>
    </row>
    <row r="942" ht="13.5" customHeight="1" spans="1:44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100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100"/>
      <c r="AO942" s="2"/>
      <c r="AP942" s="2"/>
      <c r="AQ942" s="2"/>
      <c r="AR942" s="2"/>
    </row>
    <row r="943" ht="13.5" customHeight="1" spans="1:44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100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100"/>
      <c r="AO943" s="2"/>
      <c r="AP943" s="2"/>
      <c r="AQ943" s="2"/>
      <c r="AR943" s="2"/>
    </row>
    <row r="944" ht="13.5" customHeight="1" spans="1:44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100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100"/>
      <c r="AO944" s="2"/>
      <c r="AP944" s="2"/>
      <c r="AQ944" s="2"/>
      <c r="AR944" s="2"/>
    </row>
    <row r="945" ht="13.5" customHeight="1" spans="1:44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100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100"/>
      <c r="AO945" s="2"/>
      <c r="AP945" s="2"/>
      <c r="AQ945" s="2"/>
      <c r="AR945" s="2"/>
    </row>
    <row r="946" ht="13.5" customHeight="1" spans="1:44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100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100"/>
      <c r="AO946" s="2"/>
      <c r="AP946" s="2"/>
      <c r="AQ946" s="2"/>
      <c r="AR946" s="2"/>
    </row>
    <row r="947" ht="13.5" customHeight="1" spans="1:44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100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100"/>
      <c r="AO947" s="2"/>
      <c r="AP947" s="2"/>
      <c r="AQ947" s="2"/>
      <c r="AR947" s="2"/>
    </row>
    <row r="948" ht="13.5" customHeight="1" spans="1:44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100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100"/>
      <c r="AO948" s="2"/>
      <c r="AP948" s="2"/>
      <c r="AQ948" s="2"/>
      <c r="AR948" s="2"/>
    </row>
    <row r="949" ht="13.5" customHeight="1" spans="1:44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100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100"/>
      <c r="AO949" s="2"/>
      <c r="AP949" s="2"/>
      <c r="AQ949" s="2"/>
      <c r="AR949" s="2"/>
    </row>
    <row r="950" ht="13.5" customHeight="1" spans="1:44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100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100"/>
      <c r="AO950" s="2"/>
      <c r="AP950" s="2"/>
      <c r="AQ950" s="2"/>
      <c r="AR950" s="2"/>
    </row>
    <row r="951" ht="13.5" customHeight="1" spans="1:44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100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100"/>
      <c r="AO951" s="2"/>
      <c r="AP951" s="2"/>
      <c r="AQ951" s="2"/>
      <c r="AR951" s="2"/>
    </row>
    <row r="952" ht="13.5" customHeight="1" spans="1:44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100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100"/>
      <c r="AO952" s="2"/>
      <c r="AP952" s="2"/>
      <c r="AQ952" s="2"/>
      <c r="AR952" s="2"/>
    </row>
    <row r="953" ht="13.5" customHeight="1" spans="1:44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100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100"/>
      <c r="AO953" s="2"/>
      <c r="AP953" s="2"/>
      <c r="AQ953" s="2"/>
      <c r="AR953" s="2"/>
    </row>
    <row r="954" ht="13.5" customHeight="1" spans="1:44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100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100"/>
      <c r="AO954" s="2"/>
      <c r="AP954" s="2"/>
      <c r="AQ954" s="2"/>
      <c r="AR954" s="2"/>
    </row>
    <row r="955" ht="13.5" customHeight="1" spans="1:44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100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100"/>
      <c r="AO955" s="2"/>
      <c r="AP955" s="2"/>
      <c r="AQ955" s="2"/>
      <c r="AR955" s="2"/>
    </row>
    <row r="956" ht="13.5" customHeight="1" spans="1:44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100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100"/>
      <c r="AO956" s="2"/>
      <c r="AP956" s="2"/>
      <c r="AQ956" s="2"/>
      <c r="AR956" s="2"/>
    </row>
    <row r="957" ht="13.5" customHeight="1" spans="1:44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100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100"/>
      <c r="AO957" s="2"/>
      <c r="AP957" s="2"/>
      <c r="AQ957" s="2"/>
      <c r="AR957" s="2"/>
    </row>
    <row r="958" ht="13.5" customHeight="1" spans="1:44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100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100"/>
      <c r="AO958" s="2"/>
      <c r="AP958" s="2"/>
      <c r="AQ958" s="2"/>
      <c r="AR958" s="2"/>
    </row>
    <row r="959" ht="13.5" customHeight="1" spans="1:44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100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100"/>
      <c r="AO959" s="2"/>
      <c r="AP959" s="2"/>
      <c r="AQ959" s="2"/>
      <c r="AR959" s="2"/>
    </row>
    <row r="960" ht="13.5" customHeight="1" spans="1:44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100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100"/>
      <c r="AO960" s="2"/>
      <c r="AP960" s="2"/>
      <c r="AQ960" s="2"/>
      <c r="AR960" s="2"/>
    </row>
    <row r="961" ht="13.5" customHeight="1" spans="1:44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100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100"/>
      <c r="AO961" s="2"/>
      <c r="AP961" s="2"/>
      <c r="AQ961" s="2"/>
      <c r="AR961" s="2"/>
    </row>
    <row r="962" ht="13.5" customHeight="1" spans="1:44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100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100"/>
      <c r="AO962" s="2"/>
      <c r="AP962" s="2"/>
      <c r="AQ962" s="2"/>
      <c r="AR962" s="2"/>
    </row>
    <row r="963" ht="13.5" customHeight="1" spans="1:44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100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100"/>
      <c r="AO963" s="2"/>
      <c r="AP963" s="2"/>
      <c r="AQ963" s="2"/>
      <c r="AR963" s="2"/>
    </row>
    <row r="964" ht="13.5" customHeight="1" spans="1:44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100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100"/>
      <c r="AO964" s="2"/>
      <c r="AP964" s="2"/>
      <c r="AQ964" s="2"/>
      <c r="AR964" s="2"/>
    </row>
    <row r="965" ht="13.5" customHeight="1" spans="1:44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100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100"/>
      <c r="AO965" s="2"/>
      <c r="AP965" s="2"/>
      <c r="AQ965" s="2"/>
      <c r="AR965" s="2"/>
    </row>
    <row r="966" ht="13.5" customHeight="1" spans="1:44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100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100"/>
      <c r="AO966" s="2"/>
      <c r="AP966" s="2"/>
      <c r="AQ966" s="2"/>
      <c r="AR966" s="2"/>
    </row>
    <row r="967" ht="13.5" customHeight="1" spans="1:44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100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100"/>
      <c r="AO967" s="2"/>
      <c r="AP967" s="2"/>
      <c r="AQ967" s="2"/>
      <c r="AR967" s="2"/>
    </row>
    <row r="968" ht="13.5" customHeight="1" spans="1:44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100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100"/>
      <c r="AO968" s="2"/>
      <c r="AP968" s="2"/>
      <c r="AQ968" s="2"/>
      <c r="AR968" s="2"/>
    </row>
    <row r="969" ht="13.5" customHeight="1" spans="1:44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100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100"/>
      <c r="AO969" s="2"/>
      <c r="AP969" s="2"/>
      <c r="AQ969" s="2"/>
      <c r="AR969" s="2"/>
    </row>
    <row r="970" ht="13.5" customHeight="1" spans="1:44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100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100"/>
      <c r="AO970" s="2"/>
      <c r="AP970" s="2"/>
      <c r="AQ970" s="2"/>
      <c r="AR970" s="2"/>
    </row>
    <row r="971" ht="13.5" customHeight="1" spans="1:44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100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100"/>
      <c r="AO971" s="2"/>
      <c r="AP971" s="2"/>
      <c r="AQ971" s="2"/>
      <c r="AR971" s="2"/>
    </row>
    <row r="972" ht="13.5" customHeight="1" spans="1:44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100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100"/>
      <c r="AO972" s="2"/>
      <c r="AP972" s="2"/>
      <c r="AQ972" s="2"/>
      <c r="AR972" s="2"/>
    </row>
    <row r="973" ht="13.5" customHeight="1" spans="1:44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100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100"/>
      <c r="AO973" s="2"/>
      <c r="AP973" s="2"/>
      <c r="AQ973" s="2"/>
      <c r="AR973" s="2"/>
    </row>
    <row r="974" ht="13.5" customHeight="1" spans="1:44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100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100"/>
      <c r="AO974" s="2"/>
      <c r="AP974" s="2"/>
      <c r="AQ974" s="2"/>
      <c r="AR974" s="2"/>
    </row>
    <row r="975" ht="13.5" customHeight="1" spans="1:44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100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100"/>
      <c r="AO975" s="2"/>
      <c r="AP975" s="2"/>
      <c r="AQ975" s="2"/>
      <c r="AR975" s="2"/>
    </row>
    <row r="976" ht="13.5" customHeight="1" spans="1:44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100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100"/>
      <c r="AO976" s="2"/>
      <c r="AP976" s="2"/>
      <c r="AQ976" s="2"/>
      <c r="AR976" s="2"/>
    </row>
    <row r="977" ht="13.5" customHeight="1" spans="1:44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100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100"/>
      <c r="AO977" s="2"/>
      <c r="AP977" s="2"/>
      <c r="AQ977" s="2"/>
      <c r="AR977" s="2"/>
    </row>
    <row r="978" ht="13.5" customHeight="1" spans="1:44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100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100"/>
      <c r="AO978" s="2"/>
      <c r="AP978" s="2"/>
      <c r="AQ978" s="2"/>
      <c r="AR978" s="2"/>
    </row>
    <row r="979" ht="13.5" customHeight="1" spans="1:44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100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100"/>
      <c r="AO979" s="2"/>
      <c r="AP979" s="2"/>
      <c r="AQ979" s="2"/>
      <c r="AR979" s="2"/>
    </row>
    <row r="980" ht="13.5" customHeight="1" spans="1:44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100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100"/>
      <c r="AO980" s="2"/>
      <c r="AP980" s="2"/>
      <c r="AQ980" s="2"/>
      <c r="AR980" s="2"/>
    </row>
    <row r="981" ht="13.5" customHeight="1" spans="1:44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100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100"/>
      <c r="AO981" s="2"/>
      <c r="AP981" s="2"/>
      <c r="AQ981" s="2"/>
      <c r="AR981" s="2"/>
    </row>
    <row r="982" ht="13.5" customHeight="1" spans="1:44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100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100"/>
      <c r="AO982" s="2"/>
      <c r="AP982" s="2"/>
      <c r="AQ982" s="2"/>
      <c r="AR982" s="2"/>
    </row>
    <row r="983" ht="13.5" customHeight="1" spans="1:44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100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100"/>
      <c r="AO983" s="2"/>
      <c r="AP983" s="2"/>
      <c r="AQ983" s="2"/>
      <c r="AR983" s="2"/>
    </row>
    <row r="984" ht="13.5" customHeight="1" spans="1:44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100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100"/>
      <c r="AO984" s="2"/>
      <c r="AP984" s="2"/>
      <c r="AQ984" s="2"/>
      <c r="AR984" s="2"/>
    </row>
    <row r="985" ht="13.5" customHeight="1" spans="1:44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100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100"/>
      <c r="AO985" s="2"/>
      <c r="AP985" s="2"/>
      <c r="AQ985" s="2"/>
      <c r="AR985" s="2"/>
    </row>
    <row r="986" ht="13.5" customHeight="1" spans="1:44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100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100"/>
      <c r="AO986" s="2"/>
      <c r="AP986" s="2"/>
      <c r="AQ986" s="2"/>
      <c r="AR986" s="2"/>
    </row>
    <row r="987" ht="13.5" customHeight="1" spans="1:44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100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100"/>
      <c r="AO987" s="2"/>
      <c r="AP987" s="2"/>
      <c r="AQ987" s="2"/>
      <c r="AR987" s="2"/>
    </row>
    <row r="988" ht="13.5" customHeight="1" spans="1:44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100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100"/>
      <c r="AO988" s="2"/>
      <c r="AP988" s="2"/>
      <c r="AQ988" s="2"/>
      <c r="AR988" s="2"/>
    </row>
    <row r="989" ht="13.5" customHeight="1" spans="1:44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100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100"/>
      <c r="AO989" s="2"/>
      <c r="AP989" s="2"/>
      <c r="AQ989" s="2"/>
      <c r="AR989" s="2"/>
    </row>
    <row r="990" ht="13.5" customHeight="1" spans="1:44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100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100"/>
      <c r="AO990" s="2"/>
      <c r="AP990" s="2"/>
      <c r="AQ990" s="2"/>
      <c r="AR990" s="2"/>
    </row>
    <row r="991" ht="13.5" customHeight="1" spans="1:44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100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100"/>
      <c r="AO991" s="2"/>
      <c r="AP991" s="2"/>
      <c r="AQ991" s="2"/>
      <c r="AR991" s="2"/>
    </row>
    <row r="992" ht="13.5" customHeight="1" spans="1:44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100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100"/>
      <c r="AO992" s="2"/>
      <c r="AP992" s="2"/>
      <c r="AQ992" s="2"/>
      <c r="AR992" s="2"/>
    </row>
    <row r="993" ht="13.5" customHeight="1" spans="1:44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100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100"/>
      <c r="AO993" s="2"/>
      <c r="AP993" s="2"/>
      <c r="AQ993" s="2"/>
      <c r="AR993" s="2"/>
    </row>
    <row r="994" ht="13.5" customHeight="1" spans="1:44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100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100"/>
      <c r="AO994" s="2"/>
      <c r="AP994" s="2"/>
      <c r="AQ994" s="2"/>
      <c r="AR994" s="2"/>
    </row>
    <row r="995" ht="13.5" customHeight="1" spans="1:44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100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100"/>
      <c r="AO995" s="2"/>
      <c r="AP995" s="2"/>
      <c r="AQ995" s="2"/>
      <c r="AR995" s="2"/>
    </row>
    <row r="996" ht="13.5" customHeight="1" spans="1:44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100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100"/>
      <c r="AO996" s="2"/>
      <c r="AP996" s="2"/>
      <c r="AQ996" s="2"/>
      <c r="AR996" s="2"/>
    </row>
    <row r="997" ht="13.5" customHeight="1" spans="1:44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100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100"/>
      <c r="AO997" s="2"/>
      <c r="AP997" s="2"/>
      <c r="AQ997" s="2"/>
      <c r="AR997" s="2"/>
    </row>
    <row r="998" ht="13.5" customHeight="1" spans="1:44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100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100"/>
      <c r="AO998" s="2"/>
      <c r="AP998" s="2"/>
      <c r="AQ998" s="2"/>
      <c r="AR998" s="2"/>
    </row>
    <row r="999" ht="13.5" customHeight="1" spans="1:44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100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100"/>
      <c r="AO999" s="2"/>
      <c r="AP999" s="2"/>
      <c r="AQ999" s="2"/>
      <c r="AR999" s="2"/>
    </row>
    <row r="1000" ht="13.5" customHeight="1" spans="1:44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100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100"/>
      <c r="AO1000" s="2"/>
      <c r="AP1000" s="2"/>
      <c r="AQ1000" s="2"/>
      <c r="AR1000" s="2"/>
    </row>
  </sheetData>
  <autoFilter ref="$A$6:$AO$62"/>
  <mergeCells count="13">
    <mergeCell ref="Q5:S5"/>
    <mergeCell ref="V5:Y5"/>
    <mergeCell ref="AE5:AH5"/>
    <mergeCell ref="AJ5:AM5"/>
    <mergeCell ref="V15:Y15"/>
    <mergeCell ref="AE15:AH15"/>
    <mergeCell ref="AJ15:AM15"/>
    <mergeCell ref="V29:Y29"/>
    <mergeCell ref="AE29:AH29"/>
    <mergeCell ref="AJ29:AM29"/>
    <mergeCell ref="V52:Y52"/>
    <mergeCell ref="AE52:AH52"/>
    <mergeCell ref="AJ52:AM52"/>
  </mergeCells>
  <conditionalFormatting sqref="U4">
    <cfRule type="containsText" dxfId="32" priority="1">
      <formula>NOT(ISERROR(SEARCH(("fals"),(U4))))</formula>
    </cfRule>
  </conditionalFormatting>
  <conditionalFormatting sqref="U4">
    <cfRule type="containsText" dxfId="33" priority="2">
      <formula>NOT(ISERROR(SEARCH(("TRUE"),(U4))))</formula>
    </cfRule>
  </conditionalFormatting>
  <conditionalFormatting sqref="U7 U17 U31 U54:U55">
    <cfRule type="containsText" dxfId="34" priority="3">
      <formula>NOT(ISERROR(SEARCH(("fals"),(U7))))</formula>
    </cfRule>
  </conditionalFormatting>
  <conditionalFormatting sqref="U7 U17 U31 U54:U55">
    <cfRule type="containsText" dxfId="35" priority="4">
      <formula>NOT(ISERROR(SEARCH(("TRUE"),(U7))))</formula>
    </cfRule>
  </conditionalFormatting>
  <conditionalFormatting sqref="AE7:AG12 AE17:AG26 AE31:AG50 AE54:AG62">
    <cfRule type="cellIs" dxfId="36" priority="5" operator="greaterThan">
      <formula>1.15</formula>
    </cfRule>
  </conditionalFormatting>
  <conditionalFormatting sqref="AE7:AG12 AE17:AG26 AE31:AG50 AE54:AG62">
    <cfRule type="cellIs" dxfId="37" priority="6" operator="lessThan">
      <formula>0.85</formula>
    </cfRule>
  </conditionalFormatting>
  <conditionalFormatting sqref="AJ1:AL1000 AM4">
    <cfRule type="cellIs" dxfId="38" priority="7" operator="lessThan">
      <formula>-0.15</formula>
    </cfRule>
  </conditionalFormatting>
  <conditionalFormatting sqref="AJ7:AM12 AJ17:AM26 AJ31:AM50 AJ54:AM62 AJ62:AL63 AM63">
    <cfRule type="cellIs" dxfId="39" priority="8" operator="greaterThan">
      <formula>0.15</formula>
    </cfRule>
  </conditionalFormatting>
  <hyperlinks>
    <hyperlink ref="AP7" r:id="rId1"/>
    <hyperlink ref="AP8" r:id="rId2"/>
    <hyperlink ref="AP9" r:id="rId3"/>
    <hyperlink ref="AP10" r:id="rId4"/>
    <hyperlink ref="AP17" r:id="rId5"/>
    <hyperlink ref="AP18" r:id="rId6"/>
    <hyperlink ref="AP19" r:id="rId7"/>
    <hyperlink ref="AP20" r:id="rId8"/>
    <hyperlink ref="AP21" r:id="rId9"/>
    <hyperlink ref="AP22" r:id="rId10"/>
    <hyperlink ref="AP23" r:id="rId11"/>
    <hyperlink ref="AP24" r:id="rId12"/>
    <hyperlink ref="AP31" r:id="rId13"/>
    <hyperlink ref="AP32" r:id="rId14"/>
    <hyperlink ref="AP33" r:id="rId15"/>
    <hyperlink ref="AP34" r:id="rId16"/>
    <hyperlink ref="AP35" r:id="rId17"/>
    <hyperlink ref="AP36" r:id="rId18"/>
    <hyperlink ref="AP37" r:id="rId19"/>
    <hyperlink ref="AP38" r:id="rId20"/>
    <hyperlink ref="AP39" r:id="rId21"/>
    <hyperlink ref="AP40" r:id="rId22"/>
    <hyperlink ref="AP41" r:id="rId23"/>
    <hyperlink ref="AP42" r:id="rId24"/>
    <hyperlink ref="AP43" r:id="rId25"/>
    <hyperlink ref="AP44" r:id="rId26"/>
    <hyperlink ref="AP45" r:id="rId27"/>
    <hyperlink ref="AP46" r:id="rId28"/>
    <hyperlink ref="AP47" r:id="rId29"/>
    <hyperlink ref="AP54" r:id="rId30"/>
    <hyperlink ref="AP55" r:id="rId31"/>
    <hyperlink ref="AP57" r:id="rId32"/>
    <hyperlink ref="AP58" r:id="rId33"/>
    <hyperlink ref="AP59" r:id="rId34"/>
    <hyperlink ref="AP61" r:id="rId35"/>
    <hyperlink ref="AP62" r:id="rId36"/>
  </hyperlink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000"/>
  <sheetViews>
    <sheetView workbookViewId="0" zoomScale="100" zoomScaleNormal="100">
      <pane xSplit="8" ySplit="13" topLeftCell="I14" activePane="bottomRight" state="frozen"/>
      <selection pane="bottomRight" activeCell="I14" sqref="I14"/>
    </sheetView>
  </sheetViews>
  <sheetFormatPr defaultRowHeight="15" outlineLevelRow="0" outlineLevelCol="1" x14ac:dyDescent="0" defaultColWidth="14.43"/>
  <cols>
    <col min="1" max="1" width="19" customWidth="1"/>
    <col min="2" max="2" width="15.71" customWidth="1"/>
    <col min="3" max="3" width="15.43" customWidth="1"/>
    <col min="4" max="4" width="11" customWidth="1"/>
    <col min="5" max="5" width="11.86" customWidth="1"/>
    <col min="6" max="6" width="16" customWidth="1"/>
    <col min="7" max="7" width="9.14" customWidth="1"/>
    <col min="8" max="8" width="7" customWidth="1"/>
    <col min="9" max="9" width="7.71" hidden="1" outlineLevel="1" collapsed="1" customWidth="1"/>
    <col min="10" max="39" width="5" hidden="1" outlineLevel="1" collapsed="1" customWidth="1"/>
    <col min="40" max="40" width="8.29" customWidth="1"/>
    <col min="41" max="71" width="5" hidden="1" outlineLevel="1" collapsed="1" customWidth="1"/>
    <col min="72" max="72" width="8.71" customWidth="1"/>
    <col min="73" max="103" width="5" hidden="1" outlineLevel="1" collapsed="1" customWidth="1"/>
    <col min="104" max="104" width="8.29" customWidth="1"/>
    <col min="105" max="135" width="5" hidden="1" outlineLevel="1" collapsed="1" customWidth="1"/>
    <col min="136" max="136" width="9.43" customWidth="1"/>
    <col min="137" max="137" width="9.29" customWidth="1"/>
    <col min="138" max="139" width="8.71" customWidth="1"/>
    <col min="140" max="140" width="14.71" customWidth="1"/>
    <col min="141" max="142" width="8.71" customWidth="1"/>
  </cols>
  <sheetData>
    <row r="1" ht="14.25" customHeight="1" spans="1:136" x14ac:dyDescent="0.25">
      <c r="A1" s="159" t="s">
        <v>267</v>
      </c>
      <c r="B1" s="160" t="s">
        <v>4</v>
      </c>
      <c r="C1" s="161" t="s">
        <v>268</v>
      </c>
      <c r="D1" s="161" t="s">
        <v>269</v>
      </c>
      <c r="E1" s="162" t="s">
        <v>270</v>
      </c>
      <c r="F1" s="163" t="s">
        <v>271</v>
      </c>
      <c r="G1" s="164" t="s">
        <v>272</v>
      </c>
      <c r="H1" s="165" t="s">
        <v>273</v>
      </c>
      <c r="I1" s="166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</row>
    <row r="2" ht="14.25" customHeight="1" spans="1:136" x14ac:dyDescent="0.25">
      <c r="A2" s="168" t="s">
        <v>274</v>
      </c>
      <c r="B2" s="169" t="s">
        <v>275</v>
      </c>
      <c r="C2" s="170" t="s">
        <v>173</v>
      </c>
      <c r="D2" s="171" t="s">
        <v>172</v>
      </c>
      <c r="E2" s="172">
        <v>2025121601</v>
      </c>
      <c r="F2" s="173">
        <v>6372</v>
      </c>
      <c r="G2" s="167">
        <v>659</v>
      </c>
      <c r="H2" s="174">
        <f t="shared" ref="H2:H5" si="0">F2-G2</f>
        <v>5713</v>
      </c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U2" s="167"/>
      <c r="DV2" s="167"/>
      <c r="DW2" s="167"/>
      <c r="DX2" s="167"/>
      <c r="DY2" s="167"/>
      <c r="DZ2" s="167"/>
      <c r="EA2" s="167"/>
      <c r="EB2" s="167"/>
      <c r="EC2" s="167"/>
      <c r="ED2" s="167"/>
      <c r="EE2" s="167"/>
      <c r="EF2" s="167"/>
    </row>
    <row r="3" ht="14.25" customHeight="1" spans="1:136" x14ac:dyDescent="0.25">
      <c r="A3" s="168" t="s">
        <v>276</v>
      </c>
      <c r="B3" s="169" t="s">
        <v>277</v>
      </c>
      <c r="C3" s="170" t="s">
        <v>173</v>
      </c>
      <c r="D3" s="171" t="s">
        <v>181</v>
      </c>
      <c r="E3" s="172">
        <v>2025121601</v>
      </c>
      <c r="F3" s="173">
        <v>741</v>
      </c>
      <c r="G3" s="167">
        <v>152</v>
      </c>
      <c r="H3" s="174">
        <f t="shared" si="0"/>
        <v>589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</row>
    <row r="4" ht="14.25" customHeight="1" spans="1:136" x14ac:dyDescent="0.25">
      <c r="A4" s="168" t="s">
        <v>278</v>
      </c>
      <c r="B4" s="169" t="s">
        <v>279</v>
      </c>
      <c r="C4" s="170" t="s">
        <v>173</v>
      </c>
      <c r="D4" s="171" t="s">
        <v>183</v>
      </c>
      <c r="E4" s="172">
        <v>2025121601</v>
      </c>
      <c r="F4" s="173">
        <v>1407</v>
      </c>
      <c r="G4" s="167">
        <v>140</v>
      </c>
      <c r="H4" s="174">
        <f t="shared" si="0"/>
        <v>1267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167"/>
      <c r="DA4" s="167"/>
      <c r="DB4" s="167"/>
      <c r="DC4" s="167"/>
      <c r="DD4" s="167"/>
      <c r="DE4" s="167"/>
      <c r="DF4" s="167"/>
      <c r="DG4" s="167"/>
      <c r="DH4" s="167"/>
      <c r="DI4" s="167"/>
      <c r="DJ4" s="167"/>
      <c r="DK4" s="167"/>
      <c r="DL4" s="167"/>
      <c r="DM4" s="167"/>
      <c r="DN4" s="167"/>
      <c r="DO4" s="167"/>
      <c r="DP4" s="167"/>
      <c r="DQ4" s="167"/>
      <c r="DR4" s="167"/>
      <c r="DS4" s="167"/>
      <c r="DT4" s="167"/>
      <c r="DU4" s="167"/>
      <c r="DV4" s="167"/>
      <c r="DW4" s="167"/>
      <c r="DX4" s="167"/>
      <c r="DY4" s="167"/>
      <c r="DZ4" s="167"/>
      <c r="EA4" s="167"/>
      <c r="EB4" s="167"/>
      <c r="EC4" s="167"/>
      <c r="ED4" s="167"/>
      <c r="EE4" s="167"/>
      <c r="EF4" s="167"/>
    </row>
    <row r="5" ht="14.25" customHeight="1" spans="1:136" x14ac:dyDescent="0.25">
      <c r="A5" s="168" t="s">
        <v>280</v>
      </c>
      <c r="B5" s="169" t="s">
        <v>281</v>
      </c>
      <c r="C5" s="170" t="s">
        <v>173</v>
      </c>
      <c r="D5" s="171" t="s">
        <v>189</v>
      </c>
      <c r="E5" s="172">
        <v>2025121601</v>
      </c>
      <c r="F5" s="173">
        <v>2911</v>
      </c>
      <c r="G5" s="167">
        <v>289</v>
      </c>
      <c r="H5" s="174">
        <f t="shared" si="0"/>
        <v>2622</v>
      </c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7"/>
      <c r="CB5" s="167"/>
      <c r="CC5" s="167"/>
      <c r="CD5" s="167"/>
      <c r="CE5" s="167"/>
      <c r="CF5" s="167"/>
      <c r="CG5" s="167"/>
      <c r="CH5" s="167"/>
      <c r="CI5" s="167"/>
      <c r="CJ5" s="167"/>
      <c r="CK5" s="167"/>
      <c r="CL5" s="167"/>
      <c r="CM5" s="167"/>
      <c r="CN5" s="167"/>
      <c r="CO5" s="167"/>
      <c r="CP5" s="167"/>
      <c r="CQ5" s="167"/>
      <c r="CR5" s="167"/>
      <c r="CS5" s="167"/>
      <c r="CT5" s="167"/>
      <c r="CU5" s="167"/>
      <c r="CV5" s="167"/>
      <c r="CW5" s="167"/>
      <c r="CX5" s="167"/>
      <c r="CY5" s="167"/>
      <c r="CZ5" s="167"/>
      <c r="DA5" s="167"/>
      <c r="DB5" s="167"/>
      <c r="DC5" s="167"/>
      <c r="DD5" s="167"/>
      <c r="DE5" s="167"/>
      <c r="DF5" s="167"/>
      <c r="DG5" s="167"/>
      <c r="DH5" s="167"/>
      <c r="DI5" s="167"/>
      <c r="DJ5" s="167"/>
      <c r="DK5" s="167"/>
      <c r="DL5" s="167"/>
      <c r="DM5" s="167"/>
      <c r="DN5" s="167"/>
      <c r="DO5" s="167"/>
      <c r="DP5" s="167"/>
      <c r="DQ5" s="167"/>
      <c r="DR5" s="167"/>
      <c r="DS5" s="167"/>
      <c r="DT5" s="167"/>
      <c r="DU5" s="167"/>
      <c r="DV5" s="167"/>
      <c r="DW5" s="167"/>
      <c r="DX5" s="167"/>
      <c r="DY5" s="167"/>
      <c r="DZ5" s="167"/>
      <c r="EA5" s="167"/>
      <c r="EB5" s="167"/>
      <c r="EC5" s="167"/>
      <c r="ED5" s="167"/>
      <c r="EE5" s="167"/>
      <c r="EF5" s="167"/>
    </row>
    <row r="6" ht="14.25" customHeight="1" hidden="1" spans="1:136" x14ac:dyDescent="0.25">
      <c r="A6" s="168" t="s">
        <v>282</v>
      </c>
      <c r="B6" s="133" t="s">
        <v>283</v>
      </c>
      <c r="C6" s="175"/>
      <c r="D6" s="175"/>
      <c r="E6" s="175"/>
      <c r="F6" s="175"/>
      <c r="G6" s="175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67"/>
      <c r="DF6" s="167"/>
      <c r="DG6" s="167"/>
      <c r="DH6" s="167"/>
      <c r="DI6" s="167"/>
      <c r="DJ6" s="167"/>
      <c r="DK6" s="167"/>
      <c r="DL6" s="167"/>
      <c r="DM6" s="167"/>
      <c r="DN6" s="167"/>
      <c r="DO6" s="167"/>
      <c r="DP6" s="167"/>
      <c r="DQ6" s="167"/>
      <c r="DR6" s="167"/>
      <c r="DS6" s="167"/>
      <c r="DT6" s="167"/>
      <c r="DU6" s="167"/>
      <c r="DV6" s="167"/>
      <c r="DW6" s="167"/>
      <c r="DX6" s="167"/>
      <c r="DY6" s="167"/>
      <c r="DZ6" s="167"/>
      <c r="EA6" s="167"/>
      <c r="EB6" s="167"/>
      <c r="EC6" s="167"/>
      <c r="ED6" s="167"/>
      <c r="EE6" s="167"/>
      <c r="EF6" s="167"/>
    </row>
    <row r="7" ht="14.25" customHeight="1" hidden="1" spans="1:136" x14ac:dyDescent="0.25">
      <c r="A7" s="168" t="s">
        <v>284</v>
      </c>
      <c r="B7" s="133" t="s">
        <v>285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  <c r="DX7" s="167"/>
      <c r="DY7" s="167"/>
      <c r="DZ7" s="167"/>
      <c r="EA7" s="167"/>
      <c r="EB7" s="167"/>
      <c r="EC7" s="167"/>
      <c r="ED7" s="167"/>
      <c r="EE7" s="167"/>
      <c r="EF7" s="167"/>
    </row>
    <row r="8" ht="14.25" customHeight="1" hidden="1" spans="1:136" x14ac:dyDescent="0.25">
      <c r="A8" s="168" t="s">
        <v>286</v>
      </c>
      <c r="B8" s="133" t="s">
        <v>287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67"/>
      <c r="DF8" s="167"/>
      <c r="DG8" s="167"/>
      <c r="DH8" s="167"/>
      <c r="DI8" s="167"/>
      <c r="DJ8" s="167"/>
      <c r="DK8" s="167"/>
      <c r="DL8" s="167"/>
      <c r="DM8" s="167"/>
      <c r="DN8" s="167"/>
      <c r="DO8" s="167"/>
      <c r="DP8" s="167"/>
      <c r="DQ8" s="167"/>
      <c r="DR8" s="167"/>
      <c r="DS8" s="167"/>
      <c r="DT8" s="167"/>
      <c r="DU8" s="167"/>
      <c r="DV8" s="167"/>
      <c r="DW8" s="167"/>
      <c r="DX8" s="167"/>
      <c r="DY8" s="167"/>
      <c r="DZ8" s="167"/>
      <c r="EA8" s="167"/>
      <c r="EB8" s="167"/>
      <c r="EC8" s="167"/>
      <c r="ED8" s="167"/>
      <c r="EE8" s="167"/>
      <c r="EF8" s="167"/>
    </row>
    <row r="9" ht="14.25" customHeight="1" hidden="1" spans="1:136" x14ac:dyDescent="0.25">
      <c r="A9" s="168" t="s">
        <v>288</v>
      </c>
      <c r="B9" s="133" t="s">
        <v>289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  <c r="CO9" s="167"/>
      <c r="CP9" s="167"/>
      <c r="CQ9" s="167"/>
      <c r="CR9" s="167"/>
      <c r="CS9" s="167"/>
      <c r="CT9" s="167"/>
      <c r="CU9" s="167"/>
      <c r="CV9" s="167"/>
      <c r="CW9" s="167"/>
      <c r="CX9" s="167"/>
      <c r="CY9" s="167"/>
      <c r="CZ9" s="167"/>
      <c r="DA9" s="167"/>
      <c r="DB9" s="167"/>
      <c r="DC9" s="167"/>
      <c r="DD9" s="167"/>
      <c r="DE9" s="167"/>
      <c r="DF9" s="167"/>
      <c r="DG9" s="167"/>
      <c r="DH9" s="167"/>
      <c r="DI9" s="167"/>
      <c r="DJ9" s="167"/>
      <c r="DK9" s="167"/>
      <c r="DL9" s="167"/>
      <c r="DM9" s="167"/>
      <c r="DN9" s="167"/>
      <c r="DO9" s="167"/>
      <c r="DP9" s="167"/>
      <c r="DQ9" s="167"/>
      <c r="DR9" s="167"/>
      <c r="DS9" s="167"/>
      <c r="DT9" s="167"/>
      <c r="DU9" s="167"/>
      <c r="DV9" s="167"/>
      <c r="DW9" s="167"/>
      <c r="DX9" s="167"/>
      <c r="DY9" s="167"/>
      <c r="DZ9" s="167"/>
      <c r="EA9" s="167"/>
      <c r="EB9" s="167"/>
      <c r="EC9" s="167"/>
      <c r="ED9" s="167"/>
      <c r="EE9" s="167"/>
      <c r="EF9" s="167"/>
    </row>
    <row r="10" ht="14.25" customHeight="1" hidden="1" spans="1:136" x14ac:dyDescent="0.25">
      <c r="A10" s="168" t="s">
        <v>290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</row>
    <row r="11" ht="14.25" customHeight="1" hidden="1" spans="1:136" x14ac:dyDescent="0.25">
      <c r="A11" s="159" t="s">
        <v>291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</row>
    <row r="12" ht="14.25" customHeight="1" spans="1:136" x14ac:dyDescent="0.2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33" t="s">
        <v>292</v>
      </c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33" t="s">
        <v>141</v>
      </c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33" t="s">
        <v>142</v>
      </c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33" t="s">
        <v>143</v>
      </c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</row>
    <row r="13" ht="14.25" customHeight="1" spans="1:136" x14ac:dyDescent="0.25">
      <c r="A13" s="176" t="s">
        <v>293</v>
      </c>
      <c r="B13" s="176" t="s">
        <v>294</v>
      </c>
      <c r="C13" s="176" t="s">
        <v>295</v>
      </c>
      <c r="D13" s="176" t="s">
        <v>296</v>
      </c>
      <c r="E13" s="176" t="s">
        <v>297</v>
      </c>
      <c r="F13" s="176" t="s">
        <v>298</v>
      </c>
      <c r="G13" s="176" t="s">
        <v>299</v>
      </c>
      <c r="H13" s="176" t="s">
        <v>300</v>
      </c>
      <c r="I13" s="176" t="s">
        <v>301</v>
      </c>
      <c r="J13" s="176" t="s">
        <v>302</v>
      </c>
      <c r="K13" s="176" t="s">
        <v>303</v>
      </c>
      <c r="L13" s="176" t="s">
        <v>304</v>
      </c>
      <c r="M13" s="176" t="s">
        <v>305</v>
      </c>
      <c r="N13" s="176" t="s">
        <v>306</v>
      </c>
      <c r="O13" s="176" t="s">
        <v>307</v>
      </c>
      <c r="P13" s="176" t="s">
        <v>308</v>
      </c>
      <c r="Q13" s="176" t="s">
        <v>309</v>
      </c>
      <c r="R13" s="176" t="s">
        <v>310</v>
      </c>
      <c r="S13" s="176" t="s">
        <v>311</v>
      </c>
      <c r="T13" s="176" t="s">
        <v>312</v>
      </c>
      <c r="U13" s="176" t="s">
        <v>313</v>
      </c>
      <c r="V13" s="176" t="s">
        <v>314</v>
      </c>
      <c r="W13" s="176" t="s">
        <v>315</v>
      </c>
      <c r="X13" s="176" t="s">
        <v>316</v>
      </c>
      <c r="Y13" s="176" t="s">
        <v>317</v>
      </c>
      <c r="Z13" s="176" t="s">
        <v>318</v>
      </c>
      <c r="AA13" s="176" t="s">
        <v>319</v>
      </c>
      <c r="AB13" s="176" t="s">
        <v>320</v>
      </c>
      <c r="AC13" s="176" t="s">
        <v>321</v>
      </c>
      <c r="AD13" s="176" t="s">
        <v>322</v>
      </c>
      <c r="AE13" s="176" t="s">
        <v>323</v>
      </c>
      <c r="AF13" s="176" t="s">
        <v>324</v>
      </c>
      <c r="AG13" s="176" t="s">
        <v>325</v>
      </c>
      <c r="AH13" s="176" t="s">
        <v>326</v>
      </c>
      <c r="AI13" s="176" t="s">
        <v>327</v>
      </c>
      <c r="AJ13" s="176" t="s">
        <v>328</v>
      </c>
      <c r="AK13" s="176" t="s">
        <v>329</v>
      </c>
      <c r="AL13" s="176" t="s">
        <v>330</v>
      </c>
      <c r="AM13" s="176" t="s">
        <v>331</v>
      </c>
      <c r="AN13" s="176" t="s">
        <v>292</v>
      </c>
      <c r="AO13" s="176" t="s">
        <v>301</v>
      </c>
      <c r="AP13" s="176" t="s">
        <v>302</v>
      </c>
      <c r="AQ13" s="176" t="s">
        <v>303</v>
      </c>
      <c r="AR13" s="176" t="s">
        <v>304</v>
      </c>
      <c r="AS13" s="176" t="s">
        <v>305</v>
      </c>
      <c r="AT13" s="176" t="s">
        <v>306</v>
      </c>
      <c r="AU13" s="176" t="s">
        <v>307</v>
      </c>
      <c r="AV13" s="176" t="s">
        <v>308</v>
      </c>
      <c r="AW13" s="176" t="s">
        <v>309</v>
      </c>
      <c r="AX13" s="176" t="s">
        <v>310</v>
      </c>
      <c r="AY13" s="176" t="s">
        <v>311</v>
      </c>
      <c r="AZ13" s="176" t="s">
        <v>312</v>
      </c>
      <c r="BA13" s="176" t="s">
        <v>313</v>
      </c>
      <c r="BB13" s="176" t="s">
        <v>314</v>
      </c>
      <c r="BC13" s="176" t="s">
        <v>315</v>
      </c>
      <c r="BD13" s="176" t="s">
        <v>316</v>
      </c>
      <c r="BE13" s="176" t="s">
        <v>317</v>
      </c>
      <c r="BF13" s="176" t="s">
        <v>318</v>
      </c>
      <c r="BG13" s="176" t="s">
        <v>319</v>
      </c>
      <c r="BH13" s="176" t="s">
        <v>320</v>
      </c>
      <c r="BI13" s="176" t="s">
        <v>321</v>
      </c>
      <c r="BJ13" s="176" t="s">
        <v>322</v>
      </c>
      <c r="BK13" s="176" t="s">
        <v>323</v>
      </c>
      <c r="BL13" s="176" t="s">
        <v>324</v>
      </c>
      <c r="BM13" s="176" t="s">
        <v>325</v>
      </c>
      <c r="BN13" s="176" t="s">
        <v>326</v>
      </c>
      <c r="BO13" s="176" t="s">
        <v>327</v>
      </c>
      <c r="BP13" s="176" t="s">
        <v>328</v>
      </c>
      <c r="BQ13" s="176" t="s">
        <v>329</v>
      </c>
      <c r="BR13" s="176" t="s">
        <v>330</v>
      </c>
      <c r="BS13" s="176" t="s">
        <v>331</v>
      </c>
      <c r="BT13" s="176" t="s">
        <v>141</v>
      </c>
      <c r="BU13" s="176" t="s">
        <v>301</v>
      </c>
      <c r="BV13" s="176" t="s">
        <v>302</v>
      </c>
      <c r="BW13" s="176" t="s">
        <v>303</v>
      </c>
      <c r="BX13" s="176" t="s">
        <v>304</v>
      </c>
      <c r="BY13" s="176" t="s">
        <v>305</v>
      </c>
      <c r="BZ13" s="176" t="s">
        <v>306</v>
      </c>
      <c r="CA13" s="176" t="s">
        <v>307</v>
      </c>
      <c r="CB13" s="176" t="s">
        <v>308</v>
      </c>
      <c r="CC13" s="176" t="s">
        <v>309</v>
      </c>
      <c r="CD13" s="176" t="s">
        <v>310</v>
      </c>
      <c r="CE13" s="176" t="s">
        <v>311</v>
      </c>
      <c r="CF13" s="176" t="s">
        <v>312</v>
      </c>
      <c r="CG13" s="176" t="s">
        <v>313</v>
      </c>
      <c r="CH13" s="176" t="s">
        <v>314</v>
      </c>
      <c r="CI13" s="176" t="s">
        <v>315</v>
      </c>
      <c r="CJ13" s="176" t="s">
        <v>316</v>
      </c>
      <c r="CK13" s="176" t="s">
        <v>317</v>
      </c>
      <c r="CL13" s="176" t="s">
        <v>318</v>
      </c>
      <c r="CM13" s="176" t="s">
        <v>319</v>
      </c>
      <c r="CN13" s="176" t="s">
        <v>320</v>
      </c>
      <c r="CO13" s="176" t="s">
        <v>321</v>
      </c>
      <c r="CP13" s="176" t="s">
        <v>322</v>
      </c>
      <c r="CQ13" s="176" t="s">
        <v>323</v>
      </c>
      <c r="CR13" s="176" t="s">
        <v>324</v>
      </c>
      <c r="CS13" s="176" t="s">
        <v>325</v>
      </c>
      <c r="CT13" s="176" t="s">
        <v>326</v>
      </c>
      <c r="CU13" s="176" t="s">
        <v>327</v>
      </c>
      <c r="CV13" s="176" t="s">
        <v>328</v>
      </c>
      <c r="CW13" s="176" t="s">
        <v>329</v>
      </c>
      <c r="CX13" s="176" t="s">
        <v>330</v>
      </c>
      <c r="CY13" s="176" t="s">
        <v>331</v>
      </c>
      <c r="CZ13" s="176" t="s">
        <v>142</v>
      </c>
      <c r="DA13" s="176" t="s">
        <v>301</v>
      </c>
      <c r="DB13" s="176" t="s">
        <v>302</v>
      </c>
      <c r="DC13" s="176" t="s">
        <v>303</v>
      </c>
      <c r="DD13" s="176" t="s">
        <v>304</v>
      </c>
      <c r="DE13" s="176" t="s">
        <v>305</v>
      </c>
      <c r="DF13" s="176" t="s">
        <v>306</v>
      </c>
      <c r="DG13" s="176" t="s">
        <v>307</v>
      </c>
      <c r="DH13" s="176" t="s">
        <v>308</v>
      </c>
      <c r="DI13" s="176" t="s">
        <v>309</v>
      </c>
      <c r="DJ13" s="176" t="s">
        <v>310</v>
      </c>
      <c r="DK13" s="176" t="s">
        <v>311</v>
      </c>
      <c r="DL13" s="176" t="s">
        <v>312</v>
      </c>
      <c r="DM13" s="176" t="s">
        <v>313</v>
      </c>
      <c r="DN13" s="176" t="s">
        <v>314</v>
      </c>
      <c r="DO13" s="176" t="s">
        <v>315</v>
      </c>
      <c r="DP13" s="176" t="s">
        <v>316</v>
      </c>
      <c r="DQ13" s="176" t="s">
        <v>317</v>
      </c>
      <c r="DR13" s="176" t="s">
        <v>318</v>
      </c>
      <c r="DS13" s="176" t="s">
        <v>319</v>
      </c>
      <c r="DT13" s="176" t="s">
        <v>320</v>
      </c>
      <c r="DU13" s="176" t="s">
        <v>321</v>
      </c>
      <c r="DV13" s="176" t="s">
        <v>322</v>
      </c>
      <c r="DW13" s="176" t="s">
        <v>323</v>
      </c>
      <c r="DX13" s="176" t="s">
        <v>324</v>
      </c>
      <c r="DY13" s="176" t="s">
        <v>325</v>
      </c>
      <c r="DZ13" s="176" t="s">
        <v>326</v>
      </c>
      <c r="EA13" s="176" t="s">
        <v>327</v>
      </c>
      <c r="EB13" s="176" t="s">
        <v>328</v>
      </c>
      <c r="EC13" s="176" t="s">
        <v>329</v>
      </c>
      <c r="ED13" s="176" t="s">
        <v>330</v>
      </c>
      <c r="EE13" s="176" t="s">
        <v>331</v>
      </c>
      <c r="EF13" s="176" t="s">
        <v>143</v>
      </c>
    </row>
    <row r="14" ht="14.25" customHeight="1" spans="1:200" x14ac:dyDescent="0.25">
      <c r="A14" s="177" t="s">
        <v>150</v>
      </c>
      <c r="B14" s="177" t="s">
        <v>172</v>
      </c>
      <c r="C14" s="177" t="s">
        <v>173</v>
      </c>
      <c r="D14" s="177" t="s">
        <v>332</v>
      </c>
      <c r="E14" s="177" t="s">
        <v>333</v>
      </c>
      <c r="F14" s="177" t="s">
        <v>174</v>
      </c>
      <c r="G14" s="177" t="s">
        <v>154</v>
      </c>
      <c r="H14" s="178">
        <v>25</v>
      </c>
      <c r="I14" s="178">
        <v>0</v>
      </c>
      <c r="J14" s="178">
        <v>87</v>
      </c>
      <c r="K14" s="178">
        <v>85</v>
      </c>
      <c r="L14" s="178">
        <v>79</v>
      </c>
      <c r="M14" s="178">
        <v>83</v>
      </c>
      <c r="N14" s="178">
        <v>83</v>
      </c>
      <c r="O14" s="178">
        <v>0</v>
      </c>
      <c r="P14" s="178">
        <v>0</v>
      </c>
      <c r="Q14" s="178">
        <v>88</v>
      </c>
      <c r="R14" s="178">
        <v>89</v>
      </c>
      <c r="S14" s="178">
        <v>88</v>
      </c>
      <c r="T14" s="178">
        <v>92</v>
      </c>
      <c r="U14" s="178">
        <v>90</v>
      </c>
      <c r="V14" s="178">
        <v>77</v>
      </c>
      <c r="W14" s="178">
        <v>0</v>
      </c>
      <c r="X14" s="178">
        <v>91</v>
      </c>
      <c r="Y14" s="178">
        <v>91</v>
      </c>
      <c r="Z14" s="178">
        <v>88</v>
      </c>
      <c r="AA14" s="178">
        <v>93</v>
      </c>
      <c r="AB14" s="178">
        <v>85</v>
      </c>
      <c r="AC14" s="178">
        <v>0</v>
      </c>
      <c r="AD14" s="178">
        <v>0</v>
      </c>
      <c r="AE14" s="178">
        <v>85</v>
      </c>
      <c r="AF14" s="178">
        <v>89</v>
      </c>
      <c r="AG14" s="178">
        <v>76</v>
      </c>
      <c r="AH14" s="178">
        <v>84</v>
      </c>
      <c r="AI14" s="178">
        <v>84</v>
      </c>
      <c r="AJ14" s="178">
        <v>84</v>
      </c>
      <c r="AK14" s="178">
        <v>0</v>
      </c>
      <c r="AL14" s="178">
        <v>0</v>
      </c>
      <c r="AM14" s="178">
        <v>0</v>
      </c>
      <c r="AN14" s="178">
        <v>1891</v>
      </c>
      <c r="AO14" s="178">
        <v>0</v>
      </c>
      <c r="AP14" s="178">
        <v>0</v>
      </c>
      <c r="AQ14" s="178">
        <v>0</v>
      </c>
      <c r="AR14" s="178">
        <v>83</v>
      </c>
      <c r="AS14" s="178">
        <v>84</v>
      </c>
      <c r="AT14" s="178">
        <v>83</v>
      </c>
      <c r="AU14" s="178">
        <v>39</v>
      </c>
      <c r="AV14" s="178">
        <v>0</v>
      </c>
      <c r="AW14" s="178">
        <v>79</v>
      </c>
      <c r="AX14" s="178">
        <v>79</v>
      </c>
      <c r="AY14" s="178">
        <v>79</v>
      </c>
      <c r="AZ14" s="178">
        <v>80</v>
      </c>
      <c r="BA14" s="178">
        <v>70</v>
      </c>
      <c r="BB14" s="178">
        <v>65</v>
      </c>
      <c r="BC14" s="178">
        <v>0</v>
      </c>
      <c r="BD14" s="178">
        <v>77</v>
      </c>
      <c r="BE14" s="178">
        <v>80</v>
      </c>
      <c r="BF14" s="178">
        <v>67</v>
      </c>
      <c r="BG14" s="178">
        <v>77</v>
      </c>
      <c r="BH14" s="178">
        <v>76</v>
      </c>
      <c r="BI14" s="178">
        <v>73</v>
      </c>
      <c r="BJ14" s="178">
        <v>0</v>
      </c>
      <c r="BK14" s="178">
        <v>72</v>
      </c>
      <c r="BL14" s="178">
        <v>69</v>
      </c>
      <c r="BM14" s="178">
        <v>55</v>
      </c>
      <c r="BN14" s="178">
        <v>68</v>
      </c>
      <c r="BO14" s="178">
        <v>61</v>
      </c>
      <c r="BP14" s="178">
        <v>49</v>
      </c>
      <c r="BQ14" s="178">
        <v>0</v>
      </c>
      <c r="BR14" s="178">
        <v>61</v>
      </c>
      <c r="BS14" s="178">
        <v>51</v>
      </c>
      <c r="BT14" s="178">
        <v>1677</v>
      </c>
      <c r="BU14" s="178">
        <v>50</v>
      </c>
      <c r="BV14" s="178">
        <v>50</v>
      </c>
      <c r="BW14" s="178">
        <v>50</v>
      </c>
      <c r="BX14" s="178">
        <v>25</v>
      </c>
      <c r="BY14" s="178">
        <v>0</v>
      </c>
      <c r="BZ14" s="178">
        <v>50</v>
      </c>
      <c r="CA14" s="178">
        <v>50</v>
      </c>
      <c r="CB14" s="178">
        <v>50</v>
      </c>
      <c r="CC14" s="178">
        <v>50</v>
      </c>
      <c r="CD14" s="178">
        <v>49</v>
      </c>
      <c r="CE14" s="178">
        <v>0</v>
      </c>
      <c r="CF14" s="178">
        <v>0</v>
      </c>
      <c r="CG14" s="178">
        <v>0</v>
      </c>
      <c r="CH14" s="178">
        <v>0</v>
      </c>
      <c r="CI14" s="178">
        <v>0</v>
      </c>
      <c r="CJ14" s="178">
        <v>0</v>
      </c>
      <c r="CK14" s="178">
        <v>0</v>
      </c>
      <c r="CL14" s="178">
        <v>0</v>
      </c>
      <c r="CM14" s="178">
        <v>0</v>
      </c>
      <c r="CN14" s="178">
        <v>50</v>
      </c>
      <c r="CO14" s="178">
        <v>49</v>
      </c>
      <c r="CP14" s="178">
        <v>50</v>
      </c>
      <c r="CQ14" s="178">
        <v>49</v>
      </c>
      <c r="CR14" s="178">
        <v>50</v>
      </c>
      <c r="CS14" s="178">
        <v>49</v>
      </c>
      <c r="CT14" s="178">
        <v>0</v>
      </c>
      <c r="CU14" s="178">
        <v>50</v>
      </c>
      <c r="CV14" s="178">
        <v>49</v>
      </c>
      <c r="CW14" s="178">
        <v>50</v>
      </c>
      <c r="CX14" s="178">
        <v>49</v>
      </c>
      <c r="CY14" s="178">
        <v>0</v>
      </c>
      <c r="CZ14" s="178">
        <v>919</v>
      </c>
      <c r="DA14" s="179">
        <v>0</v>
      </c>
      <c r="DB14" s="179">
        <v>0</v>
      </c>
      <c r="DC14" s="179">
        <v>0</v>
      </c>
      <c r="DD14" s="179">
        <v>0</v>
      </c>
      <c r="DE14" s="179">
        <v>0</v>
      </c>
      <c r="DF14" s="179">
        <v>0</v>
      </c>
      <c r="DG14" s="179">
        <v>0</v>
      </c>
      <c r="DH14" s="179">
        <v>0</v>
      </c>
      <c r="DI14" s="179">
        <v>0</v>
      </c>
      <c r="DJ14" s="179">
        <v>0</v>
      </c>
      <c r="DK14" s="179">
        <v>0</v>
      </c>
      <c r="DL14" s="179">
        <v>0</v>
      </c>
      <c r="DM14" s="179">
        <v>0</v>
      </c>
      <c r="DN14" s="179">
        <v>0</v>
      </c>
      <c r="DO14" s="179">
        <v>0</v>
      </c>
      <c r="DP14" s="179">
        <v>0</v>
      </c>
      <c r="DQ14" s="179">
        <v>0</v>
      </c>
      <c r="DR14" s="179">
        <v>0</v>
      </c>
      <c r="DS14" s="179">
        <v>0</v>
      </c>
      <c r="DT14" s="179">
        <v>0</v>
      </c>
      <c r="DU14" s="179">
        <v>0</v>
      </c>
      <c r="DV14" s="179">
        <v>0</v>
      </c>
      <c r="DW14" s="179">
        <v>0</v>
      </c>
      <c r="DX14" s="179">
        <v>0</v>
      </c>
      <c r="DY14" s="179">
        <v>0</v>
      </c>
      <c r="DZ14" s="179">
        <v>0</v>
      </c>
      <c r="EA14" s="179">
        <v>0</v>
      </c>
      <c r="EB14" s="179">
        <v>0</v>
      </c>
      <c r="EC14" s="179">
        <v>0</v>
      </c>
      <c r="ED14" s="179">
        <v>0</v>
      </c>
      <c r="EE14" s="179">
        <v>0</v>
      </c>
      <c r="EF14" s="178">
        <v>0</v>
      </c>
      <c r="EI14" s="136"/>
      <c r="EJ14" s="116"/>
      <c r="EL14" s="136" t="b">
        <f t="shared" ref="EL14:EL21" si="1">EJ14=A14</f>
        <v>1</v>
      </c>
    </row>
    <row r="15" ht="14.25" customHeight="1" spans="1:200" x14ac:dyDescent="0.25">
      <c r="A15" s="177" t="s">
        <v>22</v>
      </c>
      <c r="B15" s="177" t="s">
        <v>178</v>
      </c>
      <c r="C15" s="177" t="s">
        <v>173</v>
      </c>
      <c r="D15" s="177" t="s">
        <v>332</v>
      </c>
      <c r="E15" s="177" t="s">
        <v>333</v>
      </c>
      <c r="F15" s="177" t="s">
        <v>174</v>
      </c>
      <c r="G15" s="177" t="s">
        <v>154</v>
      </c>
      <c r="H15" s="178">
        <v>42</v>
      </c>
      <c r="I15" s="178">
        <v>0</v>
      </c>
      <c r="J15" s="178">
        <v>12</v>
      </c>
      <c r="K15" s="178">
        <v>15</v>
      </c>
      <c r="L15" s="178">
        <v>12</v>
      </c>
      <c r="M15" s="178">
        <v>12</v>
      </c>
      <c r="N15" s="178">
        <v>12</v>
      </c>
      <c r="O15" s="178">
        <v>0</v>
      </c>
      <c r="P15" s="178">
        <v>0</v>
      </c>
      <c r="Q15" s="178">
        <v>17</v>
      </c>
      <c r="R15" s="178">
        <v>15</v>
      </c>
      <c r="S15" s="178">
        <v>13</v>
      </c>
      <c r="T15" s="178">
        <v>12</v>
      </c>
      <c r="U15" s="178">
        <v>15</v>
      </c>
      <c r="V15" s="178">
        <v>13</v>
      </c>
      <c r="W15" s="178">
        <v>0</v>
      </c>
      <c r="X15" s="178">
        <v>17</v>
      </c>
      <c r="Y15" s="178">
        <v>14</v>
      </c>
      <c r="Z15" s="178">
        <v>13</v>
      </c>
      <c r="AA15" s="178">
        <v>14</v>
      </c>
      <c r="AB15" s="178">
        <v>14</v>
      </c>
      <c r="AC15" s="178">
        <v>0</v>
      </c>
      <c r="AD15" s="178">
        <v>0</v>
      </c>
      <c r="AE15" s="178">
        <v>16</v>
      </c>
      <c r="AF15" s="178">
        <v>12</v>
      </c>
      <c r="AG15" s="178">
        <v>12</v>
      </c>
      <c r="AH15" s="178">
        <v>13</v>
      </c>
      <c r="AI15" s="178">
        <v>14</v>
      </c>
      <c r="AJ15" s="178">
        <v>12</v>
      </c>
      <c r="AK15" s="178">
        <v>0</v>
      </c>
      <c r="AL15" s="178">
        <v>0</v>
      </c>
      <c r="AM15" s="178">
        <v>0</v>
      </c>
      <c r="AN15" s="178">
        <v>299</v>
      </c>
      <c r="AO15" s="178">
        <v>0</v>
      </c>
      <c r="AP15" s="178">
        <v>0</v>
      </c>
      <c r="AQ15" s="178">
        <v>0</v>
      </c>
      <c r="AR15" s="178">
        <v>3</v>
      </c>
      <c r="AS15" s="178">
        <v>5</v>
      </c>
      <c r="AT15" s="178">
        <v>2</v>
      </c>
      <c r="AU15" s="178">
        <v>2</v>
      </c>
      <c r="AV15" s="178">
        <v>0</v>
      </c>
      <c r="AW15" s="178">
        <v>3</v>
      </c>
      <c r="AX15" s="178">
        <v>4</v>
      </c>
      <c r="AY15" s="178">
        <v>2</v>
      </c>
      <c r="AZ15" s="178">
        <v>3</v>
      </c>
      <c r="BA15" s="178">
        <v>3</v>
      </c>
      <c r="BB15" s="178">
        <v>3</v>
      </c>
      <c r="BC15" s="178">
        <v>0</v>
      </c>
      <c r="BD15" s="178">
        <v>5</v>
      </c>
      <c r="BE15" s="178">
        <v>1</v>
      </c>
      <c r="BF15" s="178">
        <v>4</v>
      </c>
      <c r="BG15" s="178">
        <v>2</v>
      </c>
      <c r="BH15" s="178">
        <v>3</v>
      </c>
      <c r="BI15" s="178">
        <v>3</v>
      </c>
      <c r="BJ15" s="178">
        <v>0</v>
      </c>
      <c r="BK15" s="178">
        <v>3</v>
      </c>
      <c r="BL15" s="178">
        <v>3</v>
      </c>
      <c r="BM15" s="178">
        <v>2</v>
      </c>
      <c r="BN15" s="178">
        <v>3</v>
      </c>
      <c r="BO15" s="178">
        <v>2</v>
      </c>
      <c r="BP15" s="178">
        <v>2</v>
      </c>
      <c r="BQ15" s="178">
        <v>0</v>
      </c>
      <c r="BR15" s="178">
        <v>3</v>
      </c>
      <c r="BS15" s="178">
        <v>1</v>
      </c>
      <c r="BT15" s="178">
        <v>67</v>
      </c>
      <c r="BU15" s="178">
        <v>0</v>
      </c>
      <c r="BV15" s="178">
        <v>0</v>
      </c>
      <c r="BW15" s="178">
        <v>0</v>
      </c>
      <c r="BX15" s="178">
        <v>0</v>
      </c>
      <c r="BY15" s="178">
        <v>0</v>
      </c>
      <c r="BZ15" s="178">
        <v>0</v>
      </c>
      <c r="CA15" s="178">
        <v>0</v>
      </c>
      <c r="CB15" s="178">
        <v>0</v>
      </c>
      <c r="CC15" s="178">
        <v>0</v>
      </c>
      <c r="CD15" s="178">
        <v>0</v>
      </c>
      <c r="CE15" s="178">
        <v>0</v>
      </c>
      <c r="CF15" s="178">
        <v>0</v>
      </c>
      <c r="CG15" s="178">
        <v>0</v>
      </c>
      <c r="CH15" s="178">
        <v>0</v>
      </c>
      <c r="CI15" s="178">
        <v>0</v>
      </c>
      <c r="CJ15" s="178">
        <v>0</v>
      </c>
      <c r="CK15" s="178">
        <v>0</v>
      </c>
      <c r="CL15" s="178">
        <v>0</v>
      </c>
      <c r="CM15" s="178">
        <v>0</v>
      </c>
      <c r="CN15" s="178">
        <v>0</v>
      </c>
      <c r="CO15" s="178">
        <v>0</v>
      </c>
      <c r="CP15" s="178">
        <v>0</v>
      </c>
      <c r="CQ15" s="178">
        <v>0</v>
      </c>
      <c r="CR15" s="178">
        <v>0</v>
      </c>
      <c r="CS15" s="178">
        <v>0</v>
      </c>
      <c r="CT15" s="178">
        <v>0</v>
      </c>
      <c r="CU15" s="178">
        <v>0</v>
      </c>
      <c r="CV15" s="178">
        <v>0</v>
      </c>
      <c r="CW15" s="178">
        <v>0</v>
      </c>
      <c r="CX15" s="178">
        <v>0</v>
      </c>
      <c r="CY15" s="178">
        <v>0</v>
      </c>
      <c r="CZ15" s="178">
        <v>0</v>
      </c>
      <c r="DA15" s="179">
        <v>0</v>
      </c>
      <c r="DB15" s="179">
        <v>0</v>
      </c>
      <c r="DC15" s="179">
        <v>0</v>
      </c>
      <c r="DD15" s="179">
        <v>0</v>
      </c>
      <c r="DE15" s="179">
        <v>0</v>
      </c>
      <c r="DF15" s="179">
        <v>0</v>
      </c>
      <c r="DG15" s="179">
        <v>0</v>
      </c>
      <c r="DH15" s="179">
        <v>0</v>
      </c>
      <c r="DI15" s="179">
        <v>0</v>
      </c>
      <c r="DJ15" s="179">
        <v>0</v>
      </c>
      <c r="DK15" s="179">
        <v>0</v>
      </c>
      <c r="DL15" s="179">
        <v>0</v>
      </c>
      <c r="DM15" s="179">
        <v>0</v>
      </c>
      <c r="DN15" s="179">
        <v>0</v>
      </c>
      <c r="DO15" s="179">
        <v>0</v>
      </c>
      <c r="DP15" s="179">
        <v>0</v>
      </c>
      <c r="DQ15" s="179">
        <v>0</v>
      </c>
      <c r="DR15" s="179">
        <v>0</v>
      </c>
      <c r="DS15" s="179">
        <v>0</v>
      </c>
      <c r="DT15" s="179">
        <v>0</v>
      </c>
      <c r="DU15" s="179">
        <v>0</v>
      </c>
      <c r="DV15" s="179">
        <v>0</v>
      </c>
      <c r="DW15" s="179">
        <v>0</v>
      </c>
      <c r="DX15" s="179">
        <v>0</v>
      </c>
      <c r="DY15" s="179">
        <v>0</v>
      </c>
      <c r="DZ15" s="179">
        <v>0</v>
      </c>
      <c r="EA15" s="179">
        <v>0</v>
      </c>
      <c r="EB15" s="179">
        <v>0</v>
      </c>
      <c r="EC15" s="179">
        <v>0</v>
      </c>
      <c r="ED15" s="179">
        <v>0</v>
      </c>
      <c r="EE15" s="179">
        <v>0</v>
      </c>
      <c r="EF15" s="178">
        <v>0</v>
      </c>
      <c r="EI15" s="136"/>
      <c r="EJ15" s="126"/>
      <c r="EL15" s="136" t="b">
        <f t="shared" si="1"/>
        <v>1</v>
      </c>
    </row>
    <row r="16" ht="14.25" customHeight="1" spans="1:200" x14ac:dyDescent="0.25">
      <c r="A16" s="177" t="s">
        <v>23</v>
      </c>
      <c r="B16" s="177" t="s">
        <v>180</v>
      </c>
      <c r="C16" s="177" t="s">
        <v>173</v>
      </c>
      <c r="D16" s="177" t="s">
        <v>332</v>
      </c>
      <c r="E16" s="177" t="s">
        <v>333</v>
      </c>
      <c r="F16" s="177" t="s">
        <v>174</v>
      </c>
      <c r="G16" s="177" t="s">
        <v>154</v>
      </c>
      <c r="H16" s="178">
        <v>18</v>
      </c>
      <c r="I16" s="178">
        <v>0</v>
      </c>
      <c r="J16" s="178">
        <v>54</v>
      </c>
      <c r="K16" s="178">
        <v>54</v>
      </c>
      <c r="L16" s="178">
        <v>51</v>
      </c>
      <c r="M16" s="178">
        <v>54</v>
      </c>
      <c r="N16" s="178">
        <v>49</v>
      </c>
      <c r="O16" s="178">
        <v>0</v>
      </c>
      <c r="P16" s="178">
        <v>0</v>
      </c>
      <c r="Q16" s="178">
        <v>58</v>
      </c>
      <c r="R16" s="178">
        <v>60</v>
      </c>
      <c r="S16" s="178">
        <v>54</v>
      </c>
      <c r="T16" s="178">
        <v>58</v>
      </c>
      <c r="U16" s="178">
        <v>56</v>
      </c>
      <c r="V16" s="178">
        <v>49</v>
      </c>
      <c r="W16" s="178">
        <v>0</v>
      </c>
      <c r="X16" s="178">
        <v>60</v>
      </c>
      <c r="Y16" s="178">
        <v>55</v>
      </c>
      <c r="Z16" s="178">
        <v>56</v>
      </c>
      <c r="AA16" s="178">
        <v>57</v>
      </c>
      <c r="AB16" s="178">
        <v>57</v>
      </c>
      <c r="AC16" s="178">
        <v>0</v>
      </c>
      <c r="AD16" s="178">
        <v>0</v>
      </c>
      <c r="AE16" s="178">
        <v>56</v>
      </c>
      <c r="AF16" s="178">
        <v>52</v>
      </c>
      <c r="AG16" s="178">
        <v>51</v>
      </c>
      <c r="AH16" s="178">
        <v>54</v>
      </c>
      <c r="AI16" s="178">
        <v>54</v>
      </c>
      <c r="AJ16" s="178">
        <v>52</v>
      </c>
      <c r="AK16" s="178">
        <v>0</v>
      </c>
      <c r="AL16" s="178">
        <v>0</v>
      </c>
      <c r="AM16" s="178">
        <v>0</v>
      </c>
      <c r="AN16" s="178">
        <v>1201</v>
      </c>
      <c r="AO16" s="178">
        <v>0</v>
      </c>
      <c r="AP16" s="178">
        <v>0</v>
      </c>
      <c r="AQ16" s="178">
        <v>0</v>
      </c>
      <c r="AR16" s="178">
        <v>49</v>
      </c>
      <c r="AS16" s="178">
        <v>48</v>
      </c>
      <c r="AT16" s="178">
        <v>49</v>
      </c>
      <c r="AU16" s="178">
        <v>20</v>
      </c>
      <c r="AV16" s="178">
        <v>0</v>
      </c>
      <c r="AW16" s="178">
        <v>44</v>
      </c>
      <c r="AX16" s="178">
        <v>43</v>
      </c>
      <c r="AY16" s="178">
        <v>48</v>
      </c>
      <c r="AZ16" s="178">
        <v>42</v>
      </c>
      <c r="BA16" s="178">
        <v>41</v>
      </c>
      <c r="BB16" s="178">
        <v>38</v>
      </c>
      <c r="BC16" s="178">
        <v>0</v>
      </c>
      <c r="BD16" s="178">
        <v>43</v>
      </c>
      <c r="BE16" s="178">
        <v>44</v>
      </c>
      <c r="BF16" s="178">
        <v>38</v>
      </c>
      <c r="BG16" s="178">
        <v>47</v>
      </c>
      <c r="BH16" s="178">
        <v>38</v>
      </c>
      <c r="BI16" s="178">
        <v>43</v>
      </c>
      <c r="BJ16" s="178">
        <v>0</v>
      </c>
      <c r="BK16" s="178">
        <v>43</v>
      </c>
      <c r="BL16" s="178">
        <v>38</v>
      </c>
      <c r="BM16" s="178">
        <v>31</v>
      </c>
      <c r="BN16" s="178">
        <v>39</v>
      </c>
      <c r="BO16" s="178">
        <v>37</v>
      </c>
      <c r="BP16" s="178">
        <v>28</v>
      </c>
      <c r="BQ16" s="178">
        <v>0</v>
      </c>
      <c r="BR16" s="178">
        <v>36</v>
      </c>
      <c r="BS16" s="178">
        <v>31</v>
      </c>
      <c r="BT16" s="178">
        <v>958</v>
      </c>
      <c r="BU16" s="178">
        <v>30</v>
      </c>
      <c r="BV16" s="178">
        <v>30</v>
      </c>
      <c r="BW16" s="178">
        <v>30</v>
      </c>
      <c r="BX16" s="178">
        <v>15</v>
      </c>
      <c r="BY16" s="178">
        <v>0</v>
      </c>
      <c r="BZ16" s="178">
        <v>29</v>
      </c>
      <c r="CA16" s="178">
        <v>30</v>
      </c>
      <c r="CB16" s="178">
        <v>29</v>
      </c>
      <c r="CC16" s="178">
        <v>30</v>
      </c>
      <c r="CD16" s="178">
        <v>29</v>
      </c>
      <c r="CE16" s="178">
        <v>0</v>
      </c>
      <c r="CF16" s="178">
        <v>0</v>
      </c>
      <c r="CG16" s="178">
        <v>0</v>
      </c>
      <c r="CH16" s="178">
        <v>0</v>
      </c>
      <c r="CI16" s="178">
        <v>0</v>
      </c>
      <c r="CJ16" s="178">
        <v>0</v>
      </c>
      <c r="CK16" s="178">
        <v>0</v>
      </c>
      <c r="CL16" s="178">
        <v>0</v>
      </c>
      <c r="CM16" s="178">
        <v>0</v>
      </c>
      <c r="CN16" s="178">
        <v>30</v>
      </c>
      <c r="CO16" s="178">
        <v>29</v>
      </c>
      <c r="CP16" s="178">
        <v>30</v>
      </c>
      <c r="CQ16" s="178">
        <v>29</v>
      </c>
      <c r="CR16" s="178">
        <v>30</v>
      </c>
      <c r="CS16" s="178">
        <v>29</v>
      </c>
      <c r="CT16" s="178">
        <v>0</v>
      </c>
      <c r="CU16" s="178">
        <v>30</v>
      </c>
      <c r="CV16" s="178">
        <v>29</v>
      </c>
      <c r="CW16" s="178">
        <v>30</v>
      </c>
      <c r="CX16" s="178">
        <v>29</v>
      </c>
      <c r="CY16" s="178">
        <v>0</v>
      </c>
      <c r="CZ16" s="178">
        <v>547</v>
      </c>
      <c r="DA16" s="179">
        <v>0</v>
      </c>
      <c r="DB16" s="179">
        <v>0</v>
      </c>
      <c r="DC16" s="179">
        <v>0</v>
      </c>
      <c r="DD16" s="179">
        <v>53</v>
      </c>
      <c r="DE16" s="179">
        <v>53</v>
      </c>
      <c r="DF16" s="179">
        <v>53</v>
      </c>
      <c r="DG16" s="179">
        <v>53</v>
      </c>
      <c r="DH16" s="179">
        <v>53</v>
      </c>
      <c r="DI16" s="179">
        <v>53</v>
      </c>
      <c r="DJ16" s="179">
        <v>0</v>
      </c>
      <c r="DK16" s="179">
        <v>53</v>
      </c>
      <c r="DL16" s="179">
        <v>53</v>
      </c>
      <c r="DM16" s="179">
        <v>52</v>
      </c>
      <c r="DN16" s="179">
        <v>53</v>
      </c>
      <c r="DO16" s="179">
        <v>52</v>
      </c>
      <c r="DP16" s="179">
        <v>26</v>
      </c>
      <c r="DQ16" s="179">
        <v>0</v>
      </c>
      <c r="DR16" s="179">
        <v>53</v>
      </c>
      <c r="DS16" s="179">
        <v>53</v>
      </c>
      <c r="DT16" s="179">
        <v>52</v>
      </c>
      <c r="DU16" s="179">
        <v>53</v>
      </c>
      <c r="DV16" s="179">
        <v>52</v>
      </c>
      <c r="DW16" s="179">
        <v>53</v>
      </c>
      <c r="DX16" s="179">
        <v>0</v>
      </c>
      <c r="DY16" s="179">
        <v>52</v>
      </c>
      <c r="DZ16" s="179">
        <v>53</v>
      </c>
      <c r="EA16" s="179">
        <v>52</v>
      </c>
      <c r="EB16" s="179">
        <v>53</v>
      </c>
      <c r="EC16" s="179">
        <v>52</v>
      </c>
      <c r="ED16" s="179">
        <v>0</v>
      </c>
      <c r="EE16" s="179">
        <v>0</v>
      </c>
      <c r="EF16" s="178">
        <v>1185</v>
      </c>
      <c r="EI16" s="136"/>
      <c r="EJ16" s="126"/>
      <c r="EL16" s="136" t="b">
        <f t="shared" si="1"/>
        <v>1</v>
      </c>
    </row>
    <row r="17" ht="14.25" customHeight="1" spans="1:200" x14ac:dyDescent="0.25">
      <c r="A17" s="177" t="s">
        <v>161</v>
      </c>
      <c r="B17" s="177" t="s">
        <v>181</v>
      </c>
      <c r="C17" s="177" t="s">
        <v>173</v>
      </c>
      <c r="D17" s="177" t="s">
        <v>332</v>
      </c>
      <c r="E17" s="177" t="s">
        <v>333</v>
      </c>
      <c r="F17" s="177" t="s">
        <v>174</v>
      </c>
      <c r="G17" s="177" t="s">
        <v>154</v>
      </c>
      <c r="H17" s="178">
        <v>8</v>
      </c>
      <c r="I17" s="178">
        <v>0</v>
      </c>
      <c r="J17" s="178">
        <v>11</v>
      </c>
      <c r="K17" s="178">
        <v>10</v>
      </c>
      <c r="L17" s="178">
        <v>10</v>
      </c>
      <c r="M17" s="178">
        <v>11</v>
      </c>
      <c r="N17" s="178">
        <v>10</v>
      </c>
      <c r="O17" s="178">
        <v>0</v>
      </c>
      <c r="P17" s="178">
        <v>0</v>
      </c>
      <c r="Q17" s="178">
        <v>9</v>
      </c>
      <c r="R17" s="178">
        <v>12</v>
      </c>
      <c r="S17" s="178">
        <v>9</v>
      </c>
      <c r="T17" s="178">
        <v>12</v>
      </c>
      <c r="U17" s="178">
        <v>10</v>
      </c>
      <c r="V17" s="178">
        <v>11</v>
      </c>
      <c r="W17" s="178">
        <v>0</v>
      </c>
      <c r="X17" s="178">
        <v>13</v>
      </c>
      <c r="Y17" s="178">
        <v>11</v>
      </c>
      <c r="Z17" s="178">
        <v>11</v>
      </c>
      <c r="AA17" s="178">
        <v>10</v>
      </c>
      <c r="AB17" s="178">
        <v>11</v>
      </c>
      <c r="AC17" s="178">
        <v>0</v>
      </c>
      <c r="AD17" s="178">
        <v>0</v>
      </c>
      <c r="AE17" s="178">
        <v>8</v>
      </c>
      <c r="AF17" s="178">
        <v>12</v>
      </c>
      <c r="AG17" s="178">
        <v>10</v>
      </c>
      <c r="AH17" s="178">
        <v>10</v>
      </c>
      <c r="AI17" s="178">
        <v>10</v>
      </c>
      <c r="AJ17" s="178">
        <v>11</v>
      </c>
      <c r="AK17" s="178">
        <v>0</v>
      </c>
      <c r="AL17" s="178">
        <v>0</v>
      </c>
      <c r="AM17" s="178">
        <v>0</v>
      </c>
      <c r="AN17" s="178">
        <v>232</v>
      </c>
      <c r="AO17" s="178">
        <v>0</v>
      </c>
      <c r="AP17" s="178">
        <v>0</v>
      </c>
      <c r="AQ17" s="178">
        <v>0</v>
      </c>
      <c r="AR17" s="178">
        <v>16</v>
      </c>
      <c r="AS17" s="178">
        <v>18</v>
      </c>
      <c r="AT17" s="178">
        <v>17</v>
      </c>
      <c r="AU17" s="178">
        <v>8</v>
      </c>
      <c r="AV17" s="178">
        <v>0</v>
      </c>
      <c r="AW17" s="178">
        <v>16</v>
      </c>
      <c r="AX17" s="178">
        <v>16</v>
      </c>
      <c r="AY17" s="178">
        <v>17</v>
      </c>
      <c r="AZ17" s="178">
        <v>16</v>
      </c>
      <c r="BA17" s="178">
        <v>14</v>
      </c>
      <c r="BB17" s="178">
        <v>13</v>
      </c>
      <c r="BC17" s="178">
        <v>0</v>
      </c>
      <c r="BD17" s="178">
        <v>16</v>
      </c>
      <c r="BE17" s="178">
        <v>15</v>
      </c>
      <c r="BF17" s="178">
        <v>13</v>
      </c>
      <c r="BG17" s="178">
        <v>16</v>
      </c>
      <c r="BH17" s="178">
        <v>15</v>
      </c>
      <c r="BI17" s="178">
        <v>15</v>
      </c>
      <c r="BJ17" s="178">
        <v>0</v>
      </c>
      <c r="BK17" s="178">
        <v>14</v>
      </c>
      <c r="BL17" s="178">
        <v>13</v>
      </c>
      <c r="BM17" s="178">
        <v>10</v>
      </c>
      <c r="BN17" s="178">
        <v>13</v>
      </c>
      <c r="BO17" s="178">
        <v>13</v>
      </c>
      <c r="BP17" s="178">
        <v>9</v>
      </c>
      <c r="BQ17" s="178">
        <v>0</v>
      </c>
      <c r="BR17" s="178">
        <v>13</v>
      </c>
      <c r="BS17" s="178">
        <v>10</v>
      </c>
      <c r="BT17" s="178">
        <v>336</v>
      </c>
      <c r="BU17" s="178">
        <v>3</v>
      </c>
      <c r="BV17" s="178">
        <v>3</v>
      </c>
      <c r="BW17" s="178">
        <v>3</v>
      </c>
      <c r="BX17" s="178">
        <v>2</v>
      </c>
      <c r="BY17" s="178">
        <v>0</v>
      </c>
      <c r="BZ17" s="178">
        <v>3</v>
      </c>
      <c r="CA17" s="178">
        <v>3</v>
      </c>
      <c r="CB17" s="178">
        <v>3</v>
      </c>
      <c r="CC17" s="178">
        <v>3</v>
      </c>
      <c r="CD17" s="178">
        <v>3</v>
      </c>
      <c r="CE17" s="178">
        <v>0</v>
      </c>
      <c r="CF17" s="178">
        <v>0</v>
      </c>
      <c r="CG17" s="178">
        <v>0</v>
      </c>
      <c r="CH17" s="178">
        <v>0</v>
      </c>
      <c r="CI17" s="178">
        <v>0</v>
      </c>
      <c r="CJ17" s="178">
        <v>0</v>
      </c>
      <c r="CK17" s="178">
        <v>0</v>
      </c>
      <c r="CL17" s="178">
        <v>0</v>
      </c>
      <c r="CM17" s="178">
        <v>0</v>
      </c>
      <c r="CN17" s="178">
        <v>3</v>
      </c>
      <c r="CO17" s="178">
        <v>3</v>
      </c>
      <c r="CP17" s="178">
        <v>3</v>
      </c>
      <c r="CQ17" s="178">
        <v>3</v>
      </c>
      <c r="CR17" s="178">
        <v>4</v>
      </c>
      <c r="CS17" s="178">
        <v>3</v>
      </c>
      <c r="CT17" s="178">
        <v>0</v>
      </c>
      <c r="CU17" s="178">
        <v>4</v>
      </c>
      <c r="CV17" s="178">
        <v>3</v>
      </c>
      <c r="CW17" s="178">
        <v>4</v>
      </c>
      <c r="CX17" s="178">
        <v>3</v>
      </c>
      <c r="CY17" s="178">
        <v>0</v>
      </c>
      <c r="CZ17" s="178">
        <v>59</v>
      </c>
      <c r="DA17" s="179">
        <v>0</v>
      </c>
      <c r="DB17" s="179">
        <v>0</v>
      </c>
      <c r="DC17" s="179">
        <v>0</v>
      </c>
      <c r="DD17" s="179">
        <v>0</v>
      </c>
      <c r="DE17" s="179">
        <v>0</v>
      </c>
      <c r="DF17" s="179">
        <v>0</v>
      </c>
      <c r="DG17" s="179">
        <v>0</v>
      </c>
      <c r="DH17" s="179">
        <v>0</v>
      </c>
      <c r="DI17" s="179">
        <v>0</v>
      </c>
      <c r="DJ17" s="179">
        <v>0</v>
      </c>
      <c r="DK17" s="179">
        <v>0</v>
      </c>
      <c r="DL17" s="179">
        <v>0</v>
      </c>
      <c r="DM17" s="179">
        <v>0</v>
      </c>
      <c r="DN17" s="179">
        <v>0</v>
      </c>
      <c r="DO17" s="179">
        <v>0</v>
      </c>
      <c r="DP17" s="179">
        <v>0</v>
      </c>
      <c r="DQ17" s="179">
        <v>0</v>
      </c>
      <c r="DR17" s="179">
        <v>0</v>
      </c>
      <c r="DS17" s="179">
        <v>0</v>
      </c>
      <c r="DT17" s="179">
        <v>0</v>
      </c>
      <c r="DU17" s="179">
        <v>0</v>
      </c>
      <c r="DV17" s="179">
        <v>0</v>
      </c>
      <c r="DW17" s="179">
        <v>0</v>
      </c>
      <c r="DX17" s="179">
        <v>0</v>
      </c>
      <c r="DY17" s="179">
        <v>0</v>
      </c>
      <c r="DZ17" s="179">
        <v>0</v>
      </c>
      <c r="EA17" s="179">
        <v>0</v>
      </c>
      <c r="EB17" s="179">
        <v>0</v>
      </c>
      <c r="EC17" s="179">
        <v>0</v>
      </c>
      <c r="ED17" s="179">
        <v>0</v>
      </c>
      <c r="EE17" s="179">
        <v>0</v>
      </c>
      <c r="EF17" s="178">
        <v>0</v>
      </c>
      <c r="EI17" s="136"/>
      <c r="EJ17" s="126"/>
      <c r="EL17" s="136" t="b">
        <f t="shared" si="1"/>
        <v>1</v>
      </c>
    </row>
    <row r="18" ht="14.25" customHeight="1" spans="1:200" x14ac:dyDescent="0.25">
      <c r="A18" s="177" t="s">
        <v>163</v>
      </c>
      <c r="B18" s="177" t="s">
        <v>183</v>
      </c>
      <c r="C18" s="177" t="s">
        <v>173</v>
      </c>
      <c r="D18" s="177" t="s">
        <v>332</v>
      </c>
      <c r="E18" s="177" t="s">
        <v>333</v>
      </c>
      <c r="F18" s="177" t="s">
        <v>174</v>
      </c>
      <c r="G18" s="177" t="s">
        <v>154</v>
      </c>
      <c r="H18" s="178">
        <v>8</v>
      </c>
      <c r="I18" s="178">
        <v>0</v>
      </c>
      <c r="J18" s="178">
        <v>20</v>
      </c>
      <c r="K18" s="178">
        <v>21</v>
      </c>
      <c r="L18" s="178">
        <v>22</v>
      </c>
      <c r="M18" s="178">
        <v>19</v>
      </c>
      <c r="N18" s="178">
        <v>21</v>
      </c>
      <c r="O18" s="178">
        <v>0</v>
      </c>
      <c r="P18" s="178">
        <v>0</v>
      </c>
      <c r="Q18" s="178">
        <v>28</v>
      </c>
      <c r="R18" s="178">
        <v>23</v>
      </c>
      <c r="S18" s="178">
        <v>23</v>
      </c>
      <c r="T18" s="178">
        <v>21</v>
      </c>
      <c r="U18" s="178">
        <v>22</v>
      </c>
      <c r="V18" s="178">
        <v>22</v>
      </c>
      <c r="W18" s="178">
        <v>0</v>
      </c>
      <c r="X18" s="178">
        <v>24</v>
      </c>
      <c r="Y18" s="178">
        <v>22</v>
      </c>
      <c r="Z18" s="178">
        <v>22</v>
      </c>
      <c r="AA18" s="178">
        <v>24</v>
      </c>
      <c r="AB18" s="178">
        <v>20</v>
      </c>
      <c r="AC18" s="178">
        <v>0</v>
      </c>
      <c r="AD18" s="178">
        <v>0</v>
      </c>
      <c r="AE18" s="178">
        <v>28</v>
      </c>
      <c r="AF18" s="178">
        <v>22</v>
      </c>
      <c r="AG18" s="178">
        <v>17</v>
      </c>
      <c r="AH18" s="178">
        <v>23</v>
      </c>
      <c r="AI18" s="178">
        <v>21</v>
      </c>
      <c r="AJ18" s="178">
        <v>20</v>
      </c>
      <c r="AK18" s="178">
        <v>0</v>
      </c>
      <c r="AL18" s="178">
        <v>0</v>
      </c>
      <c r="AM18" s="178">
        <v>0</v>
      </c>
      <c r="AN18" s="178">
        <v>485</v>
      </c>
      <c r="AO18" s="178">
        <v>0</v>
      </c>
      <c r="AP18" s="178">
        <v>0</v>
      </c>
      <c r="AQ18" s="178">
        <v>0</v>
      </c>
      <c r="AR18" s="178">
        <v>17</v>
      </c>
      <c r="AS18" s="178">
        <v>20</v>
      </c>
      <c r="AT18" s="178">
        <v>19</v>
      </c>
      <c r="AU18" s="178">
        <v>10</v>
      </c>
      <c r="AV18" s="178">
        <v>0</v>
      </c>
      <c r="AW18" s="178">
        <v>19</v>
      </c>
      <c r="AX18" s="178">
        <v>20</v>
      </c>
      <c r="AY18" s="178">
        <v>16</v>
      </c>
      <c r="AZ18" s="178">
        <v>22</v>
      </c>
      <c r="BA18" s="178">
        <v>15</v>
      </c>
      <c r="BB18" s="178">
        <v>17</v>
      </c>
      <c r="BC18" s="178">
        <v>0</v>
      </c>
      <c r="BD18" s="178">
        <v>18</v>
      </c>
      <c r="BE18" s="178">
        <v>22</v>
      </c>
      <c r="BF18" s="178">
        <v>16</v>
      </c>
      <c r="BG18" s="178">
        <v>18</v>
      </c>
      <c r="BH18" s="178">
        <v>18</v>
      </c>
      <c r="BI18" s="178">
        <v>17</v>
      </c>
      <c r="BJ18" s="178">
        <v>0</v>
      </c>
      <c r="BK18" s="178">
        <v>19</v>
      </c>
      <c r="BL18" s="178">
        <v>17</v>
      </c>
      <c r="BM18" s="178">
        <v>14</v>
      </c>
      <c r="BN18" s="178">
        <v>18</v>
      </c>
      <c r="BO18" s="178">
        <v>12</v>
      </c>
      <c r="BP18" s="178">
        <v>13</v>
      </c>
      <c r="BQ18" s="178">
        <v>0</v>
      </c>
      <c r="BR18" s="178">
        <v>12</v>
      </c>
      <c r="BS18" s="178">
        <v>13</v>
      </c>
      <c r="BT18" s="178">
        <v>402</v>
      </c>
      <c r="BU18" s="178">
        <v>16</v>
      </c>
      <c r="BV18" s="178">
        <v>16</v>
      </c>
      <c r="BW18" s="178">
        <v>16</v>
      </c>
      <c r="BX18" s="178">
        <v>8</v>
      </c>
      <c r="BY18" s="178">
        <v>0</v>
      </c>
      <c r="BZ18" s="178">
        <v>16</v>
      </c>
      <c r="CA18" s="178">
        <v>16</v>
      </c>
      <c r="CB18" s="178">
        <v>16</v>
      </c>
      <c r="CC18" s="178">
        <v>16</v>
      </c>
      <c r="CD18" s="178">
        <v>16</v>
      </c>
      <c r="CE18" s="178">
        <v>0</v>
      </c>
      <c r="CF18" s="178">
        <v>0</v>
      </c>
      <c r="CG18" s="178">
        <v>0</v>
      </c>
      <c r="CH18" s="178">
        <v>0</v>
      </c>
      <c r="CI18" s="178">
        <v>0</v>
      </c>
      <c r="CJ18" s="178">
        <v>0</v>
      </c>
      <c r="CK18" s="178">
        <v>0</v>
      </c>
      <c r="CL18" s="178">
        <v>0</v>
      </c>
      <c r="CM18" s="178">
        <v>0</v>
      </c>
      <c r="CN18" s="178">
        <v>16</v>
      </c>
      <c r="CO18" s="178">
        <v>16</v>
      </c>
      <c r="CP18" s="178">
        <v>16</v>
      </c>
      <c r="CQ18" s="178">
        <v>16</v>
      </c>
      <c r="CR18" s="178">
        <v>17</v>
      </c>
      <c r="CS18" s="178">
        <v>16</v>
      </c>
      <c r="CT18" s="178">
        <v>0</v>
      </c>
      <c r="CU18" s="178">
        <v>17</v>
      </c>
      <c r="CV18" s="178">
        <v>16</v>
      </c>
      <c r="CW18" s="178">
        <v>17</v>
      </c>
      <c r="CX18" s="178">
        <v>16</v>
      </c>
      <c r="CY18" s="178">
        <v>0</v>
      </c>
      <c r="CZ18" s="178">
        <v>299</v>
      </c>
      <c r="DA18" s="179">
        <v>0</v>
      </c>
      <c r="DB18" s="179">
        <v>0</v>
      </c>
      <c r="DC18" s="179">
        <v>0</v>
      </c>
      <c r="DD18" s="179">
        <v>0</v>
      </c>
      <c r="DE18" s="179">
        <v>0</v>
      </c>
      <c r="DF18" s="179">
        <v>0</v>
      </c>
      <c r="DG18" s="179">
        <v>0</v>
      </c>
      <c r="DH18" s="179">
        <v>0</v>
      </c>
      <c r="DI18" s="179">
        <v>0</v>
      </c>
      <c r="DJ18" s="179">
        <v>0</v>
      </c>
      <c r="DK18" s="179">
        <v>0</v>
      </c>
      <c r="DL18" s="179">
        <v>0</v>
      </c>
      <c r="DM18" s="179">
        <v>0</v>
      </c>
      <c r="DN18" s="179">
        <v>0</v>
      </c>
      <c r="DO18" s="179">
        <v>0</v>
      </c>
      <c r="DP18" s="179">
        <v>0</v>
      </c>
      <c r="DQ18" s="179">
        <v>0</v>
      </c>
      <c r="DR18" s="179">
        <v>0</v>
      </c>
      <c r="DS18" s="179">
        <v>0</v>
      </c>
      <c r="DT18" s="179">
        <v>0</v>
      </c>
      <c r="DU18" s="179">
        <v>0</v>
      </c>
      <c r="DV18" s="179">
        <v>0</v>
      </c>
      <c r="DW18" s="179">
        <v>0</v>
      </c>
      <c r="DX18" s="179">
        <v>0</v>
      </c>
      <c r="DY18" s="179">
        <v>0</v>
      </c>
      <c r="DZ18" s="179">
        <v>0</v>
      </c>
      <c r="EA18" s="179">
        <v>0</v>
      </c>
      <c r="EB18" s="179">
        <v>0</v>
      </c>
      <c r="EC18" s="179">
        <v>0</v>
      </c>
      <c r="ED18" s="179">
        <v>0</v>
      </c>
      <c r="EE18" s="179">
        <v>0</v>
      </c>
      <c r="EF18" s="178">
        <v>0</v>
      </c>
      <c r="EI18" s="136"/>
      <c r="EJ18" s="126"/>
      <c r="EL18" s="136" t="b">
        <f t="shared" si="1"/>
        <v>1</v>
      </c>
    </row>
    <row r="19" ht="14.25" customHeight="1" spans="1:200" x14ac:dyDescent="0.25">
      <c r="A19" s="177" t="s">
        <v>184</v>
      </c>
      <c r="B19" s="177" t="s">
        <v>185</v>
      </c>
      <c r="C19" s="177" t="s">
        <v>173</v>
      </c>
      <c r="D19" s="177" t="s">
        <v>332</v>
      </c>
      <c r="E19" s="177" t="s">
        <v>333</v>
      </c>
      <c r="F19" s="177" t="s">
        <v>174</v>
      </c>
      <c r="G19" s="177" t="s">
        <v>154</v>
      </c>
      <c r="H19" s="178">
        <v>8</v>
      </c>
      <c r="I19" s="178">
        <v>0</v>
      </c>
      <c r="J19" s="178">
        <v>4</v>
      </c>
      <c r="K19" s="178">
        <v>3</v>
      </c>
      <c r="L19" s="178">
        <v>2</v>
      </c>
      <c r="M19" s="178">
        <v>4</v>
      </c>
      <c r="N19" s="178">
        <v>3</v>
      </c>
      <c r="O19" s="178">
        <v>0</v>
      </c>
      <c r="P19" s="178">
        <v>0</v>
      </c>
      <c r="Q19" s="178">
        <v>3</v>
      </c>
      <c r="R19" s="178">
        <v>4</v>
      </c>
      <c r="S19" s="178">
        <v>3</v>
      </c>
      <c r="T19" s="178">
        <v>3</v>
      </c>
      <c r="U19" s="178">
        <v>3</v>
      </c>
      <c r="V19" s="178">
        <v>3</v>
      </c>
      <c r="W19" s="178">
        <v>0</v>
      </c>
      <c r="X19" s="178">
        <v>3</v>
      </c>
      <c r="Y19" s="178">
        <v>3</v>
      </c>
      <c r="Z19" s="178">
        <v>3</v>
      </c>
      <c r="AA19" s="178">
        <v>4</v>
      </c>
      <c r="AB19" s="178">
        <v>4</v>
      </c>
      <c r="AC19" s="178">
        <v>0</v>
      </c>
      <c r="AD19" s="178">
        <v>0</v>
      </c>
      <c r="AE19" s="178">
        <v>2</v>
      </c>
      <c r="AF19" s="178">
        <v>3</v>
      </c>
      <c r="AG19" s="178">
        <v>4</v>
      </c>
      <c r="AH19" s="178">
        <v>3</v>
      </c>
      <c r="AI19" s="178">
        <v>2</v>
      </c>
      <c r="AJ19" s="178">
        <v>4</v>
      </c>
      <c r="AK19" s="178">
        <v>0</v>
      </c>
      <c r="AL19" s="178">
        <v>0</v>
      </c>
      <c r="AM19" s="178">
        <v>0</v>
      </c>
      <c r="AN19" s="178">
        <v>70</v>
      </c>
      <c r="AO19" s="178">
        <v>0</v>
      </c>
      <c r="AP19" s="178">
        <v>0</v>
      </c>
      <c r="AQ19" s="178">
        <v>0</v>
      </c>
      <c r="AR19" s="178">
        <v>0</v>
      </c>
      <c r="AS19" s="178">
        <v>0</v>
      </c>
      <c r="AT19" s="178">
        <v>1</v>
      </c>
      <c r="AU19" s="178">
        <v>0</v>
      </c>
      <c r="AV19" s="178">
        <v>0</v>
      </c>
      <c r="AW19" s="178">
        <v>0</v>
      </c>
      <c r="AX19" s="178">
        <v>0</v>
      </c>
      <c r="AY19" s="178">
        <v>1</v>
      </c>
      <c r="AZ19" s="178">
        <v>0</v>
      </c>
      <c r="BA19" s="178">
        <v>0</v>
      </c>
      <c r="BB19" s="178">
        <v>0</v>
      </c>
      <c r="BC19" s="178">
        <v>0</v>
      </c>
      <c r="BD19" s="178">
        <v>0</v>
      </c>
      <c r="BE19" s="178">
        <v>1</v>
      </c>
      <c r="BF19" s="178">
        <v>0</v>
      </c>
      <c r="BG19" s="178">
        <v>0</v>
      </c>
      <c r="BH19" s="178">
        <v>0</v>
      </c>
      <c r="BI19" s="178">
        <v>0</v>
      </c>
      <c r="BJ19" s="178">
        <v>0</v>
      </c>
      <c r="BK19" s="178">
        <v>0</v>
      </c>
      <c r="BL19" s="178">
        <v>1</v>
      </c>
      <c r="BM19" s="178">
        <v>0</v>
      </c>
      <c r="BN19" s="178">
        <v>0</v>
      </c>
      <c r="BO19" s="178">
        <v>0</v>
      </c>
      <c r="BP19" s="178">
        <v>0</v>
      </c>
      <c r="BQ19" s="178">
        <v>0</v>
      </c>
      <c r="BR19" s="178">
        <v>0</v>
      </c>
      <c r="BS19" s="178">
        <v>0</v>
      </c>
      <c r="BT19" s="178">
        <v>4</v>
      </c>
      <c r="BU19" s="178">
        <v>0</v>
      </c>
      <c r="BV19" s="178">
        <v>0</v>
      </c>
      <c r="BW19" s="178">
        <v>0</v>
      </c>
      <c r="BX19" s="178">
        <v>0</v>
      </c>
      <c r="BY19" s="178">
        <v>0</v>
      </c>
      <c r="BZ19" s="178">
        <v>0</v>
      </c>
      <c r="CA19" s="178">
        <v>0</v>
      </c>
      <c r="CB19" s="178">
        <v>0</v>
      </c>
      <c r="CC19" s="178">
        <v>0</v>
      </c>
      <c r="CD19" s="178">
        <v>0</v>
      </c>
      <c r="CE19" s="178">
        <v>0</v>
      </c>
      <c r="CF19" s="178">
        <v>0</v>
      </c>
      <c r="CG19" s="178">
        <v>0</v>
      </c>
      <c r="CH19" s="178">
        <v>0</v>
      </c>
      <c r="CI19" s="178">
        <v>0</v>
      </c>
      <c r="CJ19" s="178">
        <v>0</v>
      </c>
      <c r="CK19" s="178">
        <v>0</v>
      </c>
      <c r="CL19" s="178">
        <v>0</v>
      </c>
      <c r="CM19" s="178">
        <v>0</v>
      </c>
      <c r="CN19" s="178">
        <v>0</v>
      </c>
      <c r="CO19" s="178">
        <v>0</v>
      </c>
      <c r="CP19" s="178">
        <v>0</v>
      </c>
      <c r="CQ19" s="178">
        <v>0</v>
      </c>
      <c r="CR19" s="178">
        <v>0</v>
      </c>
      <c r="CS19" s="178">
        <v>0</v>
      </c>
      <c r="CT19" s="178">
        <v>0</v>
      </c>
      <c r="CU19" s="178">
        <v>1</v>
      </c>
      <c r="CV19" s="178">
        <v>0</v>
      </c>
      <c r="CW19" s="178">
        <v>1</v>
      </c>
      <c r="CX19" s="178">
        <v>0</v>
      </c>
      <c r="CY19" s="178">
        <v>0</v>
      </c>
      <c r="CZ19" s="178">
        <v>2</v>
      </c>
      <c r="DA19" s="179">
        <v>0</v>
      </c>
      <c r="DB19" s="179">
        <v>0</v>
      </c>
      <c r="DC19" s="179">
        <v>0</v>
      </c>
      <c r="DD19" s="179">
        <v>1</v>
      </c>
      <c r="DE19" s="179">
        <v>1</v>
      </c>
      <c r="DF19" s="179">
        <v>1</v>
      </c>
      <c r="DG19" s="179">
        <v>1</v>
      </c>
      <c r="DH19" s="179">
        <v>1</v>
      </c>
      <c r="DI19" s="179">
        <v>1</v>
      </c>
      <c r="DJ19" s="179">
        <v>0</v>
      </c>
      <c r="DK19" s="179">
        <v>1</v>
      </c>
      <c r="DL19" s="179">
        <v>1</v>
      </c>
      <c r="DM19" s="179">
        <v>0</v>
      </c>
      <c r="DN19" s="179">
        <v>1</v>
      </c>
      <c r="DO19" s="179">
        <v>0</v>
      </c>
      <c r="DP19" s="179">
        <v>0</v>
      </c>
      <c r="DQ19" s="179">
        <v>0</v>
      </c>
      <c r="DR19" s="179">
        <v>1</v>
      </c>
      <c r="DS19" s="179">
        <v>1</v>
      </c>
      <c r="DT19" s="179">
        <v>0</v>
      </c>
      <c r="DU19" s="179">
        <v>1</v>
      </c>
      <c r="DV19" s="179">
        <v>0</v>
      </c>
      <c r="DW19" s="179">
        <v>1</v>
      </c>
      <c r="DX19" s="179">
        <v>0</v>
      </c>
      <c r="DY19" s="179">
        <v>0</v>
      </c>
      <c r="DZ19" s="179">
        <v>1</v>
      </c>
      <c r="EA19" s="179">
        <v>0</v>
      </c>
      <c r="EB19" s="179">
        <v>1</v>
      </c>
      <c r="EC19" s="179">
        <v>0</v>
      </c>
      <c r="ED19" s="179">
        <v>0</v>
      </c>
      <c r="EE19" s="179">
        <v>0</v>
      </c>
      <c r="EF19" s="178">
        <v>15</v>
      </c>
      <c r="EI19" s="136"/>
      <c r="EJ19" s="126"/>
      <c r="EL19" s="136" t="b">
        <f t="shared" si="1"/>
        <v>1</v>
      </c>
    </row>
    <row r="20" ht="14.25" customHeight="1" spans="1:200" x14ac:dyDescent="0.25">
      <c r="A20" s="177" t="s">
        <v>186</v>
      </c>
      <c r="B20" s="177" t="s">
        <v>187</v>
      </c>
      <c r="C20" s="177" t="s">
        <v>173</v>
      </c>
      <c r="D20" s="177" t="s">
        <v>332</v>
      </c>
      <c r="E20" s="177" t="s">
        <v>333</v>
      </c>
      <c r="F20" s="177" t="s">
        <v>174</v>
      </c>
      <c r="G20" s="177" t="s">
        <v>154</v>
      </c>
      <c r="H20" s="178">
        <v>6</v>
      </c>
      <c r="I20" s="178">
        <v>0</v>
      </c>
      <c r="J20" s="178">
        <v>26</v>
      </c>
      <c r="K20" s="178">
        <v>29</v>
      </c>
      <c r="L20" s="178">
        <v>25</v>
      </c>
      <c r="M20" s="178">
        <v>26</v>
      </c>
      <c r="N20" s="178">
        <v>26</v>
      </c>
      <c r="O20" s="178">
        <v>0</v>
      </c>
      <c r="P20" s="178">
        <v>0</v>
      </c>
      <c r="Q20" s="178">
        <v>28</v>
      </c>
      <c r="R20" s="178">
        <v>29</v>
      </c>
      <c r="S20" s="178">
        <v>30</v>
      </c>
      <c r="T20" s="178">
        <v>28</v>
      </c>
      <c r="U20" s="178">
        <v>28</v>
      </c>
      <c r="V20" s="178">
        <v>25</v>
      </c>
      <c r="W20" s="178">
        <v>0</v>
      </c>
      <c r="X20" s="178">
        <v>30</v>
      </c>
      <c r="Y20" s="178">
        <v>28</v>
      </c>
      <c r="Z20" s="178">
        <v>27</v>
      </c>
      <c r="AA20" s="178">
        <v>31</v>
      </c>
      <c r="AB20" s="178">
        <v>27</v>
      </c>
      <c r="AC20" s="178">
        <v>0</v>
      </c>
      <c r="AD20" s="178">
        <v>0</v>
      </c>
      <c r="AE20" s="178">
        <v>27</v>
      </c>
      <c r="AF20" s="178">
        <v>29</v>
      </c>
      <c r="AG20" s="178">
        <v>23</v>
      </c>
      <c r="AH20" s="178">
        <v>27</v>
      </c>
      <c r="AI20" s="178">
        <v>29</v>
      </c>
      <c r="AJ20" s="178">
        <v>25</v>
      </c>
      <c r="AK20" s="178">
        <v>0</v>
      </c>
      <c r="AL20" s="178">
        <v>0</v>
      </c>
      <c r="AM20" s="178">
        <v>0</v>
      </c>
      <c r="AN20" s="178">
        <v>603</v>
      </c>
      <c r="AO20" s="178">
        <v>0</v>
      </c>
      <c r="AP20" s="178">
        <v>0</v>
      </c>
      <c r="AQ20" s="178">
        <v>0</v>
      </c>
      <c r="AR20" s="178">
        <v>37</v>
      </c>
      <c r="AS20" s="178">
        <v>35</v>
      </c>
      <c r="AT20" s="178">
        <v>34</v>
      </c>
      <c r="AU20" s="178">
        <v>16</v>
      </c>
      <c r="AV20" s="178">
        <v>0</v>
      </c>
      <c r="AW20" s="178">
        <v>33</v>
      </c>
      <c r="AX20" s="178">
        <v>32</v>
      </c>
      <c r="AY20" s="178">
        <v>35</v>
      </c>
      <c r="AZ20" s="178">
        <v>33</v>
      </c>
      <c r="BA20" s="178">
        <v>28</v>
      </c>
      <c r="BB20" s="178">
        <v>26</v>
      </c>
      <c r="BC20" s="178">
        <v>0</v>
      </c>
      <c r="BD20" s="178">
        <v>33</v>
      </c>
      <c r="BE20" s="178">
        <v>32</v>
      </c>
      <c r="BF20" s="178">
        <v>29</v>
      </c>
      <c r="BG20" s="178">
        <v>34</v>
      </c>
      <c r="BH20" s="178">
        <v>29</v>
      </c>
      <c r="BI20" s="178">
        <v>31</v>
      </c>
      <c r="BJ20" s="178">
        <v>0</v>
      </c>
      <c r="BK20" s="178">
        <v>32</v>
      </c>
      <c r="BL20" s="178">
        <v>26</v>
      </c>
      <c r="BM20" s="178">
        <v>23</v>
      </c>
      <c r="BN20" s="178">
        <v>29</v>
      </c>
      <c r="BO20" s="178">
        <v>25</v>
      </c>
      <c r="BP20" s="178">
        <v>18</v>
      </c>
      <c r="BQ20" s="178">
        <v>0</v>
      </c>
      <c r="BR20" s="178">
        <v>28</v>
      </c>
      <c r="BS20" s="178">
        <v>21</v>
      </c>
      <c r="BT20" s="178">
        <v>699</v>
      </c>
      <c r="BU20" s="178">
        <v>18</v>
      </c>
      <c r="BV20" s="178">
        <v>18</v>
      </c>
      <c r="BW20" s="178">
        <v>18</v>
      </c>
      <c r="BX20" s="178">
        <v>9</v>
      </c>
      <c r="BY20" s="178">
        <v>0</v>
      </c>
      <c r="BZ20" s="178">
        <v>18</v>
      </c>
      <c r="CA20" s="178">
        <v>18</v>
      </c>
      <c r="CB20" s="178">
        <v>18</v>
      </c>
      <c r="CC20" s="178">
        <v>18</v>
      </c>
      <c r="CD20" s="178">
        <v>18</v>
      </c>
      <c r="CE20" s="178">
        <v>0</v>
      </c>
      <c r="CF20" s="178">
        <v>0</v>
      </c>
      <c r="CG20" s="178">
        <v>0</v>
      </c>
      <c r="CH20" s="178">
        <v>0</v>
      </c>
      <c r="CI20" s="178">
        <v>0</v>
      </c>
      <c r="CJ20" s="178">
        <v>0</v>
      </c>
      <c r="CK20" s="178">
        <v>0</v>
      </c>
      <c r="CL20" s="178">
        <v>0</v>
      </c>
      <c r="CM20" s="178">
        <v>0</v>
      </c>
      <c r="CN20" s="178">
        <v>18</v>
      </c>
      <c r="CO20" s="178">
        <v>18</v>
      </c>
      <c r="CP20" s="178">
        <v>18</v>
      </c>
      <c r="CQ20" s="178">
        <v>18</v>
      </c>
      <c r="CR20" s="178">
        <v>18</v>
      </c>
      <c r="CS20" s="178">
        <v>18</v>
      </c>
      <c r="CT20" s="178">
        <v>0</v>
      </c>
      <c r="CU20" s="178">
        <v>18</v>
      </c>
      <c r="CV20" s="178">
        <v>18</v>
      </c>
      <c r="CW20" s="178">
        <v>18</v>
      </c>
      <c r="CX20" s="178">
        <v>17</v>
      </c>
      <c r="CY20" s="178">
        <v>0</v>
      </c>
      <c r="CZ20" s="178">
        <v>332</v>
      </c>
      <c r="DA20" s="179">
        <v>0</v>
      </c>
      <c r="DB20" s="179">
        <v>0</v>
      </c>
      <c r="DC20" s="179">
        <v>0</v>
      </c>
      <c r="DD20" s="179">
        <v>32</v>
      </c>
      <c r="DE20" s="179">
        <v>32</v>
      </c>
      <c r="DF20" s="179">
        <v>32</v>
      </c>
      <c r="DG20" s="179">
        <v>32</v>
      </c>
      <c r="DH20" s="179">
        <v>32</v>
      </c>
      <c r="DI20" s="179">
        <v>32</v>
      </c>
      <c r="DJ20" s="179">
        <v>0</v>
      </c>
      <c r="DK20" s="179">
        <v>32</v>
      </c>
      <c r="DL20" s="179">
        <v>33</v>
      </c>
      <c r="DM20" s="179">
        <v>32</v>
      </c>
      <c r="DN20" s="179">
        <v>33</v>
      </c>
      <c r="DO20" s="179">
        <v>32</v>
      </c>
      <c r="DP20" s="179">
        <v>16</v>
      </c>
      <c r="DQ20" s="179">
        <v>0</v>
      </c>
      <c r="DR20" s="179">
        <v>33</v>
      </c>
      <c r="DS20" s="179">
        <v>33</v>
      </c>
      <c r="DT20" s="179">
        <v>32</v>
      </c>
      <c r="DU20" s="179">
        <v>33</v>
      </c>
      <c r="DV20" s="179">
        <v>32</v>
      </c>
      <c r="DW20" s="179">
        <v>33</v>
      </c>
      <c r="DX20" s="179">
        <v>0</v>
      </c>
      <c r="DY20" s="179">
        <v>32</v>
      </c>
      <c r="DZ20" s="179">
        <v>33</v>
      </c>
      <c r="EA20" s="179">
        <v>32</v>
      </c>
      <c r="EB20" s="179">
        <v>33</v>
      </c>
      <c r="EC20" s="179">
        <v>32</v>
      </c>
      <c r="ED20" s="179">
        <v>0</v>
      </c>
      <c r="EE20" s="179">
        <v>0</v>
      </c>
      <c r="EF20" s="178">
        <v>728</v>
      </c>
      <c r="EI20" s="136"/>
      <c r="EJ20" s="126"/>
      <c r="EL20" s="136" t="b">
        <f t="shared" si="1"/>
        <v>1</v>
      </c>
    </row>
    <row r="21" ht="14.25" customHeight="1" spans="1:200" x14ac:dyDescent="0.25">
      <c r="A21" s="177" t="s">
        <v>188</v>
      </c>
      <c r="B21" s="177" t="s">
        <v>189</v>
      </c>
      <c r="C21" s="177" t="s">
        <v>173</v>
      </c>
      <c r="D21" s="177" t="s">
        <v>332</v>
      </c>
      <c r="E21" s="177" t="s">
        <v>333</v>
      </c>
      <c r="F21" s="177" t="s">
        <v>174</v>
      </c>
      <c r="G21" s="177" t="s">
        <v>154</v>
      </c>
      <c r="H21" s="178">
        <v>10</v>
      </c>
      <c r="I21" s="178">
        <v>0</v>
      </c>
      <c r="J21" s="178">
        <v>30</v>
      </c>
      <c r="K21" s="178">
        <v>30</v>
      </c>
      <c r="L21" s="178">
        <v>25</v>
      </c>
      <c r="M21" s="178">
        <v>27</v>
      </c>
      <c r="N21" s="178">
        <v>28</v>
      </c>
      <c r="O21" s="178">
        <v>0</v>
      </c>
      <c r="P21" s="178">
        <v>0</v>
      </c>
      <c r="Q21" s="178">
        <v>25</v>
      </c>
      <c r="R21" s="178">
        <v>29</v>
      </c>
      <c r="S21" s="178">
        <v>31</v>
      </c>
      <c r="T21" s="178">
        <v>31</v>
      </c>
      <c r="U21" s="178">
        <v>31</v>
      </c>
      <c r="V21" s="178">
        <v>17</v>
      </c>
      <c r="W21" s="178">
        <v>0</v>
      </c>
      <c r="X21" s="178">
        <v>26</v>
      </c>
      <c r="Y21" s="178">
        <v>33</v>
      </c>
      <c r="Z21" s="178">
        <v>29</v>
      </c>
      <c r="AA21" s="178">
        <v>34</v>
      </c>
      <c r="AB21" s="178">
        <v>29</v>
      </c>
      <c r="AC21" s="178">
        <v>0</v>
      </c>
      <c r="AD21" s="178">
        <v>0</v>
      </c>
      <c r="AE21" s="178">
        <v>24</v>
      </c>
      <c r="AF21" s="178">
        <v>30</v>
      </c>
      <c r="AG21" s="178">
        <v>24</v>
      </c>
      <c r="AH21" s="178">
        <v>26</v>
      </c>
      <c r="AI21" s="178">
        <v>31</v>
      </c>
      <c r="AJ21" s="178">
        <v>28</v>
      </c>
      <c r="AK21" s="178">
        <v>0</v>
      </c>
      <c r="AL21" s="178">
        <v>0</v>
      </c>
      <c r="AM21" s="178">
        <v>0</v>
      </c>
      <c r="AN21" s="178">
        <v>618</v>
      </c>
      <c r="AO21" s="178">
        <v>0</v>
      </c>
      <c r="AP21" s="178">
        <v>0</v>
      </c>
      <c r="AQ21" s="178">
        <v>0</v>
      </c>
      <c r="AR21" s="178">
        <v>40</v>
      </c>
      <c r="AS21" s="178">
        <v>36</v>
      </c>
      <c r="AT21" s="178">
        <v>37</v>
      </c>
      <c r="AU21" s="178">
        <v>15</v>
      </c>
      <c r="AV21" s="178">
        <v>0</v>
      </c>
      <c r="AW21" s="178">
        <v>35</v>
      </c>
      <c r="AX21" s="178">
        <v>34</v>
      </c>
      <c r="AY21" s="178">
        <v>36</v>
      </c>
      <c r="AZ21" s="178">
        <v>34</v>
      </c>
      <c r="BA21" s="178">
        <v>31</v>
      </c>
      <c r="BB21" s="178">
        <v>29</v>
      </c>
      <c r="BC21" s="178">
        <v>0</v>
      </c>
      <c r="BD21" s="178">
        <v>32</v>
      </c>
      <c r="BE21" s="178">
        <v>30</v>
      </c>
      <c r="BF21" s="178">
        <v>31</v>
      </c>
      <c r="BG21" s="178">
        <v>34</v>
      </c>
      <c r="BH21" s="178">
        <v>33</v>
      </c>
      <c r="BI21" s="178">
        <v>33</v>
      </c>
      <c r="BJ21" s="178">
        <v>0</v>
      </c>
      <c r="BK21" s="178">
        <v>31</v>
      </c>
      <c r="BL21" s="178">
        <v>28</v>
      </c>
      <c r="BM21" s="178">
        <v>26</v>
      </c>
      <c r="BN21" s="178">
        <v>29</v>
      </c>
      <c r="BO21" s="178">
        <v>26</v>
      </c>
      <c r="BP21" s="178">
        <v>21</v>
      </c>
      <c r="BQ21" s="178">
        <v>0</v>
      </c>
      <c r="BR21" s="178">
        <v>28</v>
      </c>
      <c r="BS21" s="178">
        <v>24</v>
      </c>
      <c r="BT21" s="178">
        <v>733</v>
      </c>
      <c r="BU21" s="178">
        <v>22</v>
      </c>
      <c r="BV21" s="178">
        <v>22</v>
      </c>
      <c r="BW21" s="178">
        <v>22</v>
      </c>
      <c r="BX21" s="178">
        <v>11</v>
      </c>
      <c r="BY21" s="178">
        <v>0</v>
      </c>
      <c r="BZ21" s="178">
        <v>22</v>
      </c>
      <c r="CA21" s="178">
        <v>22</v>
      </c>
      <c r="CB21" s="178">
        <v>22</v>
      </c>
      <c r="CC21" s="178">
        <v>22</v>
      </c>
      <c r="CD21" s="178">
        <v>22</v>
      </c>
      <c r="CE21" s="178">
        <v>0</v>
      </c>
      <c r="CF21" s="178">
        <v>0</v>
      </c>
      <c r="CG21" s="178">
        <v>0</v>
      </c>
      <c r="CH21" s="178">
        <v>0</v>
      </c>
      <c r="CI21" s="178">
        <v>0</v>
      </c>
      <c r="CJ21" s="178">
        <v>0</v>
      </c>
      <c r="CK21" s="178">
        <v>0</v>
      </c>
      <c r="CL21" s="178">
        <v>0</v>
      </c>
      <c r="CM21" s="178">
        <v>0</v>
      </c>
      <c r="CN21" s="178">
        <v>22</v>
      </c>
      <c r="CO21" s="178">
        <v>22</v>
      </c>
      <c r="CP21" s="178">
        <v>22</v>
      </c>
      <c r="CQ21" s="178">
        <v>22</v>
      </c>
      <c r="CR21" s="178">
        <v>22</v>
      </c>
      <c r="CS21" s="178">
        <v>22</v>
      </c>
      <c r="CT21" s="178">
        <v>0</v>
      </c>
      <c r="CU21" s="178">
        <v>22</v>
      </c>
      <c r="CV21" s="178">
        <v>22</v>
      </c>
      <c r="CW21" s="178">
        <v>22</v>
      </c>
      <c r="CX21" s="178">
        <v>21</v>
      </c>
      <c r="CY21" s="178">
        <v>0</v>
      </c>
      <c r="CZ21" s="178">
        <v>406</v>
      </c>
      <c r="DA21" s="179">
        <v>0</v>
      </c>
      <c r="DB21" s="179">
        <v>0</v>
      </c>
      <c r="DC21" s="179">
        <v>0</v>
      </c>
      <c r="DD21" s="179">
        <v>0</v>
      </c>
      <c r="DE21" s="179">
        <v>0</v>
      </c>
      <c r="DF21" s="179">
        <v>0</v>
      </c>
      <c r="DG21" s="179">
        <v>0</v>
      </c>
      <c r="DH21" s="179">
        <v>0</v>
      </c>
      <c r="DI21" s="179">
        <v>0</v>
      </c>
      <c r="DJ21" s="179">
        <v>0</v>
      </c>
      <c r="DK21" s="179">
        <v>0</v>
      </c>
      <c r="DL21" s="179">
        <v>0</v>
      </c>
      <c r="DM21" s="179">
        <v>0</v>
      </c>
      <c r="DN21" s="179">
        <v>0</v>
      </c>
      <c r="DO21" s="179">
        <v>0</v>
      </c>
      <c r="DP21" s="179">
        <v>0</v>
      </c>
      <c r="DQ21" s="179">
        <v>0</v>
      </c>
      <c r="DR21" s="179">
        <v>0</v>
      </c>
      <c r="DS21" s="179">
        <v>0</v>
      </c>
      <c r="DT21" s="179">
        <v>0</v>
      </c>
      <c r="DU21" s="179">
        <v>0</v>
      </c>
      <c r="DV21" s="179">
        <v>0</v>
      </c>
      <c r="DW21" s="179">
        <v>0</v>
      </c>
      <c r="DX21" s="179">
        <v>0</v>
      </c>
      <c r="DY21" s="179">
        <v>0</v>
      </c>
      <c r="DZ21" s="179">
        <v>0</v>
      </c>
      <c r="EA21" s="179">
        <v>0</v>
      </c>
      <c r="EB21" s="179">
        <v>0</v>
      </c>
      <c r="EC21" s="179">
        <v>0</v>
      </c>
      <c r="ED21" s="179">
        <v>0</v>
      </c>
      <c r="EE21" s="179">
        <v>0</v>
      </c>
      <c r="EF21" s="178">
        <v>0</v>
      </c>
      <c r="EI21" s="136"/>
      <c r="EJ21" s="126"/>
      <c r="EL21" s="136" t="b">
        <f t="shared" si="1"/>
        <v>1</v>
      </c>
    </row>
    <row r="22" ht="14.25" customHeight="1" spans="1:200" x14ac:dyDescent="0.25">
      <c r="A22" s="177" t="s">
        <v>167</v>
      </c>
      <c r="B22" s="177" t="s">
        <v>190</v>
      </c>
      <c r="C22" s="177" t="s">
        <v>173</v>
      </c>
      <c r="D22" s="177" t="s">
        <v>332</v>
      </c>
      <c r="E22" s="177"/>
      <c r="F22" s="177" t="s">
        <v>334</v>
      </c>
      <c r="G22" s="177" t="s">
        <v>192</v>
      </c>
      <c r="H22" s="178">
        <v>25</v>
      </c>
      <c r="I22" s="178">
        <v>0</v>
      </c>
      <c r="J22" s="178">
        <v>10</v>
      </c>
      <c r="K22" s="178">
        <v>9</v>
      </c>
      <c r="L22" s="178">
        <v>10</v>
      </c>
      <c r="M22" s="178">
        <v>11</v>
      </c>
      <c r="N22" s="178">
        <v>8</v>
      </c>
      <c r="O22" s="178">
        <v>0</v>
      </c>
      <c r="P22" s="178">
        <v>0</v>
      </c>
      <c r="Q22" s="178">
        <v>9</v>
      </c>
      <c r="R22" s="178">
        <v>9</v>
      </c>
      <c r="S22" s="178">
        <v>9</v>
      </c>
      <c r="T22" s="178">
        <v>11</v>
      </c>
      <c r="U22" s="178">
        <v>9</v>
      </c>
      <c r="V22" s="178">
        <v>8</v>
      </c>
      <c r="W22" s="178">
        <v>0</v>
      </c>
      <c r="X22" s="178">
        <v>10</v>
      </c>
      <c r="Y22" s="178">
        <v>10</v>
      </c>
      <c r="Z22" s="178">
        <v>10</v>
      </c>
      <c r="AA22" s="178">
        <v>9</v>
      </c>
      <c r="AB22" s="178">
        <v>10</v>
      </c>
      <c r="AC22" s="178">
        <v>0</v>
      </c>
      <c r="AD22" s="178">
        <v>0</v>
      </c>
      <c r="AE22" s="178">
        <v>7</v>
      </c>
      <c r="AF22" s="178">
        <v>8</v>
      </c>
      <c r="AG22" s="178">
        <v>8</v>
      </c>
      <c r="AH22" s="178">
        <v>10</v>
      </c>
      <c r="AI22" s="178">
        <v>7</v>
      </c>
      <c r="AJ22" s="178">
        <v>9</v>
      </c>
      <c r="AK22" s="178">
        <v>0</v>
      </c>
      <c r="AL22" s="178">
        <v>0</v>
      </c>
      <c r="AM22" s="178">
        <v>0</v>
      </c>
      <c r="AN22" s="178">
        <v>201</v>
      </c>
      <c r="AO22" s="178">
        <v>0</v>
      </c>
      <c r="AP22" s="178">
        <v>0</v>
      </c>
      <c r="AQ22" s="178">
        <v>0</v>
      </c>
      <c r="AR22" s="178">
        <v>8</v>
      </c>
      <c r="AS22" s="178">
        <v>6</v>
      </c>
      <c r="AT22" s="178">
        <v>7</v>
      </c>
      <c r="AU22" s="178">
        <v>0</v>
      </c>
      <c r="AV22" s="178">
        <v>0</v>
      </c>
      <c r="AW22" s="178">
        <v>7</v>
      </c>
      <c r="AX22" s="178">
        <v>6</v>
      </c>
      <c r="AY22" s="178">
        <v>6</v>
      </c>
      <c r="AZ22" s="178">
        <v>8</v>
      </c>
      <c r="BA22" s="178">
        <v>7</v>
      </c>
      <c r="BB22" s="178">
        <v>6</v>
      </c>
      <c r="BC22" s="178">
        <v>0</v>
      </c>
      <c r="BD22" s="178">
        <v>7</v>
      </c>
      <c r="BE22" s="178">
        <v>5</v>
      </c>
      <c r="BF22" s="178">
        <v>7</v>
      </c>
      <c r="BG22" s="178">
        <v>6</v>
      </c>
      <c r="BH22" s="178">
        <v>7</v>
      </c>
      <c r="BI22" s="178">
        <v>0</v>
      </c>
      <c r="BJ22" s="178">
        <v>0</v>
      </c>
      <c r="BK22" s="178">
        <v>6</v>
      </c>
      <c r="BL22" s="178">
        <v>6</v>
      </c>
      <c r="BM22" s="178">
        <v>7</v>
      </c>
      <c r="BN22" s="178">
        <v>6</v>
      </c>
      <c r="BO22" s="178">
        <v>7</v>
      </c>
      <c r="BP22" s="178">
        <v>6</v>
      </c>
      <c r="BQ22" s="178">
        <v>0</v>
      </c>
      <c r="BR22" s="178">
        <v>7</v>
      </c>
      <c r="BS22" s="178">
        <v>6</v>
      </c>
      <c r="BT22" s="178">
        <v>144</v>
      </c>
      <c r="BU22" s="178">
        <v>4</v>
      </c>
      <c r="BV22" s="178">
        <v>4</v>
      </c>
      <c r="BW22" s="178">
        <v>4</v>
      </c>
      <c r="BX22" s="178">
        <v>2</v>
      </c>
      <c r="BY22" s="178">
        <v>0</v>
      </c>
      <c r="BZ22" s="178">
        <v>4</v>
      </c>
      <c r="CA22" s="178">
        <v>4</v>
      </c>
      <c r="CB22" s="178">
        <v>4</v>
      </c>
      <c r="CC22" s="178">
        <v>4</v>
      </c>
      <c r="CD22" s="178">
        <v>4</v>
      </c>
      <c r="CE22" s="178">
        <v>0</v>
      </c>
      <c r="CF22" s="178">
        <v>0</v>
      </c>
      <c r="CG22" s="178">
        <v>0</v>
      </c>
      <c r="CH22" s="178">
        <v>0</v>
      </c>
      <c r="CI22" s="178">
        <v>0</v>
      </c>
      <c r="CJ22" s="178">
        <v>0</v>
      </c>
      <c r="CK22" s="178">
        <v>0</v>
      </c>
      <c r="CL22" s="178">
        <v>0</v>
      </c>
      <c r="CM22" s="178">
        <v>0</v>
      </c>
      <c r="CN22" s="178">
        <v>5</v>
      </c>
      <c r="CO22" s="178">
        <v>4</v>
      </c>
      <c r="CP22" s="178">
        <v>5</v>
      </c>
      <c r="CQ22" s="178">
        <v>4</v>
      </c>
      <c r="CR22" s="178">
        <v>5</v>
      </c>
      <c r="CS22" s="178">
        <v>4</v>
      </c>
      <c r="CT22" s="178">
        <v>0</v>
      </c>
      <c r="CU22" s="178">
        <v>5</v>
      </c>
      <c r="CV22" s="178">
        <v>4</v>
      </c>
      <c r="CW22" s="178">
        <v>5</v>
      </c>
      <c r="CX22" s="178">
        <v>4</v>
      </c>
      <c r="CY22" s="178">
        <v>0</v>
      </c>
      <c r="CZ22" s="178">
        <v>79</v>
      </c>
      <c r="DA22" s="179">
        <v>0</v>
      </c>
      <c r="DB22" s="179">
        <v>0</v>
      </c>
      <c r="DC22" s="179">
        <v>0</v>
      </c>
      <c r="DD22" s="179">
        <v>9</v>
      </c>
      <c r="DE22" s="179">
        <v>9</v>
      </c>
      <c r="DF22" s="179">
        <v>9</v>
      </c>
      <c r="DG22" s="179">
        <v>9</v>
      </c>
      <c r="DH22" s="179">
        <v>9</v>
      </c>
      <c r="DI22" s="179">
        <v>9</v>
      </c>
      <c r="DJ22" s="179">
        <v>0</v>
      </c>
      <c r="DK22" s="179">
        <v>9</v>
      </c>
      <c r="DL22" s="179">
        <v>9</v>
      </c>
      <c r="DM22" s="179">
        <v>9</v>
      </c>
      <c r="DN22" s="179">
        <v>9</v>
      </c>
      <c r="DO22" s="179">
        <v>9</v>
      </c>
      <c r="DP22" s="179">
        <v>4</v>
      </c>
      <c r="DQ22" s="179">
        <v>0</v>
      </c>
      <c r="DR22" s="179">
        <v>9</v>
      </c>
      <c r="DS22" s="179">
        <v>9</v>
      </c>
      <c r="DT22" s="179">
        <v>9</v>
      </c>
      <c r="DU22" s="179">
        <v>9</v>
      </c>
      <c r="DV22" s="179">
        <v>9</v>
      </c>
      <c r="DW22" s="179">
        <v>9</v>
      </c>
      <c r="DX22" s="179">
        <v>0</v>
      </c>
      <c r="DY22" s="179">
        <v>9</v>
      </c>
      <c r="DZ22" s="179">
        <v>9</v>
      </c>
      <c r="EA22" s="179">
        <v>8</v>
      </c>
      <c r="EB22" s="179">
        <v>9</v>
      </c>
      <c r="EC22" s="179">
        <v>8</v>
      </c>
      <c r="ED22" s="179">
        <v>0</v>
      </c>
      <c r="EE22" s="179">
        <v>0</v>
      </c>
      <c r="EF22" s="178">
        <v>200</v>
      </c>
      <c r="EJ22" s="126"/>
      <c r="EL22" s="136"/>
    </row>
    <row r="23" ht="14.25" customHeight="1" spans="1:200" x14ac:dyDescent="0.25">
      <c r="A23" s="177" t="s">
        <v>167</v>
      </c>
      <c r="B23" s="177" t="s">
        <v>190</v>
      </c>
      <c r="C23" s="177" t="s">
        <v>173</v>
      </c>
      <c r="D23" s="177" t="s">
        <v>332</v>
      </c>
      <c r="E23" s="177" t="s">
        <v>335</v>
      </c>
      <c r="F23" s="177" t="s">
        <v>174</v>
      </c>
      <c r="G23" s="177" t="s">
        <v>192</v>
      </c>
      <c r="H23" s="178">
        <v>25</v>
      </c>
      <c r="I23" s="178">
        <v>0</v>
      </c>
      <c r="J23" s="178">
        <v>110</v>
      </c>
      <c r="K23" s="178">
        <v>106</v>
      </c>
      <c r="L23" s="178">
        <v>101</v>
      </c>
      <c r="M23" s="178">
        <v>100</v>
      </c>
      <c r="N23" s="178">
        <v>92</v>
      </c>
      <c r="O23" s="178">
        <v>0</v>
      </c>
      <c r="P23" s="178">
        <v>0</v>
      </c>
      <c r="Q23" s="178">
        <v>107</v>
      </c>
      <c r="R23" s="178">
        <v>108</v>
      </c>
      <c r="S23" s="178">
        <v>100</v>
      </c>
      <c r="T23" s="178">
        <v>108</v>
      </c>
      <c r="U23" s="178">
        <v>99</v>
      </c>
      <c r="V23" s="178">
        <v>94</v>
      </c>
      <c r="W23" s="178">
        <v>0</v>
      </c>
      <c r="X23" s="178">
        <v>105</v>
      </c>
      <c r="Y23" s="178">
        <v>98</v>
      </c>
      <c r="Z23" s="178">
        <v>106</v>
      </c>
      <c r="AA23" s="178">
        <v>103</v>
      </c>
      <c r="AB23" s="178">
        <v>101</v>
      </c>
      <c r="AC23" s="178">
        <v>0</v>
      </c>
      <c r="AD23" s="178">
        <v>0</v>
      </c>
      <c r="AE23" s="178">
        <v>0</v>
      </c>
      <c r="AF23" s="178">
        <v>0</v>
      </c>
      <c r="AG23" s="178">
        <v>0</v>
      </c>
      <c r="AH23" s="178">
        <v>0</v>
      </c>
      <c r="AI23" s="178">
        <v>0</v>
      </c>
      <c r="AJ23" s="178">
        <v>1</v>
      </c>
      <c r="AK23" s="178">
        <v>0</v>
      </c>
      <c r="AL23" s="178">
        <v>0</v>
      </c>
      <c r="AM23" s="178">
        <v>0</v>
      </c>
      <c r="AN23" s="178">
        <v>1639</v>
      </c>
      <c r="AO23" s="178">
        <v>0</v>
      </c>
      <c r="AP23" s="178">
        <v>0</v>
      </c>
      <c r="AQ23" s="178">
        <v>0</v>
      </c>
      <c r="AR23" s="178">
        <v>121</v>
      </c>
      <c r="AS23" s="178">
        <v>122</v>
      </c>
      <c r="AT23" s="178">
        <v>116</v>
      </c>
      <c r="AU23" s="178">
        <v>50</v>
      </c>
      <c r="AV23" s="178">
        <v>0</v>
      </c>
      <c r="AW23" s="178">
        <v>116</v>
      </c>
      <c r="AX23" s="178">
        <v>115</v>
      </c>
      <c r="AY23" s="178">
        <v>121</v>
      </c>
      <c r="AZ23" s="178">
        <v>120</v>
      </c>
      <c r="BA23" s="178">
        <v>108</v>
      </c>
      <c r="BB23" s="178">
        <v>100</v>
      </c>
      <c r="BC23" s="178">
        <v>0</v>
      </c>
      <c r="BD23" s="178">
        <v>166</v>
      </c>
      <c r="BE23" s="178">
        <v>157</v>
      </c>
      <c r="BF23" s="178">
        <v>148</v>
      </c>
      <c r="BG23" s="178">
        <v>170</v>
      </c>
      <c r="BH23" s="178">
        <v>159</v>
      </c>
      <c r="BI23" s="178">
        <v>158</v>
      </c>
      <c r="BJ23" s="178">
        <v>0</v>
      </c>
      <c r="BK23" s="178">
        <v>170</v>
      </c>
      <c r="BL23" s="178">
        <v>165</v>
      </c>
      <c r="BM23" s="178">
        <v>143</v>
      </c>
      <c r="BN23" s="178">
        <v>173</v>
      </c>
      <c r="BO23" s="178">
        <v>154</v>
      </c>
      <c r="BP23" s="178">
        <v>143</v>
      </c>
      <c r="BQ23" s="178">
        <v>0</v>
      </c>
      <c r="BR23" s="178">
        <v>170</v>
      </c>
      <c r="BS23" s="178">
        <v>151</v>
      </c>
      <c r="BT23" s="178">
        <v>3316</v>
      </c>
      <c r="BU23" s="178">
        <v>118</v>
      </c>
      <c r="BV23" s="178">
        <v>118</v>
      </c>
      <c r="BW23" s="178">
        <v>118</v>
      </c>
      <c r="BX23" s="178">
        <v>59</v>
      </c>
      <c r="BY23" s="178">
        <v>0</v>
      </c>
      <c r="BZ23" s="178">
        <v>118</v>
      </c>
      <c r="CA23" s="178">
        <v>118</v>
      </c>
      <c r="CB23" s="178">
        <v>118</v>
      </c>
      <c r="CC23" s="178">
        <v>118</v>
      </c>
      <c r="CD23" s="178">
        <v>118</v>
      </c>
      <c r="CE23" s="178">
        <v>0</v>
      </c>
      <c r="CF23" s="178">
        <v>0</v>
      </c>
      <c r="CG23" s="178">
        <v>0</v>
      </c>
      <c r="CH23" s="178">
        <v>0</v>
      </c>
      <c r="CI23" s="178">
        <v>0</v>
      </c>
      <c r="CJ23" s="178">
        <v>0</v>
      </c>
      <c r="CK23" s="178">
        <v>0</v>
      </c>
      <c r="CL23" s="178">
        <v>0</v>
      </c>
      <c r="CM23" s="178">
        <v>0</v>
      </c>
      <c r="CN23" s="178">
        <v>118</v>
      </c>
      <c r="CO23" s="178">
        <v>118</v>
      </c>
      <c r="CP23" s="178">
        <v>118</v>
      </c>
      <c r="CQ23" s="178">
        <v>118</v>
      </c>
      <c r="CR23" s="178">
        <v>118</v>
      </c>
      <c r="CS23" s="178">
        <v>118</v>
      </c>
      <c r="CT23" s="178">
        <v>0</v>
      </c>
      <c r="CU23" s="178">
        <v>118</v>
      </c>
      <c r="CV23" s="178">
        <v>118</v>
      </c>
      <c r="CW23" s="178">
        <v>118</v>
      </c>
      <c r="CX23" s="178">
        <v>118</v>
      </c>
      <c r="CY23" s="178">
        <v>0</v>
      </c>
      <c r="CZ23" s="178">
        <v>2183</v>
      </c>
      <c r="DA23" s="179">
        <v>0</v>
      </c>
      <c r="DB23" s="179">
        <v>0</v>
      </c>
      <c r="DC23" s="179">
        <v>0</v>
      </c>
      <c r="DD23" s="179">
        <v>147</v>
      </c>
      <c r="DE23" s="179">
        <v>147</v>
      </c>
      <c r="DF23" s="179">
        <v>147</v>
      </c>
      <c r="DG23" s="179">
        <v>147</v>
      </c>
      <c r="DH23" s="179">
        <v>147</v>
      </c>
      <c r="DI23" s="179">
        <v>147</v>
      </c>
      <c r="DJ23" s="179">
        <v>0</v>
      </c>
      <c r="DK23" s="179">
        <v>147</v>
      </c>
      <c r="DL23" s="179">
        <v>147</v>
      </c>
      <c r="DM23" s="179">
        <v>147</v>
      </c>
      <c r="DN23" s="179">
        <v>147</v>
      </c>
      <c r="DO23" s="179">
        <v>147</v>
      </c>
      <c r="DP23" s="179">
        <v>74</v>
      </c>
      <c r="DQ23" s="179">
        <v>0</v>
      </c>
      <c r="DR23" s="179">
        <v>147</v>
      </c>
      <c r="DS23" s="179">
        <v>147</v>
      </c>
      <c r="DT23" s="179">
        <v>147</v>
      </c>
      <c r="DU23" s="179">
        <v>147</v>
      </c>
      <c r="DV23" s="179">
        <v>147</v>
      </c>
      <c r="DW23" s="179">
        <v>147</v>
      </c>
      <c r="DX23" s="179">
        <v>0</v>
      </c>
      <c r="DY23" s="179">
        <v>147</v>
      </c>
      <c r="DZ23" s="179">
        <v>147</v>
      </c>
      <c r="EA23" s="179">
        <v>147</v>
      </c>
      <c r="EB23" s="179">
        <v>147</v>
      </c>
      <c r="EC23" s="179">
        <v>147</v>
      </c>
      <c r="ED23" s="179">
        <v>0</v>
      </c>
      <c r="EE23" s="179">
        <v>0</v>
      </c>
      <c r="EF23" s="178">
        <v>3308</v>
      </c>
      <c r="EJ23" s="126"/>
    </row>
    <row r="24" ht="14.25" customHeight="1" spans="1:200" x14ac:dyDescent="0.25">
      <c r="A24" s="177" t="s">
        <v>169</v>
      </c>
      <c r="B24" s="177" t="s">
        <v>193</v>
      </c>
      <c r="C24" s="177" t="s">
        <v>173</v>
      </c>
      <c r="D24" s="177" t="s">
        <v>332</v>
      </c>
      <c r="E24" s="177"/>
      <c r="F24" s="177" t="s">
        <v>334</v>
      </c>
      <c r="G24" s="177" t="s">
        <v>192</v>
      </c>
      <c r="H24" s="178">
        <v>38</v>
      </c>
      <c r="I24" s="178">
        <v>0</v>
      </c>
      <c r="J24" s="178">
        <v>10</v>
      </c>
      <c r="K24" s="178">
        <v>9</v>
      </c>
      <c r="L24" s="178">
        <v>10</v>
      </c>
      <c r="M24" s="178">
        <v>11</v>
      </c>
      <c r="N24" s="178">
        <v>8</v>
      </c>
      <c r="O24" s="178">
        <v>0</v>
      </c>
      <c r="P24" s="178">
        <v>0</v>
      </c>
      <c r="Q24" s="178">
        <v>9</v>
      </c>
      <c r="R24" s="178">
        <v>9</v>
      </c>
      <c r="S24" s="178">
        <v>9</v>
      </c>
      <c r="T24" s="178">
        <v>11</v>
      </c>
      <c r="U24" s="178">
        <v>9</v>
      </c>
      <c r="V24" s="178">
        <v>8</v>
      </c>
      <c r="W24" s="178">
        <v>0</v>
      </c>
      <c r="X24" s="178">
        <v>10</v>
      </c>
      <c r="Y24" s="178">
        <v>10</v>
      </c>
      <c r="Z24" s="178">
        <v>10</v>
      </c>
      <c r="AA24" s="178">
        <v>9</v>
      </c>
      <c r="AB24" s="178">
        <v>10</v>
      </c>
      <c r="AC24" s="178">
        <v>0</v>
      </c>
      <c r="AD24" s="178">
        <v>0</v>
      </c>
      <c r="AE24" s="178">
        <v>7</v>
      </c>
      <c r="AF24" s="178">
        <v>8</v>
      </c>
      <c r="AG24" s="178">
        <v>8</v>
      </c>
      <c r="AH24" s="178">
        <v>10</v>
      </c>
      <c r="AI24" s="178">
        <v>7</v>
      </c>
      <c r="AJ24" s="178">
        <v>9</v>
      </c>
      <c r="AK24" s="178">
        <v>0</v>
      </c>
      <c r="AL24" s="178">
        <v>0</v>
      </c>
      <c r="AM24" s="178">
        <v>0</v>
      </c>
      <c r="AN24" s="178">
        <v>201</v>
      </c>
      <c r="AO24" s="178">
        <v>0</v>
      </c>
      <c r="AP24" s="178">
        <v>0</v>
      </c>
      <c r="AQ24" s="178">
        <v>0</v>
      </c>
      <c r="AR24" s="178">
        <v>8</v>
      </c>
      <c r="AS24" s="178">
        <v>6</v>
      </c>
      <c r="AT24" s="178">
        <v>7</v>
      </c>
      <c r="AU24" s="178">
        <v>0</v>
      </c>
      <c r="AV24" s="178">
        <v>0</v>
      </c>
      <c r="AW24" s="178">
        <v>7</v>
      </c>
      <c r="AX24" s="178">
        <v>6</v>
      </c>
      <c r="AY24" s="178">
        <v>6</v>
      </c>
      <c r="AZ24" s="178">
        <v>8</v>
      </c>
      <c r="BA24" s="178">
        <v>7</v>
      </c>
      <c r="BB24" s="178">
        <v>6</v>
      </c>
      <c r="BC24" s="178">
        <v>0</v>
      </c>
      <c r="BD24" s="178">
        <v>7</v>
      </c>
      <c r="BE24" s="178">
        <v>5</v>
      </c>
      <c r="BF24" s="178">
        <v>7</v>
      </c>
      <c r="BG24" s="178">
        <v>6</v>
      </c>
      <c r="BH24" s="178">
        <v>7</v>
      </c>
      <c r="BI24" s="178">
        <v>0</v>
      </c>
      <c r="BJ24" s="178">
        <v>0</v>
      </c>
      <c r="BK24" s="178">
        <v>6</v>
      </c>
      <c r="BL24" s="178">
        <v>6</v>
      </c>
      <c r="BM24" s="178">
        <v>7</v>
      </c>
      <c r="BN24" s="178">
        <v>6</v>
      </c>
      <c r="BO24" s="178">
        <v>7</v>
      </c>
      <c r="BP24" s="178">
        <v>6</v>
      </c>
      <c r="BQ24" s="178">
        <v>0</v>
      </c>
      <c r="BR24" s="178">
        <v>7</v>
      </c>
      <c r="BS24" s="178">
        <v>6</v>
      </c>
      <c r="BT24" s="178">
        <v>144</v>
      </c>
      <c r="BU24" s="178">
        <v>4</v>
      </c>
      <c r="BV24" s="178">
        <v>4</v>
      </c>
      <c r="BW24" s="178">
        <v>4</v>
      </c>
      <c r="BX24" s="178">
        <v>2</v>
      </c>
      <c r="BY24" s="178">
        <v>0</v>
      </c>
      <c r="BZ24" s="178">
        <v>4</v>
      </c>
      <c r="CA24" s="178">
        <v>4</v>
      </c>
      <c r="CB24" s="178">
        <v>4</v>
      </c>
      <c r="CC24" s="178">
        <v>4</v>
      </c>
      <c r="CD24" s="178">
        <v>4</v>
      </c>
      <c r="CE24" s="178">
        <v>0</v>
      </c>
      <c r="CF24" s="178">
        <v>0</v>
      </c>
      <c r="CG24" s="178">
        <v>0</v>
      </c>
      <c r="CH24" s="178">
        <v>0</v>
      </c>
      <c r="CI24" s="178">
        <v>0</v>
      </c>
      <c r="CJ24" s="178">
        <v>0</v>
      </c>
      <c r="CK24" s="178">
        <v>0</v>
      </c>
      <c r="CL24" s="178">
        <v>0</v>
      </c>
      <c r="CM24" s="178">
        <v>0</v>
      </c>
      <c r="CN24" s="178">
        <v>5</v>
      </c>
      <c r="CO24" s="178">
        <v>4</v>
      </c>
      <c r="CP24" s="178">
        <v>5</v>
      </c>
      <c r="CQ24" s="178">
        <v>4</v>
      </c>
      <c r="CR24" s="178">
        <v>5</v>
      </c>
      <c r="CS24" s="178">
        <v>4</v>
      </c>
      <c r="CT24" s="178">
        <v>0</v>
      </c>
      <c r="CU24" s="178">
        <v>5</v>
      </c>
      <c r="CV24" s="178">
        <v>4</v>
      </c>
      <c r="CW24" s="178">
        <v>5</v>
      </c>
      <c r="CX24" s="178">
        <v>4</v>
      </c>
      <c r="CY24" s="178">
        <v>0</v>
      </c>
      <c r="CZ24" s="178">
        <v>79</v>
      </c>
      <c r="DA24" s="179">
        <v>0</v>
      </c>
      <c r="DB24" s="179">
        <v>0</v>
      </c>
      <c r="DC24" s="179">
        <v>0</v>
      </c>
      <c r="DD24" s="179">
        <v>9</v>
      </c>
      <c r="DE24" s="179">
        <v>9</v>
      </c>
      <c r="DF24" s="179">
        <v>9</v>
      </c>
      <c r="DG24" s="179">
        <v>9</v>
      </c>
      <c r="DH24" s="179">
        <v>9</v>
      </c>
      <c r="DI24" s="179">
        <v>9</v>
      </c>
      <c r="DJ24" s="179">
        <v>0</v>
      </c>
      <c r="DK24" s="179">
        <v>9</v>
      </c>
      <c r="DL24" s="179">
        <v>9</v>
      </c>
      <c r="DM24" s="179">
        <v>9</v>
      </c>
      <c r="DN24" s="179">
        <v>9</v>
      </c>
      <c r="DO24" s="179">
        <v>9</v>
      </c>
      <c r="DP24" s="179">
        <v>4</v>
      </c>
      <c r="DQ24" s="179">
        <v>0</v>
      </c>
      <c r="DR24" s="179">
        <v>9</v>
      </c>
      <c r="DS24" s="179">
        <v>9</v>
      </c>
      <c r="DT24" s="179">
        <v>9</v>
      </c>
      <c r="DU24" s="179">
        <v>9</v>
      </c>
      <c r="DV24" s="179">
        <v>9</v>
      </c>
      <c r="DW24" s="179">
        <v>9</v>
      </c>
      <c r="DX24" s="179">
        <v>0</v>
      </c>
      <c r="DY24" s="179">
        <v>9</v>
      </c>
      <c r="DZ24" s="179">
        <v>9</v>
      </c>
      <c r="EA24" s="179">
        <v>8</v>
      </c>
      <c r="EB24" s="179">
        <v>9</v>
      </c>
      <c r="EC24" s="179">
        <v>8</v>
      </c>
      <c r="ED24" s="179">
        <v>0</v>
      </c>
      <c r="EE24" s="179">
        <v>0</v>
      </c>
      <c r="EF24" s="178">
        <v>200</v>
      </c>
      <c r="EJ24" s="126"/>
    </row>
    <row r="25" ht="14.25" customHeight="1" spans="1:200" x14ac:dyDescent="0.25">
      <c r="A25" s="177" t="s">
        <v>169</v>
      </c>
      <c r="B25" s="177" t="s">
        <v>193</v>
      </c>
      <c r="C25" s="177" t="s">
        <v>173</v>
      </c>
      <c r="D25" s="177" t="s">
        <v>332</v>
      </c>
      <c r="E25" s="177" t="s">
        <v>335</v>
      </c>
      <c r="F25" s="177" t="s">
        <v>174</v>
      </c>
      <c r="G25" s="177" t="s">
        <v>192</v>
      </c>
      <c r="H25" s="178">
        <v>38</v>
      </c>
      <c r="I25" s="178">
        <v>0</v>
      </c>
      <c r="J25" s="178">
        <v>110</v>
      </c>
      <c r="K25" s="178">
        <v>106</v>
      </c>
      <c r="L25" s="178">
        <v>101</v>
      </c>
      <c r="M25" s="178">
        <v>100</v>
      </c>
      <c r="N25" s="178">
        <v>92</v>
      </c>
      <c r="O25" s="178">
        <v>0</v>
      </c>
      <c r="P25" s="178">
        <v>0</v>
      </c>
      <c r="Q25" s="178">
        <v>107</v>
      </c>
      <c r="R25" s="178">
        <v>108</v>
      </c>
      <c r="S25" s="178">
        <v>100</v>
      </c>
      <c r="T25" s="178">
        <v>108</v>
      </c>
      <c r="U25" s="178">
        <v>99</v>
      </c>
      <c r="V25" s="178">
        <v>94</v>
      </c>
      <c r="W25" s="178">
        <v>0</v>
      </c>
      <c r="X25" s="178">
        <v>105</v>
      </c>
      <c r="Y25" s="178">
        <v>98</v>
      </c>
      <c r="Z25" s="178">
        <v>106</v>
      </c>
      <c r="AA25" s="178">
        <v>103</v>
      </c>
      <c r="AB25" s="178">
        <v>101</v>
      </c>
      <c r="AC25" s="178">
        <v>0</v>
      </c>
      <c r="AD25" s="178">
        <v>0</v>
      </c>
      <c r="AE25" s="178">
        <v>0</v>
      </c>
      <c r="AF25" s="178">
        <v>0</v>
      </c>
      <c r="AG25" s="178">
        <v>0</v>
      </c>
      <c r="AH25" s="178">
        <v>0</v>
      </c>
      <c r="AI25" s="178">
        <v>0</v>
      </c>
      <c r="AJ25" s="178">
        <v>1</v>
      </c>
      <c r="AK25" s="178">
        <v>0</v>
      </c>
      <c r="AL25" s="178">
        <v>0</v>
      </c>
      <c r="AM25" s="178">
        <v>0</v>
      </c>
      <c r="AN25" s="178">
        <v>1639</v>
      </c>
      <c r="AO25" s="178">
        <v>0</v>
      </c>
      <c r="AP25" s="178">
        <v>0</v>
      </c>
      <c r="AQ25" s="178">
        <v>0</v>
      </c>
      <c r="AR25" s="178">
        <v>121</v>
      </c>
      <c r="AS25" s="178">
        <v>122</v>
      </c>
      <c r="AT25" s="178">
        <v>116</v>
      </c>
      <c r="AU25" s="178">
        <v>50</v>
      </c>
      <c r="AV25" s="178">
        <v>0</v>
      </c>
      <c r="AW25" s="178">
        <v>116</v>
      </c>
      <c r="AX25" s="178">
        <v>115</v>
      </c>
      <c r="AY25" s="178">
        <v>121</v>
      </c>
      <c r="AZ25" s="178">
        <v>120</v>
      </c>
      <c r="BA25" s="178">
        <v>108</v>
      </c>
      <c r="BB25" s="178">
        <v>100</v>
      </c>
      <c r="BC25" s="178">
        <v>0</v>
      </c>
      <c r="BD25" s="178">
        <v>166</v>
      </c>
      <c r="BE25" s="178">
        <v>157</v>
      </c>
      <c r="BF25" s="178">
        <v>148</v>
      </c>
      <c r="BG25" s="178">
        <v>170</v>
      </c>
      <c r="BH25" s="178">
        <v>159</v>
      </c>
      <c r="BI25" s="178">
        <v>158</v>
      </c>
      <c r="BJ25" s="178">
        <v>0</v>
      </c>
      <c r="BK25" s="178">
        <v>170</v>
      </c>
      <c r="BL25" s="178">
        <v>165</v>
      </c>
      <c r="BM25" s="178">
        <v>143</v>
      </c>
      <c r="BN25" s="178">
        <v>173</v>
      </c>
      <c r="BO25" s="178">
        <v>154</v>
      </c>
      <c r="BP25" s="178">
        <v>143</v>
      </c>
      <c r="BQ25" s="178">
        <v>0</v>
      </c>
      <c r="BR25" s="178">
        <v>170</v>
      </c>
      <c r="BS25" s="178">
        <v>151</v>
      </c>
      <c r="BT25" s="178">
        <v>3316</v>
      </c>
      <c r="BU25" s="178">
        <v>118</v>
      </c>
      <c r="BV25" s="178">
        <v>118</v>
      </c>
      <c r="BW25" s="178">
        <v>118</v>
      </c>
      <c r="BX25" s="178">
        <v>59</v>
      </c>
      <c r="BY25" s="178">
        <v>0</v>
      </c>
      <c r="BZ25" s="178">
        <v>118</v>
      </c>
      <c r="CA25" s="178">
        <v>118</v>
      </c>
      <c r="CB25" s="178">
        <v>118</v>
      </c>
      <c r="CC25" s="178">
        <v>118</v>
      </c>
      <c r="CD25" s="178">
        <v>118</v>
      </c>
      <c r="CE25" s="178">
        <v>0</v>
      </c>
      <c r="CF25" s="178">
        <v>0</v>
      </c>
      <c r="CG25" s="178">
        <v>0</v>
      </c>
      <c r="CH25" s="178">
        <v>0</v>
      </c>
      <c r="CI25" s="178">
        <v>0</v>
      </c>
      <c r="CJ25" s="178">
        <v>0</v>
      </c>
      <c r="CK25" s="178">
        <v>0</v>
      </c>
      <c r="CL25" s="178">
        <v>0</v>
      </c>
      <c r="CM25" s="178">
        <v>0</v>
      </c>
      <c r="CN25" s="178">
        <v>118</v>
      </c>
      <c r="CO25" s="178">
        <v>118</v>
      </c>
      <c r="CP25" s="178">
        <v>118</v>
      </c>
      <c r="CQ25" s="178">
        <v>118</v>
      </c>
      <c r="CR25" s="178">
        <v>118</v>
      </c>
      <c r="CS25" s="178">
        <v>118</v>
      </c>
      <c r="CT25" s="178">
        <v>0</v>
      </c>
      <c r="CU25" s="178">
        <v>118</v>
      </c>
      <c r="CV25" s="178">
        <v>118</v>
      </c>
      <c r="CW25" s="178">
        <v>118</v>
      </c>
      <c r="CX25" s="178">
        <v>118</v>
      </c>
      <c r="CY25" s="178">
        <v>0</v>
      </c>
      <c r="CZ25" s="178">
        <v>2183</v>
      </c>
      <c r="DA25" s="179">
        <v>0</v>
      </c>
      <c r="DB25" s="179">
        <v>0</v>
      </c>
      <c r="DC25" s="179">
        <v>0</v>
      </c>
      <c r="DD25" s="179">
        <v>147</v>
      </c>
      <c r="DE25" s="179">
        <v>147</v>
      </c>
      <c r="DF25" s="179">
        <v>147</v>
      </c>
      <c r="DG25" s="179">
        <v>147</v>
      </c>
      <c r="DH25" s="179">
        <v>147</v>
      </c>
      <c r="DI25" s="179">
        <v>147</v>
      </c>
      <c r="DJ25" s="179">
        <v>0</v>
      </c>
      <c r="DK25" s="179">
        <v>147</v>
      </c>
      <c r="DL25" s="179">
        <v>147</v>
      </c>
      <c r="DM25" s="179">
        <v>147</v>
      </c>
      <c r="DN25" s="179">
        <v>147</v>
      </c>
      <c r="DO25" s="179">
        <v>147</v>
      </c>
      <c r="DP25" s="179">
        <v>74</v>
      </c>
      <c r="DQ25" s="179">
        <v>0</v>
      </c>
      <c r="DR25" s="179">
        <v>147</v>
      </c>
      <c r="DS25" s="179">
        <v>147</v>
      </c>
      <c r="DT25" s="179">
        <v>147</v>
      </c>
      <c r="DU25" s="179">
        <v>147</v>
      </c>
      <c r="DV25" s="179">
        <v>147</v>
      </c>
      <c r="DW25" s="179">
        <v>147</v>
      </c>
      <c r="DX25" s="179">
        <v>0</v>
      </c>
      <c r="DY25" s="179">
        <v>147</v>
      </c>
      <c r="DZ25" s="179">
        <v>147</v>
      </c>
      <c r="EA25" s="179">
        <v>147</v>
      </c>
      <c r="EB25" s="179">
        <v>147</v>
      </c>
      <c r="EC25" s="179">
        <v>147</v>
      </c>
      <c r="ED25" s="179">
        <v>0</v>
      </c>
      <c r="EE25" s="179">
        <v>0</v>
      </c>
      <c r="EF25" s="178">
        <v>3308</v>
      </c>
      <c r="EJ25" s="126"/>
    </row>
    <row r="26" ht="14.25" customHeight="1" spans="1:200" x14ac:dyDescent="0.25">
      <c r="A26" s="133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80">
        <f t="shared" ref="AN26:EF26" si="2">SUM(AN14:AN25)</f>
        <v>9323</v>
      </c>
      <c r="AO26" s="180">
        <f t="shared" si="2"/>
        <v>0</v>
      </c>
      <c r="AP26" s="180">
        <f t="shared" si="2"/>
        <v>482</v>
      </c>
      <c r="AQ26" s="180">
        <f t="shared" si="2"/>
        <v>469</v>
      </c>
      <c r="AR26" s="180">
        <f t="shared" si="2"/>
        <v>453</v>
      </c>
      <c r="AS26" s="180">
        <f t="shared" si="2"/>
        <v>481</v>
      </c>
      <c r="AT26" s="180">
        <f t="shared" si="2"/>
        <v>462</v>
      </c>
      <c r="AU26" s="180">
        <f t="shared" si="2"/>
        <v>0</v>
      </c>
      <c r="AV26" s="180">
        <f t="shared" si="2"/>
        <v>0</v>
      </c>
      <c r="AW26" s="180">
        <f t="shared" si="2"/>
        <v>472</v>
      </c>
      <c r="AX26" s="180">
        <f t="shared" si="2"/>
        <v>500</v>
      </c>
      <c r="AY26" s="180">
        <f t="shared" si="2"/>
        <v>458</v>
      </c>
      <c r="AZ26" s="180">
        <f t="shared" si="2"/>
        <v>493</v>
      </c>
      <c r="BA26" s="180">
        <f t="shared" si="2"/>
        <v>473</v>
      </c>
      <c r="BB26" s="180">
        <f t="shared" si="2"/>
        <v>426</v>
      </c>
      <c r="BC26" s="180">
        <f t="shared" si="2"/>
        <v>0</v>
      </c>
      <c r="BD26" s="180">
        <f t="shared" si="2"/>
        <v>496</v>
      </c>
      <c r="BE26" s="180">
        <f t="shared" si="2"/>
        <v>469</v>
      </c>
      <c r="BF26" s="180">
        <f t="shared" si="2"/>
        <v>484</v>
      </c>
      <c r="BG26" s="180">
        <f t="shared" si="2"/>
        <v>493</v>
      </c>
      <c r="BH26" s="180">
        <f t="shared" si="2"/>
        <v>469</v>
      </c>
      <c r="BI26" s="180">
        <f t="shared" si="2"/>
        <v>0</v>
      </c>
      <c r="BJ26" s="180">
        <f t="shared" si="2"/>
        <v>0</v>
      </c>
      <c r="BK26" s="180">
        <f t="shared" si="2"/>
        <v>267</v>
      </c>
      <c r="BL26" s="180">
        <f t="shared" si="2"/>
        <v>274</v>
      </c>
      <c r="BM26" s="180">
        <f t="shared" si="2"/>
        <v>236</v>
      </c>
      <c r="BN26" s="180">
        <f t="shared" si="2"/>
        <v>279</v>
      </c>
      <c r="BO26" s="180">
        <f t="shared" si="2"/>
        <v>262</v>
      </c>
      <c r="BP26" s="180">
        <f t="shared" si="2"/>
        <v>243</v>
      </c>
      <c r="BQ26" s="180">
        <f t="shared" si="2"/>
        <v>0</v>
      </c>
      <c r="BR26" s="180">
        <f t="shared" si="2"/>
        <v>0</v>
      </c>
      <c r="BS26" s="180">
        <f t="shared" si="2"/>
        <v>0</v>
      </c>
      <c r="BT26" s="180">
        <f t="shared" si="2"/>
        <v>9141</v>
      </c>
      <c r="BU26" s="180">
        <f t="shared" si="2"/>
        <v>0</v>
      </c>
      <c r="BV26" s="180">
        <f t="shared" si="2"/>
        <v>0</v>
      </c>
      <c r="BW26" s="180">
        <f t="shared" si="2"/>
        <v>430</v>
      </c>
      <c r="BX26" s="180">
        <f t="shared" si="2"/>
        <v>431</v>
      </c>
      <c r="BY26" s="180">
        <f t="shared" si="2"/>
        <v>430</v>
      </c>
      <c r="BZ26" s="180">
        <f t="shared" si="2"/>
        <v>431</v>
      </c>
      <c r="CA26" s="180">
        <f t="shared" si="2"/>
        <v>216</v>
      </c>
      <c r="CB26" s="180">
        <f t="shared" si="2"/>
        <v>0</v>
      </c>
      <c r="CC26" s="180">
        <f t="shared" si="2"/>
        <v>430</v>
      </c>
      <c r="CD26" s="180">
        <f t="shared" si="2"/>
        <v>431</v>
      </c>
      <c r="CE26" s="180">
        <f t="shared" si="2"/>
        <v>430</v>
      </c>
      <c r="CF26" s="180">
        <f t="shared" si="2"/>
        <v>431</v>
      </c>
      <c r="CG26" s="180">
        <f t="shared" si="2"/>
        <v>428</v>
      </c>
      <c r="CH26" s="180">
        <f t="shared" si="2"/>
        <v>432</v>
      </c>
      <c r="CI26" s="180">
        <f t="shared" si="2"/>
        <v>0</v>
      </c>
      <c r="CJ26" s="180">
        <f t="shared" si="2"/>
        <v>427</v>
      </c>
      <c r="CK26" s="180">
        <f t="shared" si="2"/>
        <v>433</v>
      </c>
      <c r="CL26" s="180">
        <f t="shared" si="2"/>
        <v>426</v>
      </c>
      <c r="CM26" s="180">
        <f t="shared" si="2"/>
        <v>433</v>
      </c>
      <c r="CN26" s="180">
        <f t="shared" si="2"/>
        <v>426</v>
      </c>
      <c r="CO26" s="180">
        <f t="shared" si="2"/>
        <v>0</v>
      </c>
      <c r="CP26" s="180">
        <f t="shared" si="2"/>
        <v>0</v>
      </c>
      <c r="CQ26" s="180">
        <f t="shared" si="2"/>
        <v>434</v>
      </c>
      <c r="CR26" s="180">
        <f t="shared" si="2"/>
        <v>426</v>
      </c>
      <c r="CS26" s="180">
        <f t="shared" si="2"/>
        <v>434</v>
      </c>
      <c r="CT26" s="180">
        <f t="shared" si="2"/>
        <v>426</v>
      </c>
      <c r="CU26" s="180">
        <f t="shared" si="2"/>
        <v>434</v>
      </c>
      <c r="CV26" s="180">
        <f t="shared" si="2"/>
        <v>426</v>
      </c>
      <c r="CW26" s="180">
        <f t="shared" si="2"/>
        <v>0</v>
      </c>
      <c r="CX26" s="180">
        <f t="shared" si="2"/>
        <v>434</v>
      </c>
      <c r="CY26" s="180">
        <f t="shared" si="2"/>
        <v>426</v>
      </c>
      <c r="CZ26" s="180">
        <f t="shared" si="2"/>
        <v>10105</v>
      </c>
      <c r="DA26" s="180">
        <f t="shared" si="2"/>
        <v>395</v>
      </c>
      <c r="DB26" s="180">
        <f t="shared" si="2"/>
        <v>396</v>
      </c>
      <c r="DC26" s="180">
        <f t="shared" si="2"/>
        <v>393</v>
      </c>
      <c r="DD26" s="180">
        <f t="shared" si="2"/>
        <v>197</v>
      </c>
      <c r="DE26" s="180">
        <f t="shared" si="2"/>
        <v>0</v>
      </c>
      <c r="DF26" s="180">
        <f t="shared" si="2"/>
        <v>396</v>
      </c>
      <c r="DG26" s="180">
        <f t="shared" si="2"/>
        <v>396</v>
      </c>
      <c r="DH26" s="180">
        <f t="shared" si="2"/>
        <v>392</v>
      </c>
      <c r="DI26" s="180">
        <f t="shared" si="2"/>
        <v>396</v>
      </c>
      <c r="DJ26" s="180">
        <f t="shared" si="2"/>
        <v>392</v>
      </c>
      <c r="DK26" s="180">
        <f t="shared" si="2"/>
        <v>0</v>
      </c>
      <c r="DL26" s="180">
        <f t="shared" si="2"/>
        <v>0</v>
      </c>
      <c r="DM26" s="180">
        <f t="shared" si="2"/>
        <v>0</v>
      </c>
      <c r="DN26" s="180">
        <f t="shared" si="2"/>
        <v>0</v>
      </c>
      <c r="DO26" s="180">
        <f t="shared" si="2"/>
        <v>0</v>
      </c>
      <c r="DP26" s="180">
        <f t="shared" si="2"/>
        <v>0</v>
      </c>
      <c r="DQ26" s="180">
        <f t="shared" si="2"/>
        <v>0</v>
      </c>
      <c r="DR26" s="180">
        <f t="shared" si="2"/>
        <v>0</v>
      </c>
      <c r="DS26" s="180">
        <f t="shared" si="2"/>
        <v>0</v>
      </c>
      <c r="DT26" s="180">
        <f t="shared" si="2"/>
        <v>396</v>
      </c>
      <c r="DU26" s="180">
        <f t="shared" si="2"/>
        <v>392</v>
      </c>
      <c r="DV26" s="180">
        <f t="shared" si="2"/>
        <v>398</v>
      </c>
      <c r="DW26" s="180">
        <f t="shared" si="2"/>
        <v>392</v>
      </c>
      <c r="DX26" s="180">
        <f t="shared" si="2"/>
        <v>398</v>
      </c>
      <c r="DY26" s="180">
        <f t="shared" si="2"/>
        <v>392</v>
      </c>
      <c r="DZ26" s="180">
        <f t="shared" si="2"/>
        <v>0</v>
      </c>
      <c r="EA26" s="180">
        <f t="shared" si="2"/>
        <v>398</v>
      </c>
      <c r="EB26" s="180">
        <f t="shared" si="2"/>
        <v>392</v>
      </c>
      <c r="EC26" s="180">
        <f t="shared" si="2"/>
        <v>401</v>
      </c>
      <c r="ED26" s="180">
        <f t="shared" si="2"/>
        <v>391</v>
      </c>
      <c r="EE26" s="180">
        <f t="shared" si="2"/>
        <v>0</v>
      </c>
      <c r="EF26" s="180">
        <f t="shared" si="2"/>
        <v>7303</v>
      </c>
      <c r="EG26" s="181">
        <f>AN26+BT26+CZ26+EF26</f>
        <v>35872</v>
      </c>
    </row>
    <row r="27" ht="14.25" customHeight="1" spans="1:200" x14ac:dyDescent="0.25"/>
    <row r="28" ht="14.25" customHeight="1" spans="1:200" x14ac:dyDescent="0.25"/>
    <row r="29" ht="14.25" customHeight="1" spans="1:200" x14ac:dyDescent="0.25"/>
    <row r="30" ht="14.25" customHeight="1" spans="1:200" x14ac:dyDescent="0.25"/>
    <row r="31" ht="14.25" customHeight="1" spans="1:200" x14ac:dyDescent="0.25"/>
    <row r="32" ht="14.25" customHeight="1" spans="1:200" x14ac:dyDescent="0.25"/>
    <row r="33" ht="14.25" customHeight="1" spans="1:200" x14ac:dyDescent="0.25"/>
    <row r="34" ht="14.25" customHeight="1" spans="1:200" x14ac:dyDescent="0.25"/>
    <row r="35" ht="14.25" customHeight="1" spans="1:200" x14ac:dyDescent="0.25"/>
    <row r="36" ht="14.25" customHeight="1" spans="1:200" x14ac:dyDescent="0.25"/>
    <row r="37" ht="14.25" customHeight="1" spans="1:200" x14ac:dyDescent="0.25"/>
    <row r="38" ht="14.25" customHeight="1" spans="1:200" x14ac:dyDescent="0.25"/>
    <row r="39" ht="14.25" customHeight="1" spans="1:200" x14ac:dyDescent="0.25"/>
    <row r="40" ht="14.25" customHeight="1" spans="1:200" x14ac:dyDescent="0.25"/>
    <row r="41" ht="14.25" customHeight="1" spans="1:200" x14ac:dyDescent="0.25"/>
    <row r="42" ht="14.25" customHeight="1" spans="1:200" x14ac:dyDescent="0.25"/>
    <row r="43" ht="14.25" customHeight="1" spans="1:200" x14ac:dyDescent="0.25"/>
    <row r="44" ht="14.25" customHeight="1" spans="1:200" x14ac:dyDescent="0.25"/>
    <row r="45" ht="14.25" customHeight="1" spans="1:200" x14ac:dyDescent="0.25"/>
    <row r="46" ht="14.25" customHeight="1" spans="1:200" x14ac:dyDescent="0.25"/>
    <row r="47" ht="14.25" customHeight="1" spans="1:200" x14ac:dyDescent="0.25"/>
    <row r="48" ht="14.25" customHeight="1" spans="1:200" x14ac:dyDescent="0.25"/>
    <row r="49" ht="14.25" customHeight="1" spans="1:200" x14ac:dyDescent="0.25"/>
    <row r="50" ht="14.25" customHeight="1" spans="1:200" x14ac:dyDescent="0.25"/>
    <row r="51" ht="14.25" customHeight="1" spans="1:200" x14ac:dyDescent="0.25"/>
    <row r="52" ht="14.25" customHeight="1" spans="1:200" x14ac:dyDescent="0.25"/>
    <row r="53" ht="14.25" customHeight="1" spans="1:200" x14ac:dyDescent="0.25"/>
    <row r="54" ht="14.25" customHeight="1" spans="1:200" x14ac:dyDescent="0.25"/>
    <row r="55" ht="14.25" customHeight="1" spans="1:200" x14ac:dyDescent="0.25"/>
    <row r="56" ht="14.25" customHeight="1" spans="1:200" x14ac:dyDescent="0.25"/>
    <row r="57" ht="14.25" customHeight="1" spans="1:200" x14ac:dyDescent="0.25"/>
    <row r="58" ht="14.25" customHeight="1" spans="1:200" x14ac:dyDescent="0.25"/>
    <row r="59" ht="14.25" customHeight="1" spans="1:200" x14ac:dyDescent="0.25"/>
    <row r="60" ht="14.25" customHeight="1" spans="1:200" x14ac:dyDescent="0.25"/>
    <row r="61" ht="14.25" customHeight="1" spans="1:200" x14ac:dyDescent="0.25"/>
    <row r="62" ht="14.25" customHeight="1" spans="1:200" x14ac:dyDescent="0.25"/>
    <row r="63" ht="14.25" customHeight="1" spans="1:200" x14ac:dyDescent="0.25"/>
    <row r="64" ht="14.25" customHeight="1" spans="1:200" x14ac:dyDescent="0.25"/>
    <row r="65" ht="14.25" customHeight="1" spans="1:200" x14ac:dyDescent="0.25"/>
    <row r="66" ht="14.25" customHeight="1" spans="1:200" x14ac:dyDescent="0.25"/>
    <row r="67" ht="14.25" customHeight="1" spans="1:200" x14ac:dyDescent="0.25"/>
    <row r="68" ht="14.25" customHeight="1" spans="1:200" x14ac:dyDescent="0.25"/>
    <row r="69" ht="14.25" customHeight="1" spans="1:200" x14ac:dyDescent="0.25"/>
    <row r="70" ht="14.25" customHeight="1" spans="1:200" x14ac:dyDescent="0.25"/>
    <row r="71" ht="14.25" customHeight="1" spans="1:200" x14ac:dyDescent="0.25"/>
    <row r="72" ht="14.25" customHeight="1" spans="1:200" x14ac:dyDescent="0.25"/>
    <row r="73" ht="14.25" customHeight="1" spans="1:200" x14ac:dyDescent="0.25"/>
    <row r="74" ht="14.25" customHeight="1" spans="1:200" x14ac:dyDescent="0.25"/>
    <row r="75" ht="14.25" customHeight="1" spans="1:200" x14ac:dyDescent="0.25"/>
    <row r="76" ht="14.25" customHeight="1" spans="1:200" x14ac:dyDescent="0.25"/>
    <row r="77" ht="14.25" customHeight="1" spans="1:200" x14ac:dyDescent="0.25"/>
    <row r="78" ht="14.25" customHeight="1" spans="1:200" x14ac:dyDescent="0.25"/>
    <row r="79" ht="14.25" customHeight="1" spans="1:200" x14ac:dyDescent="0.25"/>
    <row r="80" ht="14.25" customHeight="1" spans="1:200" x14ac:dyDescent="0.25"/>
    <row r="81" ht="14.25" customHeight="1" spans="1:200" x14ac:dyDescent="0.25"/>
    <row r="82" ht="14.25" customHeight="1" spans="1:200" x14ac:dyDescent="0.25"/>
    <row r="83" ht="14.25" customHeight="1" spans="1:200" x14ac:dyDescent="0.25"/>
    <row r="84" ht="14.25" customHeight="1" spans="1:200" x14ac:dyDescent="0.25"/>
    <row r="85" ht="14.25" customHeight="1" spans="1:200" x14ac:dyDescent="0.25"/>
    <row r="86" ht="14.25" customHeight="1" spans="1:200" x14ac:dyDescent="0.25"/>
    <row r="87" ht="14.25" customHeight="1" spans="1:200" x14ac:dyDescent="0.25"/>
    <row r="88" ht="14.25" customHeight="1" spans="1:200" x14ac:dyDescent="0.25"/>
    <row r="89" ht="14.25" customHeight="1" spans="1:200" x14ac:dyDescent="0.25"/>
    <row r="90" ht="14.25" customHeight="1" spans="1:200" x14ac:dyDescent="0.25"/>
    <row r="91" ht="14.25" customHeight="1" spans="1:200" x14ac:dyDescent="0.25"/>
    <row r="92" ht="14.25" customHeight="1" spans="1:200" x14ac:dyDescent="0.25"/>
    <row r="93" ht="14.25" customHeight="1" spans="1:200" x14ac:dyDescent="0.25"/>
    <row r="94" ht="14.25" customHeight="1" spans="1:200" x14ac:dyDescent="0.25"/>
    <row r="95" ht="14.25" customHeight="1" spans="1:200" x14ac:dyDescent="0.25"/>
    <row r="96" ht="14.25" customHeight="1" spans="1:200" x14ac:dyDescent="0.25"/>
    <row r="97" ht="14.25" customHeight="1" spans="1:200" x14ac:dyDescent="0.25"/>
    <row r="98" ht="14.25" customHeight="1" spans="1:200" x14ac:dyDescent="0.25"/>
    <row r="99" ht="14.25" customHeight="1" spans="1:200" x14ac:dyDescent="0.25"/>
    <row r="100" ht="14.25" customHeight="1" spans="1:200" x14ac:dyDescent="0.25"/>
    <row r="101" ht="14.25" customHeight="1" spans="1:200" x14ac:dyDescent="0.25"/>
    <row r="102" ht="14.25" customHeight="1" spans="1:200" x14ac:dyDescent="0.25"/>
    <row r="103" ht="14.25" customHeight="1" spans="1:200" x14ac:dyDescent="0.25"/>
    <row r="104" ht="14.25" customHeight="1" spans="1:200" x14ac:dyDescent="0.25"/>
    <row r="105" ht="14.25" customHeight="1" spans="1:200" x14ac:dyDescent="0.25"/>
    <row r="106" ht="14.25" customHeight="1" spans="1:200" x14ac:dyDescent="0.25"/>
    <row r="107" ht="14.25" customHeight="1" spans="1:200" x14ac:dyDescent="0.25"/>
    <row r="108" ht="14.25" customHeight="1" spans="1:200" x14ac:dyDescent="0.25"/>
    <row r="109" ht="14.25" customHeight="1" spans="1:200" x14ac:dyDescent="0.25"/>
    <row r="110" ht="14.25" customHeight="1" spans="1:200" x14ac:dyDescent="0.25"/>
    <row r="111" ht="14.25" customHeight="1" spans="1:200" x14ac:dyDescent="0.25"/>
    <row r="112" ht="14.25" customHeight="1" spans="1:200" x14ac:dyDescent="0.25"/>
    <row r="113" ht="14.25" customHeight="1" spans="1:200" x14ac:dyDescent="0.25"/>
    <row r="114" ht="14.25" customHeight="1" spans="1:200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$A$13:$EF$21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000"/>
  <sheetViews>
    <sheetView workbookViewId="0" zoomScale="100" zoomScaleNormal="100">
      <pane xSplit="8" ySplit="6" topLeftCell="I7" activePane="bottomRight" state="frozen"/>
      <selection pane="bottomRight" activeCell="I7" sqref="I7"/>
    </sheetView>
  </sheetViews>
  <sheetFormatPr defaultRowHeight="15" outlineLevelRow="0" outlineLevelCol="1" x14ac:dyDescent="0" defaultColWidth="14.43"/>
  <cols>
    <col min="1" max="1" width="19" customWidth="1"/>
    <col min="2" max="2" width="12.14" customWidth="1"/>
    <col min="3" max="3" width="14.71" customWidth="1"/>
    <col min="4" max="4" width="11" customWidth="1"/>
    <col min="5" max="5" width="7" customWidth="1"/>
    <col min="6" max="6" width="4.86" customWidth="1"/>
    <col min="7" max="7" width="10.71" customWidth="1"/>
    <col min="8" max="8" width="7.29" customWidth="1"/>
    <col min="9" max="39" width="5" hidden="1" outlineLevel="1" collapsed="1" customWidth="1"/>
    <col min="40" max="40" width="7.86" customWidth="1"/>
    <col min="41" max="71" width="5" hidden="1" outlineLevel="1" collapsed="1" customWidth="1"/>
    <col min="72" max="72" width="7.29" customWidth="1"/>
    <col min="73" max="103" width="5" hidden="1" outlineLevel="1" collapsed="1" customWidth="1"/>
    <col min="104" max="104" width="6.86" customWidth="1"/>
    <col min="105" max="135" width="5" hidden="1" outlineLevel="1" collapsed="1" customWidth="1"/>
    <col min="136" max="136" width="9.29" customWidth="1"/>
    <col min="137" max="137" width="8.71" customWidth="1"/>
    <col min="138" max="138" width="15.29" customWidth="1"/>
    <col min="139" max="139" width="13.57" customWidth="1"/>
    <col min="140" max="140" width="18.57" customWidth="1"/>
    <col min="141" max="141" width="17.29" customWidth="1"/>
    <col min="142" max="142" width="13.71" customWidth="1"/>
    <col min="143" max="143" width="8.71" customWidth="1"/>
    <col min="144" max="146" width="10.71" customWidth="1"/>
    <col min="147" max="147" width="8.71" customWidth="1"/>
  </cols>
  <sheetData>
    <row r="1" ht="14.25" customHeight="1" spans="1:136" x14ac:dyDescent="0.25">
      <c r="A1" s="159" t="s">
        <v>267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</row>
    <row r="2" ht="14.25" customHeight="1" spans="1:136" x14ac:dyDescent="0.25">
      <c r="A2" s="168" t="s">
        <v>274</v>
      </c>
      <c r="B2" s="133" t="s">
        <v>336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U2" s="167"/>
      <c r="DV2" s="167"/>
      <c r="DW2" s="167"/>
      <c r="DX2" s="167"/>
      <c r="DY2" s="167"/>
      <c r="DZ2" s="167"/>
      <c r="EA2" s="167"/>
      <c r="EB2" s="167"/>
      <c r="EC2" s="167"/>
      <c r="ED2" s="167"/>
      <c r="EE2" s="167"/>
      <c r="EF2" s="167"/>
    </row>
    <row r="3" ht="14.25" customHeight="1" spans="1:136" x14ac:dyDescent="0.25">
      <c r="A3" s="168" t="s">
        <v>276</v>
      </c>
      <c r="B3" s="133" t="s">
        <v>337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</row>
    <row r="4" ht="14.25" customHeight="1" spans="1:136" x14ac:dyDescent="0.25">
      <c r="A4" s="168" t="s">
        <v>278</v>
      </c>
      <c r="B4" s="133" t="s">
        <v>338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167"/>
      <c r="DA4" s="167"/>
      <c r="DB4" s="167"/>
      <c r="DC4" s="167"/>
      <c r="DD4" s="167"/>
      <c r="DE4" s="167"/>
      <c r="DF4" s="167"/>
      <c r="DG4" s="167"/>
      <c r="DH4" s="167"/>
      <c r="DI4" s="167"/>
      <c r="DJ4" s="167"/>
      <c r="DK4" s="167"/>
      <c r="DL4" s="167"/>
      <c r="DM4" s="167"/>
      <c r="DN4" s="167"/>
      <c r="DO4" s="167"/>
      <c r="DP4" s="167"/>
      <c r="DQ4" s="167"/>
      <c r="DR4" s="167"/>
      <c r="DS4" s="167"/>
      <c r="DT4" s="167"/>
      <c r="DU4" s="167"/>
      <c r="DV4" s="167"/>
      <c r="DW4" s="167"/>
      <c r="DX4" s="167"/>
      <c r="DY4" s="167"/>
      <c r="DZ4" s="167"/>
      <c r="EA4" s="167"/>
      <c r="EB4" s="167"/>
      <c r="EC4" s="167"/>
      <c r="ED4" s="167"/>
      <c r="EE4" s="167"/>
      <c r="EF4" s="167"/>
    </row>
    <row r="5" ht="14.25" customHeight="1" spans="1:136" x14ac:dyDescent="0.25">
      <c r="A5" s="168" t="s">
        <v>280</v>
      </c>
      <c r="B5" s="133" t="s">
        <v>339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7"/>
      <c r="CB5" s="167"/>
      <c r="CC5" s="167"/>
      <c r="CD5" s="167"/>
      <c r="CE5" s="167"/>
      <c r="CF5" s="167"/>
      <c r="CG5" s="167"/>
      <c r="CH5" s="167"/>
      <c r="CI5" s="167"/>
      <c r="CJ5" s="167"/>
      <c r="CK5" s="167"/>
      <c r="CL5" s="167"/>
      <c r="CM5" s="167"/>
      <c r="CN5" s="167"/>
      <c r="CO5" s="167"/>
      <c r="CP5" s="167"/>
      <c r="CQ5" s="167"/>
      <c r="CR5" s="167"/>
      <c r="CS5" s="167"/>
      <c r="CT5" s="167"/>
      <c r="CU5" s="167"/>
      <c r="CV5" s="167"/>
      <c r="CW5" s="167"/>
      <c r="CX5" s="167"/>
      <c r="CY5" s="167"/>
      <c r="CZ5" s="167"/>
      <c r="DA5" s="167"/>
      <c r="DB5" s="167"/>
      <c r="DC5" s="167"/>
      <c r="DD5" s="167"/>
      <c r="DE5" s="167"/>
      <c r="DF5" s="167"/>
      <c r="DG5" s="167"/>
      <c r="DH5" s="167"/>
      <c r="DI5" s="167"/>
      <c r="DJ5" s="167"/>
      <c r="DK5" s="167"/>
      <c r="DL5" s="167"/>
      <c r="DM5" s="167"/>
      <c r="DN5" s="167"/>
      <c r="DO5" s="167"/>
      <c r="DP5" s="167"/>
      <c r="DQ5" s="167"/>
      <c r="DR5" s="167"/>
      <c r="DS5" s="167"/>
      <c r="DT5" s="167"/>
      <c r="DU5" s="167"/>
      <c r="DV5" s="167"/>
      <c r="DW5" s="167"/>
      <c r="DX5" s="167"/>
      <c r="DY5" s="167"/>
      <c r="DZ5" s="167"/>
      <c r="EA5" s="167"/>
      <c r="EB5" s="167"/>
      <c r="EC5" s="167"/>
      <c r="ED5" s="167"/>
      <c r="EE5" s="167"/>
      <c r="EF5" s="167"/>
    </row>
    <row r="6" ht="14.25" customHeight="1" spans="1:136" x14ac:dyDescent="0.25">
      <c r="A6" s="168" t="s">
        <v>282</v>
      </c>
      <c r="B6" s="133" t="s">
        <v>283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67"/>
      <c r="DF6" s="167"/>
      <c r="DG6" s="167"/>
      <c r="DH6" s="167"/>
      <c r="DI6" s="167"/>
      <c r="DJ6" s="167"/>
      <c r="DK6" s="167"/>
      <c r="DL6" s="167"/>
      <c r="DM6" s="167"/>
      <c r="DN6" s="167"/>
      <c r="DO6" s="167"/>
      <c r="DP6" s="167"/>
      <c r="DQ6" s="167"/>
      <c r="DR6" s="167"/>
      <c r="DS6" s="167"/>
      <c r="DT6" s="167"/>
      <c r="DU6" s="167"/>
      <c r="DV6" s="167"/>
      <c r="DW6" s="167"/>
      <c r="DX6" s="167"/>
      <c r="DY6" s="167"/>
      <c r="DZ6" s="167"/>
      <c r="EA6" s="167"/>
      <c r="EB6" s="167"/>
      <c r="EC6" s="167"/>
      <c r="ED6" s="167"/>
      <c r="EE6" s="167"/>
      <c r="EF6" s="167"/>
    </row>
    <row r="7" ht="14.25" customHeight="1" spans="1:136" x14ac:dyDescent="0.25">
      <c r="A7" s="168" t="s">
        <v>284</v>
      </c>
      <c r="B7" s="133" t="s">
        <v>285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  <c r="DX7" s="167"/>
      <c r="DY7" s="167"/>
      <c r="DZ7" s="167"/>
      <c r="EA7" s="167"/>
      <c r="EB7" s="167"/>
      <c r="EC7" s="167"/>
      <c r="ED7" s="167"/>
      <c r="EE7" s="167"/>
      <c r="EF7" s="167"/>
    </row>
    <row r="8" ht="14.25" customHeight="1" spans="1:136" x14ac:dyDescent="0.25">
      <c r="A8" s="168" t="s">
        <v>286</v>
      </c>
      <c r="B8" s="133" t="s">
        <v>287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67"/>
      <c r="DF8" s="167"/>
      <c r="DG8" s="167"/>
      <c r="DH8" s="167"/>
      <c r="DI8" s="167"/>
      <c r="DJ8" s="167"/>
      <c r="DK8" s="167"/>
      <c r="DL8" s="167"/>
      <c r="DM8" s="167"/>
      <c r="DN8" s="167"/>
      <c r="DO8" s="167"/>
      <c r="DP8" s="167"/>
      <c r="DQ8" s="167"/>
      <c r="DR8" s="167"/>
      <c r="DS8" s="167"/>
      <c r="DT8" s="167"/>
      <c r="DU8" s="167"/>
      <c r="DV8" s="167"/>
      <c r="DW8" s="167"/>
      <c r="DX8" s="167"/>
      <c r="DY8" s="167"/>
      <c r="DZ8" s="167"/>
      <c r="EA8" s="167"/>
      <c r="EB8" s="167"/>
      <c r="EC8" s="167"/>
      <c r="ED8" s="167"/>
      <c r="EE8" s="167"/>
      <c r="EF8" s="167"/>
    </row>
    <row r="9" ht="14.25" customHeight="1" spans="1:136" x14ac:dyDescent="0.25">
      <c r="A9" s="168" t="s">
        <v>288</v>
      </c>
      <c r="B9" s="133" t="s">
        <v>289</v>
      </c>
      <c r="C9" s="167"/>
      <c r="D9" s="167"/>
      <c r="E9" s="167"/>
      <c r="F9" s="167"/>
      <c r="G9" s="167"/>
      <c r="H9" s="167"/>
      <c r="I9" s="182">
        <f t="shared" ref="I9:BS9" si="0">I15</f>
        <v>0</v>
      </c>
      <c r="J9" s="182">
        <f t="shared" si="0"/>
        <v>0</v>
      </c>
      <c r="K9" s="182">
        <f t="shared" si="0"/>
        <v>0</v>
      </c>
      <c r="L9" s="182">
        <f t="shared" si="0"/>
        <v>0</v>
      </c>
      <c r="M9" s="182">
        <f t="shared" si="0"/>
        <v>10</v>
      </c>
      <c r="N9" s="182">
        <f t="shared" si="0"/>
        <v>30</v>
      </c>
      <c r="O9" s="182">
        <f t="shared" si="0"/>
        <v>20</v>
      </c>
      <c r="P9" s="182">
        <f t="shared" si="0"/>
        <v>20</v>
      </c>
      <c r="Q9" s="182">
        <f t="shared" si="0"/>
        <v>20</v>
      </c>
      <c r="R9" s="182">
        <f t="shared" si="0"/>
        <v>0</v>
      </c>
      <c r="S9" s="182">
        <f t="shared" si="0"/>
        <v>0</v>
      </c>
      <c r="T9" s="182">
        <f t="shared" si="0"/>
        <v>20</v>
      </c>
      <c r="U9" s="182">
        <f t="shared" si="0"/>
        <v>20</v>
      </c>
      <c r="V9" s="182">
        <f t="shared" si="0"/>
        <v>30</v>
      </c>
      <c r="W9" s="182">
        <f t="shared" si="0"/>
        <v>30</v>
      </c>
      <c r="X9" s="182">
        <f t="shared" si="0"/>
        <v>30</v>
      </c>
      <c r="Y9" s="182">
        <f t="shared" si="0"/>
        <v>30</v>
      </c>
      <c r="Z9" s="182">
        <f t="shared" si="0"/>
        <v>0</v>
      </c>
      <c r="AA9" s="182">
        <f t="shared" si="0"/>
        <v>30</v>
      </c>
      <c r="AB9" s="182">
        <f t="shared" si="0"/>
        <v>20</v>
      </c>
      <c r="AC9" s="182">
        <f t="shared" si="0"/>
        <v>30</v>
      </c>
      <c r="AD9" s="182">
        <f t="shared" si="0"/>
        <v>30</v>
      </c>
      <c r="AE9" s="182">
        <f t="shared" si="0"/>
        <v>30</v>
      </c>
      <c r="AF9" s="182">
        <f t="shared" si="0"/>
        <v>0</v>
      </c>
      <c r="AG9" s="182">
        <f t="shared" si="0"/>
        <v>0</v>
      </c>
      <c r="AH9" s="182">
        <f t="shared" si="0"/>
        <v>30</v>
      </c>
      <c r="AI9" s="182">
        <f t="shared" si="0"/>
        <v>40</v>
      </c>
      <c r="AJ9" s="182">
        <f t="shared" si="0"/>
        <v>40</v>
      </c>
      <c r="AK9" s="182">
        <f t="shared" si="0"/>
        <v>40</v>
      </c>
      <c r="AL9" s="182">
        <f t="shared" si="0"/>
        <v>30</v>
      </c>
      <c r="AM9" s="182">
        <f t="shared" si="0"/>
        <v>30</v>
      </c>
      <c r="AN9" s="182">
        <f t="shared" si="0"/>
        <v>610</v>
      </c>
      <c r="AO9" s="182">
        <f t="shared" si="0"/>
        <v>0</v>
      </c>
      <c r="AP9" s="182">
        <f t="shared" si="0"/>
        <v>40</v>
      </c>
      <c r="AQ9" s="182">
        <f t="shared" si="0"/>
        <v>20</v>
      </c>
      <c r="AR9" s="182">
        <f t="shared" si="0"/>
        <v>40</v>
      </c>
      <c r="AS9" s="182">
        <f t="shared" si="0"/>
        <v>40</v>
      </c>
      <c r="AT9" s="182">
        <f t="shared" si="0"/>
        <v>40</v>
      </c>
      <c r="AU9" s="182">
        <f t="shared" si="0"/>
        <v>0</v>
      </c>
      <c r="AV9" s="182">
        <f t="shared" si="0"/>
        <v>0</v>
      </c>
      <c r="AW9" s="182">
        <f t="shared" si="0"/>
        <v>40</v>
      </c>
      <c r="AX9" s="182">
        <f t="shared" si="0"/>
        <v>20</v>
      </c>
      <c r="AY9" s="182">
        <f t="shared" si="0"/>
        <v>40</v>
      </c>
      <c r="AZ9" s="182">
        <f t="shared" si="0"/>
        <v>40</v>
      </c>
      <c r="BA9" s="182">
        <f t="shared" si="0"/>
        <v>30</v>
      </c>
      <c r="BB9" s="182">
        <f t="shared" si="0"/>
        <v>30</v>
      </c>
      <c r="BC9" s="182">
        <f t="shared" si="0"/>
        <v>0</v>
      </c>
      <c r="BD9" s="182">
        <f t="shared" si="0"/>
        <v>50</v>
      </c>
      <c r="BE9" s="182">
        <f t="shared" si="0"/>
        <v>30</v>
      </c>
      <c r="BF9" s="182">
        <f t="shared" si="0"/>
        <v>40</v>
      </c>
      <c r="BG9" s="182">
        <f t="shared" si="0"/>
        <v>40</v>
      </c>
      <c r="BH9" s="182">
        <f t="shared" si="0"/>
        <v>30</v>
      </c>
      <c r="BI9" s="182">
        <f t="shared" si="0"/>
        <v>0</v>
      </c>
      <c r="BJ9" s="182">
        <f t="shared" si="0"/>
        <v>0</v>
      </c>
      <c r="BK9" s="182">
        <f t="shared" si="0"/>
        <v>40</v>
      </c>
      <c r="BL9" s="182">
        <f t="shared" si="0"/>
        <v>40</v>
      </c>
      <c r="BM9" s="182">
        <f t="shared" si="0"/>
        <v>40</v>
      </c>
      <c r="BN9" s="182">
        <f t="shared" si="0"/>
        <v>30</v>
      </c>
      <c r="BO9" s="182">
        <f t="shared" si="0"/>
        <v>20</v>
      </c>
      <c r="BP9" s="182">
        <f t="shared" si="0"/>
        <v>50</v>
      </c>
      <c r="BQ9" s="182">
        <f t="shared" si="0"/>
        <v>0</v>
      </c>
      <c r="BR9" s="182">
        <f t="shared" si="0"/>
        <v>0</v>
      </c>
      <c r="BS9" s="182">
        <f t="shared" si="0"/>
        <v>0</v>
      </c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  <c r="CO9" s="167"/>
      <c r="CP9" s="167"/>
      <c r="CQ9" s="167"/>
      <c r="CR9" s="167"/>
      <c r="CS9" s="167"/>
      <c r="CT9" s="167"/>
      <c r="CU9" s="167"/>
      <c r="CV9" s="167"/>
      <c r="CW9" s="167"/>
      <c r="CX9" s="167"/>
      <c r="CY9" s="167"/>
      <c r="CZ9" s="167"/>
      <c r="DA9" s="167"/>
      <c r="DB9" s="167"/>
      <c r="DC9" s="167"/>
      <c r="DD9" s="167"/>
      <c r="DE9" s="167"/>
      <c r="DF9" s="167"/>
      <c r="DG9" s="167"/>
      <c r="DH9" s="167"/>
      <c r="DI9" s="167"/>
      <c r="DJ9" s="167"/>
      <c r="DK9" s="167"/>
      <c r="DL9" s="167"/>
      <c r="DM9" s="167"/>
      <c r="DN9" s="167"/>
      <c r="DO9" s="167"/>
      <c r="DP9" s="167"/>
      <c r="DQ9" s="167"/>
      <c r="DR9" s="167"/>
      <c r="DS9" s="167"/>
      <c r="DT9" s="167"/>
      <c r="DU9" s="167"/>
      <c r="DV9" s="167"/>
      <c r="DW9" s="167"/>
      <c r="DX9" s="167"/>
      <c r="DY9" s="167"/>
      <c r="DZ9" s="167"/>
      <c r="EA9" s="167"/>
      <c r="EB9" s="167"/>
      <c r="EC9" s="167"/>
      <c r="ED9" s="167"/>
      <c r="EE9" s="167"/>
      <c r="EF9" s="167"/>
    </row>
    <row r="10" ht="14.25" customHeight="1" spans="1:136" x14ac:dyDescent="0.25">
      <c r="A10" s="168" t="s">
        <v>290</v>
      </c>
      <c r="C10" s="167"/>
      <c r="D10" s="167"/>
      <c r="E10" s="167"/>
      <c r="F10" s="167"/>
      <c r="G10" s="167"/>
      <c r="H10" s="167"/>
      <c r="I10" s="182">
        <f t="shared" ref="I10:AM10" si="1">I16</f>
        <v>0</v>
      </c>
      <c r="J10" s="182">
        <f t="shared" si="1"/>
        <v>0</v>
      </c>
      <c r="K10" s="182">
        <f t="shared" si="1"/>
        <v>0</v>
      </c>
      <c r="L10" s="182">
        <f t="shared" si="1"/>
        <v>0</v>
      </c>
      <c r="M10" s="182">
        <f t="shared" si="1"/>
        <v>330</v>
      </c>
      <c r="N10" s="182">
        <f t="shared" si="1"/>
        <v>300</v>
      </c>
      <c r="O10" s="182">
        <f t="shared" si="1"/>
        <v>390</v>
      </c>
      <c r="P10" s="182">
        <f t="shared" si="1"/>
        <v>360</v>
      </c>
      <c r="Q10" s="182">
        <f t="shared" si="1"/>
        <v>330</v>
      </c>
      <c r="R10" s="182">
        <f t="shared" si="1"/>
        <v>0</v>
      </c>
      <c r="S10" s="182">
        <f t="shared" si="1"/>
        <v>0</v>
      </c>
      <c r="T10" s="182">
        <f t="shared" si="1"/>
        <v>330</v>
      </c>
      <c r="U10" s="182">
        <f t="shared" si="1"/>
        <v>360</v>
      </c>
      <c r="V10" s="182">
        <f t="shared" si="1"/>
        <v>330</v>
      </c>
      <c r="W10" s="182">
        <f t="shared" si="1"/>
        <v>300</v>
      </c>
      <c r="X10" s="182">
        <f t="shared" si="1"/>
        <v>330</v>
      </c>
      <c r="Y10" s="182">
        <f t="shared" si="1"/>
        <v>330</v>
      </c>
      <c r="Z10" s="182">
        <f t="shared" si="1"/>
        <v>0</v>
      </c>
      <c r="AA10" s="182">
        <f t="shared" si="1"/>
        <v>330</v>
      </c>
      <c r="AB10" s="182">
        <f t="shared" si="1"/>
        <v>330</v>
      </c>
      <c r="AC10" s="182">
        <f t="shared" si="1"/>
        <v>300</v>
      </c>
      <c r="AD10" s="182">
        <f t="shared" si="1"/>
        <v>330</v>
      </c>
      <c r="AE10" s="182">
        <f t="shared" si="1"/>
        <v>360</v>
      </c>
      <c r="AF10" s="182">
        <f t="shared" si="1"/>
        <v>0</v>
      </c>
      <c r="AG10" s="182">
        <f t="shared" si="1"/>
        <v>0</v>
      </c>
      <c r="AH10" s="182">
        <f t="shared" si="1"/>
        <v>360</v>
      </c>
      <c r="AI10" s="182">
        <f t="shared" si="1"/>
        <v>300</v>
      </c>
      <c r="AJ10" s="182">
        <f t="shared" si="1"/>
        <v>330</v>
      </c>
      <c r="AK10" s="182">
        <f t="shared" si="1"/>
        <v>330</v>
      </c>
      <c r="AL10" s="182">
        <f t="shared" si="1"/>
        <v>300</v>
      </c>
      <c r="AM10" s="182">
        <f t="shared" si="1"/>
        <v>300</v>
      </c>
      <c r="AN10" s="167">
        <v>6000</v>
      </c>
      <c r="AO10" s="182">
        <f t="shared" ref="AO10:BS10" si="2">AO16</f>
        <v>0</v>
      </c>
      <c r="AP10" s="182">
        <f t="shared" si="2"/>
        <v>300</v>
      </c>
      <c r="AQ10" s="182">
        <f t="shared" si="2"/>
        <v>270</v>
      </c>
      <c r="AR10" s="182">
        <f t="shared" si="2"/>
        <v>240</v>
      </c>
      <c r="AS10" s="182">
        <f t="shared" si="2"/>
        <v>300</v>
      </c>
      <c r="AT10" s="182">
        <f t="shared" si="2"/>
        <v>270</v>
      </c>
      <c r="AU10" s="182">
        <f t="shared" si="2"/>
        <v>0</v>
      </c>
      <c r="AV10" s="182">
        <f t="shared" si="2"/>
        <v>0</v>
      </c>
      <c r="AW10" s="182">
        <f t="shared" si="2"/>
        <v>270</v>
      </c>
      <c r="AX10" s="182">
        <f t="shared" si="2"/>
        <v>300</v>
      </c>
      <c r="AY10" s="182">
        <f t="shared" si="2"/>
        <v>270</v>
      </c>
      <c r="AZ10" s="182">
        <f t="shared" si="2"/>
        <v>270</v>
      </c>
      <c r="BA10" s="182">
        <f t="shared" si="2"/>
        <v>300</v>
      </c>
      <c r="BB10" s="182">
        <f t="shared" si="2"/>
        <v>270</v>
      </c>
      <c r="BC10" s="182">
        <f t="shared" si="2"/>
        <v>0</v>
      </c>
      <c r="BD10" s="182">
        <f t="shared" si="2"/>
        <v>270</v>
      </c>
      <c r="BE10" s="182">
        <f t="shared" si="2"/>
        <v>300</v>
      </c>
      <c r="BF10" s="182">
        <f t="shared" si="2"/>
        <v>270</v>
      </c>
      <c r="BG10" s="182">
        <f t="shared" si="2"/>
        <v>270</v>
      </c>
      <c r="BH10" s="182">
        <f t="shared" si="2"/>
        <v>270</v>
      </c>
      <c r="BI10" s="182">
        <f t="shared" si="2"/>
        <v>0</v>
      </c>
      <c r="BJ10" s="182">
        <f t="shared" si="2"/>
        <v>0</v>
      </c>
      <c r="BK10" s="182">
        <f t="shared" si="2"/>
        <v>300</v>
      </c>
      <c r="BL10" s="182">
        <f t="shared" si="2"/>
        <v>240</v>
      </c>
      <c r="BM10" s="182">
        <f t="shared" si="2"/>
        <v>270</v>
      </c>
      <c r="BN10" s="182">
        <f t="shared" si="2"/>
        <v>300</v>
      </c>
      <c r="BO10" s="182">
        <f t="shared" si="2"/>
        <v>270</v>
      </c>
      <c r="BP10" s="182">
        <f t="shared" si="2"/>
        <v>270</v>
      </c>
      <c r="BQ10" s="182">
        <f t="shared" si="2"/>
        <v>0</v>
      </c>
      <c r="BR10" s="182">
        <f t="shared" si="2"/>
        <v>0</v>
      </c>
      <c r="BS10" s="182">
        <f t="shared" si="2"/>
        <v>0</v>
      </c>
      <c r="BT10" s="167"/>
      <c r="BU10" s="167">
        <v>0</v>
      </c>
      <c r="BV10" s="167">
        <v>0</v>
      </c>
      <c r="BW10" s="167">
        <v>0</v>
      </c>
      <c r="BX10" s="167">
        <v>430</v>
      </c>
      <c r="BY10" s="167">
        <v>430</v>
      </c>
      <c r="BZ10" s="167">
        <v>430</v>
      </c>
      <c r="CA10" s="167">
        <v>430</v>
      </c>
      <c r="CB10" s="167">
        <v>0</v>
      </c>
      <c r="CC10" s="167">
        <v>430</v>
      </c>
      <c r="CD10" s="167">
        <v>430</v>
      </c>
      <c r="CE10" s="167">
        <v>430</v>
      </c>
      <c r="CF10" s="167">
        <v>430</v>
      </c>
      <c r="CG10" s="167">
        <v>430</v>
      </c>
      <c r="CH10" s="167">
        <v>0</v>
      </c>
      <c r="CI10" s="167">
        <v>0</v>
      </c>
      <c r="CJ10" s="167">
        <v>429</v>
      </c>
      <c r="CK10" s="167">
        <v>430</v>
      </c>
      <c r="CL10" s="167">
        <v>429</v>
      </c>
      <c r="CM10" s="167">
        <v>430</v>
      </c>
      <c r="CN10" s="167">
        <v>429</v>
      </c>
      <c r="CO10" s="167">
        <v>430</v>
      </c>
      <c r="CP10" s="167">
        <v>0</v>
      </c>
      <c r="CQ10" s="167">
        <v>429</v>
      </c>
      <c r="CR10" s="167">
        <v>430</v>
      </c>
      <c r="CS10" s="167">
        <v>429</v>
      </c>
      <c r="CT10" s="167">
        <v>430</v>
      </c>
      <c r="CU10" s="167">
        <v>430</v>
      </c>
      <c r="CV10" s="167">
        <v>215</v>
      </c>
      <c r="CW10" s="167">
        <v>0</v>
      </c>
      <c r="CX10" s="167">
        <v>430</v>
      </c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</row>
    <row r="11" ht="14.25" customHeight="1" spans="1:136" x14ac:dyDescent="0.25">
      <c r="A11" s="159" t="s">
        <v>291</v>
      </c>
      <c r="C11" s="167"/>
      <c r="D11" s="167"/>
      <c r="E11" s="167"/>
      <c r="F11" s="167"/>
      <c r="G11" s="167"/>
      <c r="H11" s="167"/>
      <c r="I11" s="182">
        <f t="shared" ref="I11:AL11" si="3">I9+I10</f>
        <v>0</v>
      </c>
      <c r="J11" s="182">
        <f t="shared" si="3"/>
        <v>0</v>
      </c>
      <c r="K11" s="182">
        <f t="shared" si="3"/>
        <v>0</v>
      </c>
      <c r="L11" s="182">
        <f t="shared" si="3"/>
        <v>0</v>
      </c>
      <c r="M11" s="182">
        <f t="shared" si="3"/>
        <v>340</v>
      </c>
      <c r="N11" s="182">
        <f t="shared" si="3"/>
        <v>330</v>
      </c>
      <c r="O11" s="182">
        <f t="shared" si="3"/>
        <v>410</v>
      </c>
      <c r="P11" s="182">
        <f t="shared" si="3"/>
        <v>380</v>
      </c>
      <c r="Q11" s="182">
        <f t="shared" si="3"/>
        <v>350</v>
      </c>
      <c r="R11" s="182">
        <f t="shared" si="3"/>
        <v>0</v>
      </c>
      <c r="S11" s="182">
        <f t="shared" si="3"/>
        <v>0</v>
      </c>
      <c r="T11" s="182">
        <f t="shared" si="3"/>
        <v>350</v>
      </c>
      <c r="U11" s="182">
        <f t="shared" si="3"/>
        <v>380</v>
      </c>
      <c r="V11" s="182">
        <f t="shared" si="3"/>
        <v>360</v>
      </c>
      <c r="W11" s="182">
        <f t="shared" si="3"/>
        <v>330</v>
      </c>
      <c r="X11" s="182">
        <f t="shared" si="3"/>
        <v>360</v>
      </c>
      <c r="Y11" s="182">
        <f t="shared" si="3"/>
        <v>360</v>
      </c>
      <c r="Z11" s="182">
        <f t="shared" si="3"/>
        <v>0</v>
      </c>
      <c r="AA11" s="182">
        <f t="shared" si="3"/>
        <v>360</v>
      </c>
      <c r="AB11" s="182">
        <f t="shared" si="3"/>
        <v>350</v>
      </c>
      <c r="AC11" s="182">
        <f t="shared" si="3"/>
        <v>330</v>
      </c>
      <c r="AD11" s="182">
        <f t="shared" si="3"/>
        <v>360</v>
      </c>
      <c r="AE11" s="182">
        <f t="shared" si="3"/>
        <v>390</v>
      </c>
      <c r="AF11" s="182">
        <f t="shared" si="3"/>
        <v>0</v>
      </c>
      <c r="AG11" s="182">
        <f t="shared" si="3"/>
        <v>0</v>
      </c>
      <c r="AH11" s="182">
        <f t="shared" si="3"/>
        <v>390</v>
      </c>
      <c r="AI11" s="182">
        <f t="shared" si="3"/>
        <v>340</v>
      </c>
      <c r="AJ11" s="182">
        <f t="shared" si="3"/>
        <v>370</v>
      </c>
      <c r="AK11" s="182">
        <f t="shared" si="3"/>
        <v>370</v>
      </c>
      <c r="AL11" s="182">
        <f t="shared" si="3"/>
        <v>330</v>
      </c>
      <c r="AM11" s="182">
        <f t="shared" ref="AM11:AN11" si="4">AM15+AM17+AM18</f>
        <v>340</v>
      </c>
      <c r="AN11" s="182">
        <f t="shared" si="4"/>
        <v>6690</v>
      </c>
      <c r="AO11" s="182">
        <f t="shared" ref="AO11:BS11" si="5">AO9+AO10</f>
        <v>0</v>
      </c>
      <c r="AP11" s="182">
        <f t="shared" si="5"/>
        <v>340</v>
      </c>
      <c r="AQ11" s="182">
        <f t="shared" si="5"/>
        <v>290</v>
      </c>
      <c r="AR11" s="182">
        <f t="shared" si="5"/>
        <v>280</v>
      </c>
      <c r="AS11" s="182">
        <f t="shared" si="5"/>
        <v>340</v>
      </c>
      <c r="AT11" s="182">
        <f t="shared" si="5"/>
        <v>310</v>
      </c>
      <c r="AU11" s="182">
        <f t="shared" si="5"/>
        <v>0</v>
      </c>
      <c r="AV11" s="182">
        <f t="shared" si="5"/>
        <v>0</v>
      </c>
      <c r="AW11" s="182">
        <f t="shared" si="5"/>
        <v>310</v>
      </c>
      <c r="AX11" s="182">
        <f t="shared" si="5"/>
        <v>320</v>
      </c>
      <c r="AY11" s="182">
        <f t="shared" si="5"/>
        <v>310</v>
      </c>
      <c r="AZ11" s="182">
        <f t="shared" si="5"/>
        <v>310</v>
      </c>
      <c r="BA11" s="182">
        <f t="shared" si="5"/>
        <v>330</v>
      </c>
      <c r="BB11" s="182">
        <f t="shared" si="5"/>
        <v>300</v>
      </c>
      <c r="BC11" s="182">
        <f t="shared" si="5"/>
        <v>0</v>
      </c>
      <c r="BD11" s="182">
        <f t="shared" si="5"/>
        <v>320</v>
      </c>
      <c r="BE11" s="182">
        <f t="shared" si="5"/>
        <v>330</v>
      </c>
      <c r="BF11" s="182">
        <f t="shared" si="5"/>
        <v>310</v>
      </c>
      <c r="BG11" s="182">
        <f t="shared" si="5"/>
        <v>310</v>
      </c>
      <c r="BH11" s="182">
        <f t="shared" si="5"/>
        <v>300</v>
      </c>
      <c r="BI11" s="182">
        <f t="shared" si="5"/>
        <v>0</v>
      </c>
      <c r="BJ11" s="182">
        <f t="shared" si="5"/>
        <v>0</v>
      </c>
      <c r="BK11" s="182">
        <f t="shared" si="5"/>
        <v>340</v>
      </c>
      <c r="BL11" s="182">
        <f t="shared" si="5"/>
        <v>280</v>
      </c>
      <c r="BM11" s="182">
        <f t="shared" si="5"/>
        <v>310</v>
      </c>
      <c r="BN11" s="182">
        <f t="shared" si="5"/>
        <v>330</v>
      </c>
      <c r="BO11" s="182">
        <f t="shared" si="5"/>
        <v>290</v>
      </c>
      <c r="BP11" s="182">
        <f t="shared" si="5"/>
        <v>320</v>
      </c>
      <c r="BQ11" s="182">
        <f t="shared" si="5"/>
        <v>0</v>
      </c>
      <c r="BR11" s="182">
        <f t="shared" si="5"/>
        <v>0</v>
      </c>
      <c r="BS11" s="182">
        <f t="shared" si="5"/>
        <v>0</v>
      </c>
      <c r="BT11" s="182">
        <f t="shared" ref="BT11:CY11" si="6">BT15+BT17+BT18</f>
        <v>7680</v>
      </c>
      <c r="BU11" s="182">
        <f t="shared" si="6"/>
        <v>0</v>
      </c>
      <c r="BV11" s="182">
        <f t="shared" si="6"/>
        <v>0</v>
      </c>
      <c r="BW11" s="182">
        <f t="shared" si="6"/>
        <v>0</v>
      </c>
      <c r="BX11" s="182">
        <f t="shared" si="6"/>
        <v>291</v>
      </c>
      <c r="BY11" s="182">
        <f t="shared" si="6"/>
        <v>291</v>
      </c>
      <c r="BZ11" s="182">
        <f t="shared" si="6"/>
        <v>291</v>
      </c>
      <c r="CA11" s="182">
        <f t="shared" si="6"/>
        <v>146</v>
      </c>
      <c r="CB11" s="182">
        <f t="shared" si="6"/>
        <v>0</v>
      </c>
      <c r="CC11" s="182">
        <f t="shared" si="6"/>
        <v>290</v>
      </c>
      <c r="CD11" s="182">
        <f t="shared" si="6"/>
        <v>291</v>
      </c>
      <c r="CE11" s="182">
        <f t="shared" si="6"/>
        <v>290</v>
      </c>
      <c r="CF11" s="182">
        <f t="shared" si="6"/>
        <v>291</v>
      </c>
      <c r="CG11" s="182">
        <f t="shared" si="6"/>
        <v>290</v>
      </c>
      <c r="CH11" s="182">
        <f t="shared" si="6"/>
        <v>292</v>
      </c>
      <c r="CI11" s="182">
        <f t="shared" si="6"/>
        <v>0</v>
      </c>
      <c r="CJ11" s="182">
        <f t="shared" si="6"/>
        <v>290</v>
      </c>
      <c r="CK11" s="182">
        <f t="shared" si="6"/>
        <v>292</v>
      </c>
      <c r="CL11" s="182">
        <f t="shared" si="6"/>
        <v>290</v>
      </c>
      <c r="CM11" s="182">
        <f t="shared" si="6"/>
        <v>293</v>
      </c>
      <c r="CN11" s="182">
        <f t="shared" si="6"/>
        <v>290</v>
      </c>
      <c r="CO11" s="182">
        <f t="shared" si="6"/>
        <v>0</v>
      </c>
      <c r="CP11" s="182">
        <f t="shared" si="6"/>
        <v>0</v>
      </c>
      <c r="CQ11" s="182">
        <f t="shared" si="6"/>
        <v>293</v>
      </c>
      <c r="CR11" s="182">
        <f t="shared" si="6"/>
        <v>290</v>
      </c>
      <c r="CS11" s="182">
        <f t="shared" si="6"/>
        <v>293</v>
      </c>
      <c r="CT11" s="182">
        <f t="shared" si="6"/>
        <v>290</v>
      </c>
      <c r="CU11" s="182">
        <f t="shared" si="6"/>
        <v>293</v>
      </c>
      <c r="CV11" s="182">
        <f t="shared" si="6"/>
        <v>290</v>
      </c>
      <c r="CW11" s="182">
        <f t="shared" si="6"/>
        <v>0</v>
      </c>
      <c r="CX11" s="182">
        <f t="shared" si="6"/>
        <v>293</v>
      </c>
      <c r="CY11" s="182">
        <f t="shared" si="6"/>
        <v>290</v>
      </c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</row>
    <row r="12" ht="14.25" customHeight="1" spans="1:136" x14ac:dyDescent="0.25">
      <c r="A12" s="167"/>
      <c r="B12" s="167"/>
      <c r="C12" s="167"/>
      <c r="D12" s="167"/>
      <c r="E12" s="167"/>
      <c r="F12" s="167"/>
      <c r="G12" s="167"/>
      <c r="H12" s="167"/>
      <c r="I12" s="182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33" t="s">
        <v>292</v>
      </c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33" t="s">
        <v>141</v>
      </c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33" t="s">
        <v>142</v>
      </c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33" t="s">
        <v>143</v>
      </c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</row>
    <row r="13" ht="14.25" customHeight="1" spans="1:136" x14ac:dyDescent="0.25">
      <c r="A13" s="176" t="s">
        <v>293</v>
      </c>
      <c r="B13" s="176" t="s">
        <v>294</v>
      </c>
      <c r="C13" s="176" t="s">
        <v>295</v>
      </c>
      <c r="D13" s="176" t="s">
        <v>296</v>
      </c>
      <c r="E13" s="176" t="s">
        <v>297</v>
      </c>
      <c r="F13" s="176" t="s">
        <v>298</v>
      </c>
      <c r="G13" s="176" t="s">
        <v>299</v>
      </c>
      <c r="H13" s="176" t="s">
        <v>300</v>
      </c>
      <c r="I13" s="176" t="s">
        <v>301</v>
      </c>
      <c r="J13" s="176" t="s">
        <v>302</v>
      </c>
      <c r="K13" s="176" t="s">
        <v>303</v>
      </c>
      <c r="L13" s="176" t="s">
        <v>304</v>
      </c>
      <c r="M13" s="176" t="s">
        <v>305</v>
      </c>
      <c r="N13" s="176" t="s">
        <v>306</v>
      </c>
      <c r="O13" s="176" t="s">
        <v>307</v>
      </c>
      <c r="P13" s="176" t="s">
        <v>308</v>
      </c>
      <c r="Q13" s="176" t="s">
        <v>309</v>
      </c>
      <c r="R13" s="176" t="s">
        <v>310</v>
      </c>
      <c r="S13" s="176" t="s">
        <v>311</v>
      </c>
      <c r="T13" s="176" t="s">
        <v>312</v>
      </c>
      <c r="U13" s="176" t="s">
        <v>313</v>
      </c>
      <c r="V13" s="176" t="s">
        <v>314</v>
      </c>
      <c r="W13" s="176" t="s">
        <v>315</v>
      </c>
      <c r="X13" s="176" t="s">
        <v>316</v>
      </c>
      <c r="Y13" s="176" t="s">
        <v>317</v>
      </c>
      <c r="Z13" s="176" t="s">
        <v>318</v>
      </c>
      <c r="AA13" s="176" t="s">
        <v>319</v>
      </c>
      <c r="AB13" s="176" t="s">
        <v>320</v>
      </c>
      <c r="AC13" s="176" t="s">
        <v>321</v>
      </c>
      <c r="AD13" s="176" t="s">
        <v>322</v>
      </c>
      <c r="AE13" s="176" t="s">
        <v>323</v>
      </c>
      <c r="AF13" s="176" t="s">
        <v>324</v>
      </c>
      <c r="AG13" s="176" t="s">
        <v>325</v>
      </c>
      <c r="AH13" s="176" t="s">
        <v>326</v>
      </c>
      <c r="AI13" s="176" t="s">
        <v>327</v>
      </c>
      <c r="AJ13" s="176" t="s">
        <v>328</v>
      </c>
      <c r="AK13" s="176" t="s">
        <v>329</v>
      </c>
      <c r="AL13" s="176" t="s">
        <v>330</v>
      </c>
      <c r="AM13" s="176" t="s">
        <v>331</v>
      </c>
      <c r="AN13" s="176" t="s">
        <v>292</v>
      </c>
      <c r="AO13" s="176" t="s">
        <v>301</v>
      </c>
      <c r="AP13" s="176" t="s">
        <v>302</v>
      </c>
      <c r="AQ13" s="176" t="s">
        <v>303</v>
      </c>
      <c r="AR13" s="176" t="s">
        <v>304</v>
      </c>
      <c r="AS13" s="176" t="s">
        <v>305</v>
      </c>
      <c r="AT13" s="176" t="s">
        <v>306</v>
      </c>
      <c r="AU13" s="176" t="s">
        <v>307</v>
      </c>
      <c r="AV13" s="176" t="s">
        <v>308</v>
      </c>
      <c r="AW13" s="176" t="s">
        <v>309</v>
      </c>
      <c r="AX13" s="176" t="s">
        <v>310</v>
      </c>
      <c r="AY13" s="176" t="s">
        <v>311</v>
      </c>
      <c r="AZ13" s="176" t="s">
        <v>312</v>
      </c>
      <c r="BA13" s="176" t="s">
        <v>313</v>
      </c>
      <c r="BB13" s="176" t="s">
        <v>314</v>
      </c>
      <c r="BC13" s="176" t="s">
        <v>315</v>
      </c>
      <c r="BD13" s="176" t="s">
        <v>316</v>
      </c>
      <c r="BE13" s="176" t="s">
        <v>317</v>
      </c>
      <c r="BF13" s="176" t="s">
        <v>318</v>
      </c>
      <c r="BG13" s="176" t="s">
        <v>319</v>
      </c>
      <c r="BH13" s="176" t="s">
        <v>320</v>
      </c>
      <c r="BI13" s="176" t="s">
        <v>321</v>
      </c>
      <c r="BJ13" s="176" t="s">
        <v>322</v>
      </c>
      <c r="BK13" s="176" t="s">
        <v>323</v>
      </c>
      <c r="BL13" s="176" t="s">
        <v>324</v>
      </c>
      <c r="BM13" s="176" t="s">
        <v>325</v>
      </c>
      <c r="BN13" s="176" t="s">
        <v>326</v>
      </c>
      <c r="BO13" s="176" t="s">
        <v>327</v>
      </c>
      <c r="BP13" s="176" t="s">
        <v>328</v>
      </c>
      <c r="BQ13" s="176" t="s">
        <v>329</v>
      </c>
      <c r="BR13" s="176" t="s">
        <v>330</v>
      </c>
      <c r="BS13" s="176" t="s">
        <v>331</v>
      </c>
      <c r="BT13" s="176" t="s">
        <v>141</v>
      </c>
      <c r="BU13" s="176" t="s">
        <v>301</v>
      </c>
      <c r="BV13" s="176" t="s">
        <v>302</v>
      </c>
      <c r="BW13" s="176" t="s">
        <v>303</v>
      </c>
      <c r="BX13" s="176" t="s">
        <v>304</v>
      </c>
      <c r="BY13" s="176" t="s">
        <v>305</v>
      </c>
      <c r="BZ13" s="176" t="s">
        <v>306</v>
      </c>
      <c r="CA13" s="176" t="s">
        <v>307</v>
      </c>
      <c r="CB13" s="176" t="s">
        <v>308</v>
      </c>
      <c r="CC13" s="176" t="s">
        <v>309</v>
      </c>
      <c r="CD13" s="176" t="s">
        <v>310</v>
      </c>
      <c r="CE13" s="176" t="s">
        <v>311</v>
      </c>
      <c r="CF13" s="176" t="s">
        <v>312</v>
      </c>
      <c r="CG13" s="176" t="s">
        <v>313</v>
      </c>
      <c r="CH13" s="176" t="s">
        <v>314</v>
      </c>
      <c r="CI13" s="176" t="s">
        <v>315</v>
      </c>
      <c r="CJ13" s="176" t="s">
        <v>316</v>
      </c>
      <c r="CK13" s="176" t="s">
        <v>317</v>
      </c>
      <c r="CL13" s="176" t="s">
        <v>318</v>
      </c>
      <c r="CM13" s="176" t="s">
        <v>319</v>
      </c>
      <c r="CN13" s="176" t="s">
        <v>320</v>
      </c>
      <c r="CO13" s="176" t="s">
        <v>321</v>
      </c>
      <c r="CP13" s="176" t="s">
        <v>322</v>
      </c>
      <c r="CQ13" s="176" t="s">
        <v>323</v>
      </c>
      <c r="CR13" s="176" t="s">
        <v>324</v>
      </c>
      <c r="CS13" s="176" t="s">
        <v>325</v>
      </c>
      <c r="CT13" s="176" t="s">
        <v>326</v>
      </c>
      <c r="CU13" s="176" t="s">
        <v>327</v>
      </c>
      <c r="CV13" s="176" t="s">
        <v>328</v>
      </c>
      <c r="CW13" s="176" t="s">
        <v>329</v>
      </c>
      <c r="CX13" s="176" t="s">
        <v>330</v>
      </c>
      <c r="CY13" s="176" t="s">
        <v>331</v>
      </c>
      <c r="CZ13" s="176" t="s">
        <v>142</v>
      </c>
      <c r="DA13" s="176" t="s">
        <v>301</v>
      </c>
      <c r="DB13" s="176" t="s">
        <v>302</v>
      </c>
      <c r="DC13" s="176" t="s">
        <v>303</v>
      </c>
      <c r="DD13" s="176" t="s">
        <v>304</v>
      </c>
      <c r="DE13" s="176" t="s">
        <v>305</v>
      </c>
      <c r="DF13" s="176" t="s">
        <v>306</v>
      </c>
      <c r="DG13" s="176" t="s">
        <v>307</v>
      </c>
      <c r="DH13" s="176" t="s">
        <v>308</v>
      </c>
      <c r="DI13" s="176" t="s">
        <v>309</v>
      </c>
      <c r="DJ13" s="176" t="s">
        <v>310</v>
      </c>
      <c r="DK13" s="176" t="s">
        <v>311</v>
      </c>
      <c r="DL13" s="176" t="s">
        <v>312</v>
      </c>
      <c r="DM13" s="176" t="s">
        <v>313</v>
      </c>
      <c r="DN13" s="176" t="s">
        <v>314</v>
      </c>
      <c r="DO13" s="176" t="s">
        <v>315</v>
      </c>
      <c r="DP13" s="176" t="s">
        <v>316</v>
      </c>
      <c r="DQ13" s="176" t="s">
        <v>317</v>
      </c>
      <c r="DR13" s="176" t="s">
        <v>318</v>
      </c>
      <c r="DS13" s="176" t="s">
        <v>319</v>
      </c>
      <c r="DT13" s="176" t="s">
        <v>320</v>
      </c>
      <c r="DU13" s="176" t="s">
        <v>321</v>
      </c>
      <c r="DV13" s="176" t="s">
        <v>322</v>
      </c>
      <c r="DW13" s="176" t="s">
        <v>323</v>
      </c>
      <c r="DX13" s="176" t="s">
        <v>324</v>
      </c>
      <c r="DY13" s="176" t="s">
        <v>325</v>
      </c>
      <c r="DZ13" s="176" t="s">
        <v>326</v>
      </c>
      <c r="EA13" s="176" t="s">
        <v>327</v>
      </c>
      <c r="EB13" s="176" t="s">
        <v>328</v>
      </c>
      <c r="EC13" s="176" t="s">
        <v>329</v>
      </c>
      <c r="ED13" s="176" t="s">
        <v>330</v>
      </c>
      <c r="EE13" s="176" t="s">
        <v>331</v>
      </c>
      <c r="EF13" s="176" t="s">
        <v>143</v>
      </c>
    </row>
    <row r="14" ht="14.25" customHeight="1" spans="1:200" x14ac:dyDescent="0.25">
      <c r="A14" s="177" t="s">
        <v>150</v>
      </c>
      <c r="B14" s="177" t="s">
        <v>206</v>
      </c>
      <c r="C14" s="177" t="s">
        <v>173</v>
      </c>
      <c r="D14" s="177" t="s">
        <v>332</v>
      </c>
      <c r="E14" s="135"/>
      <c r="F14" s="177" t="s">
        <v>207</v>
      </c>
      <c r="G14" s="177" t="s">
        <v>154</v>
      </c>
      <c r="H14" s="178">
        <v>25</v>
      </c>
      <c r="I14" s="178">
        <v>0</v>
      </c>
      <c r="J14" s="178">
        <v>30</v>
      </c>
      <c r="K14" s="178">
        <v>40</v>
      </c>
      <c r="L14" s="178">
        <v>30</v>
      </c>
      <c r="M14" s="178">
        <v>20</v>
      </c>
      <c r="N14" s="178">
        <v>40</v>
      </c>
      <c r="O14" s="178">
        <v>0</v>
      </c>
      <c r="P14" s="178">
        <v>0</v>
      </c>
      <c r="Q14" s="178">
        <v>10</v>
      </c>
      <c r="R14" s="178">
        <v>30</v>
      </c>
      <c r="S14" s="178">
        <v>40</v>
      </c>
      <c r="T14" s="178">
        <v>30</v>
      </c>
      <c r="U14" s="178">
        <v>30</v>
      </c>
      <c r="V14" s="178">
        <v>30</v>
      </c>
      <c r="W14" s="178">
        <v>0</v>
      </c>
      <c r="X14" s="178">
        <v>30</v>
      </c>
      <c r="Y14" s="178">
        <v>30</v>
      </c>
      <c r="Z14" s="178">
        <v>40</v>
      </c>
      <c r="AA14" s="178">
        <v>20</v>
      </c>
      <c r="AB14" s="178">
        <v>30</v>
      </c>
      <c r="AC14" s="178">
        <v>0</v>
      </c>
      <c r="AD14" s="178">
        <v>0</v>
      </c>
      <c r="AE14" s="178">
        <v>20</v>
      </c>
      <c r="AF14" s="178">
        <v>30</v>
      </c>
      <c r="AG14" s="178">
        <v>40</v>
      </c>
      <c r="AH14" s="178">
        <v>30</v>
      </c>
      <c r="AI14" s="178">
        <v>30</v>
      </c>
      <c r="AJ14" s="178">
        <v>10</v>
      </c>
      <c r="AK14" s="178">
        <v>0</v>
      </c>
      <c r="AL14" s="178">
        <v>0</v>
      </c>
      <c r="AM14" s="178">
        <v>0</v>
      </c>
      <c r="AN14" s="178">
        <v>640</v>
      </c>
      <c r="AO14" s="178">
        <v>0</v>
      </c>
      <c r="AP14" s="178">
        <v>0</v>
      </c>
      <c r="AQ14" s="178">
        <v>30</v>
      </c>
      <c r="AR14" s="178">
        <v>30</v>
      </c>
      <c r="AS14" s="178">
        <v>20</v>
      </c>
      <c r="AT14" s="178">
        <v>20</v>
      </c>
      <c r="AU14" s="178">
        <v>20</v>
      </c>
      <c r="AV14" s="178">
        <v>0</v>
      </c>
      <c r="AW14" s="178">
        <v>40</v>
      </c>
      <c r="AX14" s="178">
        <v>10</v>
      </c>
      <c r="AY14" s="178">
        <v>40</v>
      </c>
      <c r="AZ14" s="178">
        <v>20</v>
      </c>
      <c r="BA14" s="178">
        <v>30</v>
      </c>
      <c r="BB14" s="178">
        <v>20</v>
      </c>
      <c r="BC14" s="178">
        <v>0</v>
      </c>
      <c r="BD14" s="178">
        <v>40</v>
      </c>
      <c r="BE14" s="178">
        <v>20</v>
      </c>
      <c r="BF14" s="178">
        <v>30</v>
      </c>
      <c r="BG14" s="178">
        <v>20</v>
      </c>
      <c r="BH14" s="178">
        <v>30</v>
      </c>
      <c r="BI14" s="178">
        <v>0</v>
      </c>
      <c r="BJ14" s="178">
        <v>0</v>
      </c>
      <c r="BK14" s="178">
        <v>40</v>
      </c>
      <c r="BL14" s="178">
        <v>20</v>
      </c>
      <c r="BM14" s="178">
        <v>30</v>
      </c>
      <c r="BN14" s="178">
        <v>40</v>
      </c>
      <c r="BO14" s="178">
        <v>0</v>
      </c>
      <c r="BP14" s="178">
        <v>40</v>
      </c>
      <c r="BQ14" s="178">
        <v>0</v>
      </c>
      <c r="BR14" s="178">
        <v>30</v>
      </c>
      <c r="BS14" s="178">
        <v>30</v>
      </c>
      <c r="BT14" s="178">
        <v>650</v>
      </c>
      <c r="BU14" s="178">
        <v>25</v>
      </c>
      <c r="BV14" s="178">
        <v>25</v>
      </c>
      <c r="BW14" s="178">
        <v>25</v>
      </c>
      <c r="BX14" s="178">
        <v>12</v>
      </c>
      <c r="BY14" s="178">
        <v>0</v>
      </c>
      <c r="BZ14" s="178">
        <v>25</v>
      </c>
      <c r="CA14" s="178">
        <v>25</v>
      </c>
      <c r="CB14" s="178">
        <v>25</v>
      </c>
      <c r="CC14" s="178">
        <v>25</v>
      </c>
      <c r="CD14" s="178">
        <v>25</v>
      </c>
      <c r="CE14" s="178">
        <v>0</v>
      </c>
      <c r="CF14" s="178">
        <v>0</v>
      </c>
      <c r="CG14" s="178">
        <v>0</v>
      </c>
      <c r="CH14" s="178">
        <v>0</v>
      </c>
      <c r="CI14" s="178">
        <v>0</v>
      </c>
      <c r="CJ14" s="178">
        <v>0</v>
      </c>
      <c r="CK14" s="178">
        <v>0</v>
      </c>
      <c r="CL14" s="178">
        <v>0</v>
      </c>
      <c r="CM14" s="178">
        <v>0</v>
      </c>
      <c r="CN14" s="178">
        <v>25</v>
      </c>
      <c r="CO14" s="178">
        <v>25</v>
      </c>
      <c r="CP14" s="178">
        <v>25</v>
      </c>
      <c r="CQ14" s="178">
        <v>25</v>
      </c>
      <c r="CR14" s="178">
        <v>25</v>
      </c>
      <c r="CS14" s="178">
        <v>25</v>
      </c>
      <c r="CT14" s="178">
        <v>0</v>
      </c>
      <c r="CU14" s="178">
        <v>25</v>
      </c>
      <c r="CV14" s="178">
        <v>24</v>
      </c>
      <c r="CW14" s="178">
        <v>25</v>
      </c>
      <c r="CX14" s="178">
        <v>24</v>
      </c>
      <c r="CY14" s="178">
        <v>0</v>
      </c>
      <c r="CZ14" s="178">
        <v>460</v>
      </c>
      <c r="DA14" s="178">
        <v>0</v>
      </c>
      <c r="DB14" s="178">
        <v>0</v>
      </c>
      <c r="DC14" s="178">
        <v>0</v>
      </c>
      <c r="DD14" s="178">
        <v>0</v>
      </c>
      <c r="DE14" s="178">
        <v>12</v>
      </c>
      <c r="DF14" s="178">
        <v>11</v>
      </c>
      <c r="DG14" s="178">
        <v>12</v>
      </c>
      <c r="DH14" s="178">
        <v>11</v>
      </c>
      <c r="DI14" s="178">
        <v>12</v>
      </c>
      <c r="DJ14" s="178">
        <v>0</v>
      </c>
      <c r="DK14" s="178">
        <v>11</v>
      </c>
      <c r="DL14" s="178">
        <v>12</v>
      </c>
      <c r="DM14" s="178">
        <v>11</v>
      </c>
      <c r="DN14" s="178">
        <v>12</v>
      </c>
      <c r="DO14" s="178">
        <v>11</v>
      </c>
      <c r="DP14" s="178">
        <v>0</v>
      </c>
      <c r="DQ14" s="178">
        <v>0</v>
      </c>
      <c r="DR14" s="178">
        <v>12</v>
      </c>
      <c r="DS14" s="178">
        <v>11</v>
      </c>
      <c r="DT14" s="178">
        <v>12</v>
      </c>
      <c r="DU14" s="178">
        <v>11</v>
      </c>
      <c r="DV14" s="178">
        <v>12</v>
      </c>
      <c r="DW14" s="178">
        <v>0</v>
      </c>
      <c r="DX14" s="178">
        <v>0</v>
      </c>
      <c r="DY14" s="178">
        <v>11</v>
      </c>
      <c r="DZ14" s="178">
        <v>12</v>
      </c>
      <c r="EA14" s="178">
        <v>11</v>
      </c>
      <c r="EB14" s="178">
        <v>12</v>
      </c>
      <c r="EC14" s="178">
        <v>11</v>
      </c>
      <c r="ED14" s="178">
        <v>0</v>
      </c>
      <c r="EE14" s="178">
        <v>0</v>
      </c>
      <c r="EF14" s="178">
        <v>230</v>
      </c>
    </row>
    <row r="15" ht="14.25" customHeight="1" spans="1:200" x14ac:dyDescent="0.25">
      <c r="A15" s="177" t="s">
        <v>150</v>
      </c>
      <c r="B15" s="177" t="s">
        <v>206</v>
      </c>
      <c r="C15" s="177" t="s">
        <v>173</v>
      </c>
      <c r="D15" s="177" t="s">
        <v>332</v>
      </c>
      <c r="E15" s="135"/>
      <c r="F15" s="177" t="s">
        <v>202</v>
      </c>
      <c r="G15" s="177" t="s">
        <v>154</v>
      </c>
      <c r="H15" s="178">
        <v>30</v>
      </c>
      <c r="I15" s="178">
        <v>0</v>
      </c>
      <c r="J15" s="178">
        <v>270</v>
      </c>
      <c r="K15" s="178">
        <v>270</v>
      </c>
      <c r="L15" s="178">
        <v>240</v>
      </c>
      <c r="M15" s="178">
        <v>270</v>
      </c>
      <c r="N15" s="178">
        <v>270</v>
      </c>
      <c r="O15" s="178">
        <v>0</v>
      </c>
      <c r="P15" s="178">
        <v>0</v>
      </c>
      <c r="Q15" s="178">
        <v>270</v>
      </c>
      <c r="R15" s="178">
        <v>270</v>
      </c>
      <c r="S15" s="178">
        <v>240</v>
      </c>
      <c r="T15" s="178">
        <v>300</v>
      </c>
      <c r="U15" s="178">
        <v>240</v>
      </c>
      <c r="V15" s="178">
        <v>240</v>
      </c>
      <c r="W15" s="178">
        <v>0</v>
      </c>
      <c r="X15" s="178">
        <v>300</v>
      </c>
      <c r="Y15" s="178">
        <v>240</v>
      </c>
      <c r="Z15" s="178">
        <v>270</v>
      </c>
      <c r="AA15" s="178">
        <v>270</v>
      </c>
      <c r="AB15" s="178">
        <v>270</v>
      </c>
      <c r="AC15" s="178">
        <v>0</v>
      </c>
      <c r="AD15" s="178">
        <v>0</v>
      </c>
      <c r="AE15" s="178">
        <v>240</v>
      </c>
      <c r="AF15" s="178">
        <v>270</v>
      </c>
      <c r="AG15" s="178">
        <v>270</v>
      </c>
      <c r="AH15" s="178">
        <v>270</v>
      </c>
      <c r="AI15" s="178">
        <v>270</v>
      </c>
      <c r="AJ15" s="178">
        <v>240</v>
      </c>
      <c r="AK15" s="178">
        <v>0</v>
      </c>
      <c r="AL15" s="178">
        <v>0</v>
      </c>
      <c r="AM15" s="178">
        <v>0</v>
      </c>
      <c r="AN15" s="178">
        <v>5790</v>
      </c>
      <c r="AO15" s="178">
        <v>0</v>
      </c>
      <c r="AP15" s="178">
        <v>0</v>
      </c>
      <c r="AQ15" s="178">
        <v>240</v>
      </c>
      <c r="AR15" s="178">
        <v>300</v>
      </c>
      <c r="AS15" s="178">
        <v>300</v>
      </c>
      <c r="AT15" s="178">
        <v>360</v>
      </c>
      <c r="AU15" s="178">
        <v>150</v>
      </c>
      <c r="AV15" s="178">
        <v>0</v>
      </c>
      <c r="AW15" s="178">
        <v>330</v>
      </c>
      <c r="AX15" s="178">
        <v>360</v>
      </c>
      <c r="AY15" s="178">
        <v>330</v>
      </c>
      <c r="AZ15" s="178">
        <v>360</v>
      </c>
      <c r="BA15" s="178">
        <v>360</v>
      </c>
      <c r="BB15" s="178">
        <v>360</v>
      </c>
      <c r="BC15" s="178">
        <v>0</v>
      </c>
      <c r="BD15" s="178">
        <v>330</v>
      </c>
      <c r="BE15" s="178">
        <v>390</v>
      </c>
      <c r="BF15" s="178">
        <v>360</v>
      </c>
      <c r="BG15" s="178">
        <v>330</v>
      </c>
      <c r="BH15" s="178">
        <v>360</v>
      </c>
      <c r="BI15" s="178">
        <v>0</v>
      </c>
      <c r="BJ15" s="178">
        <v>0</v>
      </c>
      <c r="BK15" s="178">
        <v>360</v>
      </c>
      <c r="BL15" s="178">
        <v>360</v>
      </c>
      <c r="BM15" s="178">
        <v>330</v>
      </c>
      <c r="BN15" s="178">
        <v>390</v>
      </c>
      <c r="BO15" s="178">
        <v>360</v>
      </c>
      <c r="BP15" s="178">
        <v>330</v>
      </c>
      <c r="BQ15" s="178">
        <v>0</v>
      </c>
      <c r="BR15" s="178">
        <v>360</v>
      </c>
      <c r="BS15" s="178">
        <v>270</v>
      </c>
      <c r="BT15" s="178">
        <v>7980</v>
      </c>
      <c r="BU15" s="178">
        <v>297</v>
      </c>
      <c r="BV15" s="178">
        <v>297</v>
      </c>
      <c r="BW15" s="178">
        <v>297</v>
      </c>
      <c r="BX15" s="178">
        <v>148</v>
      </c>
      <c r="BY15" s="178">
        <v>0</v>
      </c>
      <c r="BZ15" s="178">
        <v>297</v>
      </c>
      <c r="CA15" s="178">
        <v>297</v>
      </c>
      <c r="CB15" s="178">
        <v>297</v>
      </c>
      <c r="CC15" s="178">
        <v>297</v>
      </c>
      <c r="CD15" s="178">
        <v>297</v>
      </c>
      <c r="CE15" s="178">
        <v>0</v>
      </c>
      <c r="CF15" s="178">
        <v>0</v>
      </c>
      <c r="CG15" s="178">
        <v>0</v>
      </c>
      <c r="CH15" s="178">
        <v>0</v>
      </c>
      <c r="CI15" s="178">
        <v>0</v>
      </c>
      <c r="CJ15" s="178">
        <v>0</v>
      </c>
      <c r="CK15" s="178">
        <v>0</v>
      </c>
      <c r="CL15" s="178">
        <v>0</v>
      </c>
      <c r="CM15" s="178">
        <v>0</v>
      </c>
      <c r="CN15" s="178">
        <v>297</v>
      </c>
      <c r="CO15" s="178">
        <v>297</v>
      </c>
      <c r="CP15" s="178">
        <v>297</v>
      </c>
      <c r="CQ15" s="178">
        <v>296</v>
      </c>
      <c r="CR15" s="178">
        <v>297</v>
      </c>
      <c r="CS15" s="178">
        <v>296</v>
      </c>
      <c r="CT15" s="178">
        <v>0</v>
      </c>
      <c r="CU15" s="178">
        <v>297</v>
      </c>
      <c r="CV15" s="178">
        <v>296</v>
      </c>
      <c r="CW15" s="178">
        <v>297</v>
      </c>
      <c r="CX15" s="178">
        <v>296</v>
      </c>
      <c r="CY15" s="178">
        <v>0</v>
      </c>
      <c r="CZ15" s="178">
        <v>5490</v>
      </c>
      <c r="DA15" s="178">
        <v>0</v>
      </c>
      <c r="DB15" s="178">
        <v>0</v>
      </c>
      <c r="DC15" s="178">
        <v>0</v>
      </c>
      <c r="DD15" s="178">
        <v>0</v>
      </c>
      <c r="DE15" s="178">
        <v>186</v>
      </c>
      <c r="DF15" s="178">
        <v>186</v>
      </c>
      <c r="DG15" s="178">
        <v>186</v>
      </c>
      <c r="DH15" s="178">
        <v>186</v>
      </c>
      <c r="DI15" s="178">
        <v>186</v>
      </c>
      <c r="DJ15" s="178">
        <v>0</v>
      </c>
      <c r="DK15" s="178">
        <v>186</v>
      </c>
      <c r="DL15" s="178">
        <v>186</v>
      </c>
      <c r="DM15" s="178">
        <v>186</v>
      </c>
      <c r="DN15" s="178">
        <v>186</v>
      </c>
      <c r="DO15" s="178">
        <v>186</v>
      </c>
      <c r="DP15" s="178">
        <v>0</v>
      </c>
      <c r="DQ15" s="178">
        <v>0</v>
      </c>
      <c r="DR15" s="178">
        <v>186</v>
      </c>
      <c r="DS15" s="178">
        <v>186</v>
      </c>
      <c r="DT15" s="178">
        <v>186</v>
      </c>
      <c r="DU15" s="178">
        <v>186</v>
      </c>
      <c r="DV15" s="178">
        <v>186</v>
      </c>
      <c r="DW15" s="178">
        <v>0</v>
      </c>
      <c r="DX15" s="178">
        <v>0</v>
      </c>
      <c r="DY15" s="178">
        <v>186</v>
      </c>
      <c r="DZ15" s="178">
        <v>186</v>
      </c>
      <c r="EA15" s="178">
        <v>186</v>
      </c>
      <c r="EB15" s="178">
        <v>186</v>
      </c>
      <c r="EC15" s="178">
        <v>186</v>
      </c>
      <c r="ED15" s="178">
        <v>0</v>
      </c>
      <c r="EE15" s="178">
        <v>0</v>
      </c>
      <c r="EF15" s="178">
        <v>3720</v>
      </c>
    </row>
    <row r="16" ht="14.25" customHeight="1" spans="1:200" x14ac:dyDescent="0.25">
      <c r="A16" s="177" t="s">
        <v>23</v>
      </c>
      <c r="B16" s="177" t="s">
        <v>210</v>
      </c>
      <c r="C16" s="177" t="s">
        <v>173</v>
      </c>
      <c r="D16" s="177" t="s">
        <v>332</v>
      </c>
      <c r="E16" s="135"/>
      <c r="F16" s="177" t="s">
        <v>207</v>
      </c>
      <c r="G16" s="177" t="s">
        <v>154</v>
      </c>
      <c r="H16" s="178">
        <v>10</v>
      </c>
      <c r="I16" s="178">
        <v>0</v>
      </c>
      <c r="J16" s="178">
        <v>20</v>
      </c>
      <c r="K16" s="178">
        <v>10</v>
      </c>
      <c r="L16" s="178">
        <v>10</v>
      </c>
      <c r="M16" s="178">
        <v>0</v>
      </c>
      <c r="N16" s="178">
        <v>10</v>
      </c>
      <c r="O16" s="178">
        <v>0</v>
      </c>
      <c r="P16" s="178">
        <v>0</v>
      </c>
      <c r="Q16" s="178">
        <v>10</v>
      </c>
      <c r="R16" s="178">
        <v>10</v>
      </c>
      <c r="S16" s="178">
        <v>10</v>
      </c>
      <c r="T16" s="178">
        <v>10</v>
      </c>
      <c r="U16" s="178">
        <v>10</v>
      </c>
      <c r="V16" s="178">
        <v>10</v>
      </c>
      <c r="W16" s="178">
        <v>0</v>
      </c>
      <c r="X16" s="178">
        <v>0</v>
      </c>
      <c r="Y16" s="178">
        <v>10</v>
      </c>
      <c r="Z16" s="178">
        <v>10</v>
      </c>
      <c r="AA16" s="178">
        <v>10</v>
      </c>
      <c r="AB16" s="178">
        <v>10</v>
      </c>
      <c r="AC16" s="178">
        <v>0</v>
      </c>
      <c r="AD16" s="178">
        <v>0</v>
      </c>
      <c r="AE16" s="178">
        <v>0</v>
      </c>
      <c r="AF16" s="178">
        <v>0</v>
      </c>
      <c r="AG16" s="178">
        <v>0</v>
      </c>
      <c r="AH16" s="178">
        <v>0</v>
      </c>
      <c r="AI16" s="178">
        <v>10</v>
      </c>
      <c r="AJ16" s="178">
        <v>10</v>
      </c>
      <c r="AK16" s="178">
        <v>0</v>
      </c>
      <c r="AL16" s="178">
        <v>0</v>
      </c>
      <c r="AM16" s="178">
        <v>0</v>
      </c>
      <c r="AN16" s="178">
        <v>170</v>
      </c>
      <c r="AO16" s="178">
        <v>0</v>
      </c>
      <c r="AP16" s="178">
        <v>0</v>
      </c>
      <c r="AQ16" s="178">
        <v>10</v>
      </c>
      <c r="AR16" s="178">
        <v>20</v>
      </c>
      <c r="AS16" s="178">
        <v>10</v>
      </c>
      <c r="AT16" s="178">
        <v>30</v>
      </c>
      <c r="AU16" s="178">
        <v>0</v>
      </c>
      <c r="AV16" s="178">
        <v>0</v>
      </c>
      <c r="AW16" s="178">
        <v>20</v>
      </c>
      <c r="AX16" s="178">
        <v>10</v>
      </c>
      <c r="AY16" s="178">
        <v>20</v>
      </c>
      <c r="AZ16" s="178">
        <v>10</v>
      </c>
      <c r="BA16" s="178">
        <v>20</v>
      </c>
      <c r="BB16" s="178">
        <v>10</v>
      </c>
      <c r="BC16" s="178">
        <v>0</v>
      </c>
      <c r="BD16" s="178">
        <v>30</v>
      </c>
      <c r="BE16" s="178">
        <v>10</v>
      </c>
      <c r="BF16" s="178">
        <v>20</v>
      </c>
      <c r="BG16" s="178">
        <v>10</v>
      </c>
      <c r="BH16" s="178">
        <v>20</v>
      </c>
      <c r="BI16" s="178">
        <v>0</v>
      </c>
      <c r="BJ16" s="178">
        <v>0</v>
      </c>
      <c r="BK16" s="178">
        <v>10</v>
      </c>
      <c r="BL16" s="178">
        <v>20</v>
      </c>
      <c r="BM16" s="178">
        <v>10</v>
      </c>
      <c r="BN16" s="178">
        <v>20</v>
      </c>
      <c r="BO16" s="178">
        <v>20</v>
      </c>
      <c r="BP16" s="178">
        <v>20</v>
      </c>
      <c r="BQ16" s="178">
        <v>0</v>
      </c>
      <c r="BR16" s="178">
        <v>10</v>
      </c>
      <c r="BS16" s="178">
        <v>20</v>
      </c>
      <c r="BT16" s="178">
        <v>380</v>
      </c>
      <c r="BU16" s="178">
        <v>7</v>
      </c>
      <c r="BV16" s="178">
        <v>7</v>
      </c>
      <c r="BW16" s="178">
        <v>7</v>
      </c>
      <c r="BX16" s="178">
        <v>4</v>
      </c>
      <c r="BY16" s="178">
        <v>0</v>
      </c>
      <c r="BZ16" s="178">
        <v>7</v>
      </c>
      <c r="CA16" s="178">
        <v>7</v>
      </c>
      <c r="CB16" s="178">
        <v>7</v>
      </c>
      <c r="CC16" s="178">
        <v>7</v>
      </c>
      <c r="CD16" s="178">
        <v>7</v>
      </c>
      <c r="CE16" s="178">
        <v>0</v>
      </c>
      <c r="CF16" s="178">
        <v>0</v>
      </c>
      <c r="CG16" s="178">
        <v>0</v>
      </c>
      <c r="CH16" s="178">
        <v>0</v>
      </c>
      <c r="CI16" s="178">
        <v>0</v>
      </c>
      <c r="CJ16" s="178">
        <v>0</v>
      </c>
      <c r="CK16" s="178">
        <v>0</v>
      </c>
      <c r="CL16" s="178">
        <v>0</v>
      </c>
      <c r="CM16" s="178">
        <v>0</v>
      </c>
      <c r="CN16" s="178">
        <v>7</v>
      </c>
      <c r="CO16" s="178">
        <v>7</v>
      </c>
      <c r="CP16" s="178">
        <v>7</v>
      </c>
      <c r="CQ16" s="178">
        <v>7</v>
      </c>
      <c r="CR16" s="178">
        <v>7</v>
      </c>
      <c r="CS16" s="178">
        <v>7</v>
      </c>
      <c r="CT16" s="178">
        <v>0</v>
      </c>
      <c r="CU16" s="178">
        <v>7</v>
      </c>
      <c r="CV16" s="178">
        <v>7</v>
      </c>
      <c r="CW16" s="178">
        <v>7</v>
      </c>
      <c r="CX16" s="178">
        <v>7</v>
      </c>
      <c r="CY16" s="178">
        <v>0</v>
      </c>
      <c r="CZ16" s="178">
        <v>130</v>
      </c>
      <c r="DA16" s="178">
        <v>0</v>
      </c>
      <c r="DB16" s="178">
        <v>0</v>
      </c>
      <c r="DC16" s="178">
        <v>0</v>
      </c>
      <c r="DD16" s="178">
        <v>0</v>
      </c>
      <c r="DE16" s="178">
        <v>11</v>
      </c>
      <c r="DF16" s="178">
        <v>10</v>
      </c>
      <c r="DG16" s="178">
        <v>11</v>
      </c>
      <c r="DH16" s="178">
        <v>10</v>
      </c>
      <c r="DI16" s="178">
        <v>11</v>
      </c>
      <c r="DJ16" s="178">
        <v>0</v>
      </c>
      <c r="DK16" s="178">
        <v>10</v>
      </c>
      <c r="DL16" s="178">
        <v>11</v>
      </c>
      <c r="DM16" s="178">
        <v>10</v>
      </c>
      <c r="DN16" s="178">
        <v>11</v>
      </c>
      <c r="DO16" s="178">
        <v>10</v>
      </c>
      <c r="DP16" s="178">
        <v>0</v>
      </c>
      <c r="DQ16" s="178">
        <v>0</v>
      </c>
      <c r="DR16" s="178">
        <v>11</v>
      </c>
      <c r="DS16" s="178">
        <v>10</v>
      </c>
      <c r="DT16" s="178">
        <v>11</v>
      </c>
      <c r="DU16" s="178">
        <v>10</v>
      </c>
      <c r="DV16" s="178">
        <v>11</v>
      </c>
      <c r="DW16" s="178">
        <v>0</v>
      </c>
      <c r="DX16" s="178">
        <v>0</v>
      </c>
      <c r="DY16" s="178">
        <v>10</v>
      </c>
      <c r="DZ16" s="178">
        <v>11</v>
      </c>
      <c r="EA16" s="178">
        <v>10</v>
      </c>
      <c r="EB16" s="178">
        <v>11</v>
      </c>
      <c r="EC16" s="178">
        <v>10</v>
      </c>
      <c r="ED16" s="178">
        <v>0</v>
      </c>
      <c r="EE16" s="178">
        <v>0</v>
      </c>
      <c r="EF16" s="178">
        <v>210</v>
      </c>
      <c r="EJ16" s="136">
        <f t="shared" ref="EJ16:EJ30" si="7">EK16&amp;EL16</f>
      </c>
    </row>
    <row r="17" ht="14.25" customHeight="1" spans="1:200" x14ac:dyDescent="0.25">
      <c r="A17" s="177" t="s">
        <v>23</v>
      </c>
      <c r="B17" s="177" t="s">
        <v>210</v>
      </c>
      <c r="C17" s="177" t="s">
        <v>173</v>
      </c>
      <c r="D17" s="177" t="s">
        <v>332</v>
      </c>
      <c r="E17" s="135"/>
      <c r="F17" s="177" t="s">
        <v>202</v>
      </c>
      <c r="G17" s="177" t="s">
        <v>154</v>
      </c>
      <c r="H17" s="178">
        <v>20</v>
      </c>
      <c r="I17" s="178">
        <v>0</v>
      </c>
      <c r="J17" s="178">
        <v>340</v>
      </c>
      <c r="K17" s="178">
        <v>280</v>
      </c>
      <c r="L17" s="178">
        <v>300</v>
      </c>
      <c r="M17" s="178">
        <v>320</v>
      </c>
      <c r="N17" s="178">
        <v>280</v>
      </c>
      <c r="O17" s="178">
        <v>0</v>
      </c>
      <c r="P17" s="178">
        <v>0</v>
      </c>
      <c r="Q17" s="178">
        <v>280</v>
      </c>
      <c r="R17" s="178">
        <v>280</v>
      </c>
      <c r="S17" s="178">
        <v>320</v>
      </c>
      <c r="T17" s="178">
        <v>280</v>
      </c>
      <c r="U17" s="178">
        <v>320</v>
      </c>
      <c r="V17" s="178">
        <v>300</v>
      </c>
      <c r="W17" s="178">
        <v>0</v>
      </c>
      <c r="X17" s="178">
        <v>280</v>
      </c>
      <c r="Y17" s="178">
        <v>260</v>
      </c>
      <c r="Z17" s="178">
        <v>260</v>
      </c>
      <c r="AA17" s="178">
        <v>320</v>
      </c>
      <c r="AB17" s="178">
        <v>320</v>
      </c>
      <c r="AC17" s="178">
        <v>0</v>
      </c>
      <c r="AD17" s="178">
        <v>0</v>
      </c>
      <c r="AE17" s="178">
        <v>320</v>
      </c>
      <c r="AF17" s="178">
        <v>320</v>
      </c>
      <c r="AG17" s="178">
        <v>300</v>
      </c>
      <c r="AH17" s="178">
        <v>360</v>
      </c>
      <c r="AI17" s="178">
        <v>320</v>
      </c>
      <c r="AJ17" s="178">
        <v>320</v>
      </c>
      <c r="AK17" s="178">
        <v>0</v>
      </c>
      <c r="AL17" s="178">
        <v>0</v>
      </c>
      <c r="AM17" s="178">
        <v>0</v>
      </c>
      <c r="AN17" s="178">
        <v>6680</v>
      </c>
      <c r="AO17" s="178">
        <v>0</v>
      </c>
      <c r="AP17" s="178">
        <v>0</v>
      </c>
      <c r="AQ17" s="178">
        <v>260</v>
      </c>
      <c r="AR17" s="178">
        <v>280</v>
      </c>
      <c r="AS17" s="178">
        <v>320</v>
      </c>
      <c r="AT17" s="178">
        <v>300</v>
      </c>
      <c r="AU17" s="178">
        <v>140</v>
      </c>
      <c r="AV17" s="178">
        <v>0</v>
      </c>
      <c r="AW17" s="178">
        <v>300</v>
      </c>
      <c r="AX17" s="178">
        <v>280</v>
      </c>
      <c r="AY17" s="178">
        <v>320</v>
      </c>
      <c r="AZ17" s="178">
        <v>320</v>
      </c>
      <c r="BA17" s="178">
        <v>300</v>
      </c>
      <c r="BB17" s="178">
        <v>300</v>
      </c>
      <c r="BC17" s="178">
        <v>0</v>
      </c>
      <c r="BD17" s="178">
        <v>300</v>
      </c>
      <c r="BE17" s="178">
        <v>300</v>
      </c>
      <c r="BF17" s="178">
        <v>320</v>
      </c>
      <c r="BG17" s="178">
        <v>300</v>
      </c>
      <c r="BH17" s="178">
        <v>300</v>
      </c>
      <c r="BI17" s="178">
        <v>0</v>
      </c>
      <c r="BJ17" s="178">
        <v>0</v>
      </c>
      <c r="BK17" s="178">
        <v>280</v>
      </c>
      <c r="BL17" s="178">
        <v>280</v>
      </c>
      <c r="BM17" s="178">
        <v>260</v>
      </c>
      <c r="BN17" s="178">
        <v>280</v>
      </c>
      <c r="BO17" s="178">
        <v>260</v>
      </c>
      <c r="BP17" s="178">
        <v>260</v>
      </c>
      <c r="BQ17" s="178">
        <v>0</v>
      </c>
      <c r="BR17" s="178">
        <v>260</v>
      </c>
      <c r="BS17" s="178">
        <v>220</v>
      </c>
      <c r="BT17" s="178">
        <v>6740</v>
      </c>
      <c r="BU17" s="178">
        <v>277</v>
      </c>
      <c r="BV17" s="178">
        <v>277</v>
      </c>
      <c r="BW17" s="178">
        <v>277</v>
      </c>
      <c r="BX17" s="178">
        <v>138</v>
      </c>
      <c r="BY17" s="178">
        <v>0</v>
      </c>
      <c r="BZ17" s="178">
        <v>277</v>
      </c>
      <c r="CA17" s="178">
        <v>277</v>
      </c>
      <c r="CB17" s="178">
        <v>277</v>
      </c>
      <c r="CC17" s="178">
        <v>277</v>
      </c>
      <c r="CD17" s="178">
        <v>277</v>
      </c>
      <c r="CE17" s="178">
        <v>0</v>
      </c>
      <c r="CF17" s="178">
        <v>0</v>
      </c>
      <c r="CG17" s="178">
        <v>0</v>
      </c>
      <c r="CH17" s="178">
        <v>0</v>
      </c>
      <c r="CI17" s="178">
        <v>0</v>
      </c>
      <c r="CJ17" s="178">
        <v>0</v>
      </c>
      <c r="CK17" s="178">
        <v>0</v>
      </c>
      <c r="CL17" s="178">
        <v>0</v>
      </c>
      <c r="CM17" s="178">
        <v>0</v>
      </c>
      <c r="CN17" s="178">
        <v>277</v>
      </c>
      <c r="CO17" s="178">
        <v>277</v>
      </c>
      <c r="CP17" s="178">
        <v>277</v>
      </c>
      <c r="CQ17" s="178">
        <v>276</v>
      </c>
      <c r="CR17" s="178">
        <v>277</v>
      </c>
      <c r="CS17" s="178">
        <v>276</v>
      </c>
      <c r="CT17" s="178">
        <v>0</v>
      </c>
      <c r="CU17" s="178">
        <v>277</v>
      </c>
      <c r="CV17" s="178">
        <v>276</v>
      </c>
      <c r="CW17" s="178">
        <v>277</v>
      </c>
      <c r="CX17" s="178">
        <v>276</v>
      </c>
      <c r="CY17" s="178">
        <v>0</v>
      </c>
      <c r="CZ17" s="178">
        <v>5120</v>
      </c>
      <c r="DA17" s="178">
        <v>0</v>
      </c>
      <c r="DB17" s="178">
        <v>0</v>
      </c>
      <c r="DC17" s="178">
        <v>0</v>
      </c>
      <c r="DD17" s="178">
        <v>0</v>
      </c>
      <c r="DE17" s="178">
        <v>211</v>
      </c>
      <c r="DF17" s="178">
        <v>211</v>
      </c>
      <c r="DG17" s="178">
        <v>211</v>
      </c>
      <c r="DH17" s="178">
        <v>211</v>
      </c>
      <c r="DI17" s="178">
        <v>211</v>
      </c>
      <c r="DJ17" s="178">
        <v>0</v>
      </c>
      <c r="DK17" s="178">
        <v>211</v>
      </c>
      <c r="DL17" s="178">
        <v>211</v>
      </c>
      <c r="DM17" s="178">
        <v>211</v>
      </c>
      <c r="DN17" s="178">
        <v>211</v>
      </c>
      <c r="DO17" s="178">
        <v>211</v>
      </c>
      <c r="DP17" s="178">
        <v>0</v>
      </c>
      <c r="DQ17" s="178">
        <v>0</v>
      </c>
      <c r="DR17" s="178">
        <v>211</v>
      </c>
      <c r="DS17" s="178">
        <v>211</v>
      </c>
      <c r="DT17" s="178">
        <v>211</v>
      </c>
      <c r="DU17" s="178">
        <v>211</v>
      </c>
      <c r="DV17" s="178">
        <v>211</v>
      </c>
      <c r="DW17" s="178">
        <v>0</v>
      </c>
      <c r="DX17" s="178">
        <v>0</v>
      </c>
      <c r="DY17" s="178">
        <v>211</v>
      </c>
      <c r="DZ17" s="178">
        <v>211</v>
      </c>
      <c r="EA17" s="178">
        <v>211</v>
      </c>
      <c r="EB17" s="178">
        <v>211</v>
      </c>
      <c r="EC17" s="178">
        <v>211</v>
      </c>
      <c r="ED17" s="178">
        <v>0</v>
      </c>
      <c r="EE17" s="178">
        <v>0</v>
      </c>
      <c r="EF17" s="178">
        <v>4220</v>
      </c>
      <c r="EH17" s="136" t="b">
        <f>A17='Monthly FC (Dont use)'!E35</f>
        <v>1</v>
      </c>
      <c r="EJ17" s="136" t="str">
        <f t="shared" si="7"/>
        <v>86790-0K051-00BN</v>
      </c>
    </row>
    <row r="18" ht="14.25" customHeight="1" spans="1:200" x14ac:dyDescent="0.25">
      <c r="A18" s="177" t="s">
        <v>212</v>
      </c>
      <c r="B18" s="177" t="s">
        <v>213</v>
      </c>
      <c r="C18" s="177" t="s">
        <v>173</v>
      </c>
      <c r="D18" s="177" t="s">
        <v>332</v>
      </c>
      <c r="E18" s="135"/>
      <c r="F18" s="177" t="s">
        <v>202</v>
      </c>
      <c r="G18" s="177" t="s">
        <v>154</v>
      </c>
      <c r="H18" s="178">
        <v>20</v>
      </c>
      <c r="I18" s="178">
        <v>0</v>
      </c>
      <c r="J18" s="178">
        <v>20</v>
      </c>
      <c r="K18" s="178">
        <v>0</v>
      </c>
      <c r="L18" s="178">
        <v>20</v>
      </c>
      <c r="M18" s="178">
        <v>0</v>
      </c>
      <c r="N18" s="178">
        <v>20</v>
      </c>
      <c r="O18" s="178">
        <v>0</v>
      </c>
      <c r="P18" s="178">
        <v>0</v>
      </c>
      <c r="Q18" s="178">
        <v>0</v>
      </c>
      <c r="R18" s="178">
        <v>20</v>
      </c>
      <c r="S18" s="178">
        <v>0</v>
      </c>
      <c r="T18" s="178">
        <v>20</v>
      </c>
      <c r="U18" s="178">
        <v>0</v>
      </c>
      <c r="V18" s="178">
        <v>20</v>
      </c>
      <c r="W18" s="178">
        <v>0</v>
      </c>
      <c r="X18" s="178">
        <v>20</v>
      </c>
      <c r="Y18" s="178">
        <v>0</v>
      </c>
      <c r="Z18" s="178">
        <v>20</v>
      </c>
      <c r="AA18" s="178">
        <v>0</v>
      </c>
      <c r="AB18" s="178">
        <v>20</v>
      </c>
      <c r="AC18" s="178">
        <v>0</v>
      </c>
      <c r="AD18" s="178">
        <v>0</v>
      </c>
      <c r="AE18" s="178">
        <v>0</v>
      </c>
      <c r="AF18" s="178">
        <v>20</v>
      </c>
      <c r="AG18" s="178">
        <v>0</v>
      </c>
      <c r="AH18" s="178">
        <v>20</v>
      </c>
      <c r="AI18" s="178">
        <v>0</v>
      </c>
      <c r="AJ18" s="178">
        <v>20</v>
      </c>
      <c r="AK18" s="178">
        <v>0</v>
      </c>
      <c r="AL18" s="178">
        <v>0</v>
      </c>
      <c r="AM18" s="178">
        <v>0</v>
      </c>
      <c r="AN18" s="178">
        <v>240</v>
      </c>
      <c r="AO18" s="178">
        <v>0</v>
      </c>
      <c r="AP18" s="178">
        <v>0</v>
      </c>
      <c r="AQ18" s="178">
        <v>20</v>
      </c>
      <c r="AR18" s="178">
        <v>0</v>
      </c>
      <c r="AS18" s="178">
        <v>20</v>
      </c>
      <c r="AT18" s="178">
        <v>20</v>
      </c>
      <c r="AU18" s="178">
        <v>0</v>
      </c>
      <c r="AV18" s="178">
        <v>0</v>
      </c>
      <c r="AW18" s="178">
        <v>20</v>
      </c>
      <c r="AX18" s="178">
        <v>20</v>
      </c>
      <c r="AY18" s="178">
        <v>20</v>
      </c>
      <c r="AZ18" s="178">
        <v>0</v>
      </c>
      <c r="BA18" s="178">
        <v>20</v>
      </c>
      <c r="BB18" s="178">
        <v>20</v>
      </c>
      <c r="BC18" s="178">
        <v>0</v>
      </c>
      <c r="BD18" s="178">
        <v>20</v>
      </c>
      <c r="BE18" s="178">
        <v>20</v>
      </c>
      <c r="BF18" s="178">
        <v>0</v>
      </c>
      <c r="BG18" s="178">
        <v>20</v>
      </c>
      <c r="BH18" s="178">
        <v>20</v>
      </c>
      <c r="BI18" s="178">
        <v>0</v>
      </c>
      <c r="BJ18" s="178">
        <v>0</v>
      </c>
      <c r="BK18" s="178">
        <v>20</v>
      </c>
      <c r="BL18" s="178">
        <v>0</v>
      </c>
      <c r="BM18" s="178">
        <v>20</v>
      </c>
      <c r="BN18" s="178">
        <v>20</v>
      </c>
      <c r="BO18" s="178">
        <v>20</v>
      </c>
      <c r="BP18" s="178">
        <v>0</v>
      </c>
      <c r="BQ18" s="178">
        <v>0</v>
      </c>
      <c r="BR18" s="178">
        <v>20</v>
      </c>
      <c r="BS18" s="178">
        <v>20</v>
      </c>
      <c r="BT18" s="178">
        <v>360</v>
      </c>
      <c r="BU18" s="178">
        <v>11</v>
      </c>
      <c r="BV18" s="178">
        <v>11</v>
      </c>
      <c r="BW18" s="178">
        <v>11</v>
      </c>
      <c r="BX18" s="178">
        <v>5</v>
      </c>
      <c r="BY18" s="178">
        <v>0</v>
      </c>
      <c r="BZ18" s="178">
        <v>11</v>
      </c>
      <c r="CA18" s="178">
        <v>11</v>
      </c>
      <c r="CB18" s="178">
        <v>11</v>
      </c>
      <c r="CC18" s="178">
        <v>11</v>
      </c>
      <c r="CD18" s="178">
        <v>11</v>
      </c>
      <c r="CE18" s="178">
        <v>0</v>
      </c>
      <c r="CF18" s="178">
        <v>0</v>
      </c>
      <c r="CG18" s="178">
        <v>0</v>
      </c>
      <c r="CH18" s="178">
        <v>0</v>
      </c>
      <c r="CI18" s="178">
        <v>0</v>
      </c>
      <c r="CJ18" s="178">
        <v>0</v>
      </c>
      <c r="CK18" s="178">
        <v>0</v>
      </c>
      <c r="CL18" s="178">
        <v>0</v>
      </c>
      <c r="CM18" s="178">
        <v>0</v>
      </c>
      <c r="CN18" s="178">
        <v>11</v>
      </c>
      <c r="CO18" s="178">
        <v>11</v>
      </c>
      <c r="CP18" s="178">
        <v>11</v>
      </c>
      <c r="CQ18" s="178">
        <v>11</v>
      </c>
      <c r="CR18" s="178">
        <v>11</v>
      </c>
      <c r="CS18" s="178">
        <v>10</v>
      </c>
      <c r="CT18" s="178">
        <v>0</v>
      </c>
      <c r="CU18" s="178">
        <v>11</v>
      </c>
      <c r="CV18" s="178">
        <v>10</v>
      </c>
      <c r="CW18" s="178">
        <v>11</v>
      </c>
      <c r="CX18" s="178">
        <v>10</v>
      </c>
      <c r="CY18" s="178">
        <v>0</v>
      </c>
      <c r="CZ18" s="178">
        <v>200</v>
      </c>
      <c r="DA18" s="178">
        <v>0</v>
      </c>
      <c r="DB18" s="178">
        <v>0</v>
      </c>
      <c r="DC18" s="178">
        <v>0</v>
      </c>
      <c r="DD18" s="178">
        <v>0</v>
      </c>
      <c r="DE18" s="178">
        <v>1</v>
      </c>
      <c r="DF18" s="178">
        <v>1</v>
      </c>
      <c r="DG18" s="178">
        <v>1</v>
      </c>
      <c r="DH18" s="178">
        <v>1</v>
      </c>
      <c r="DI18" s="178">
        <v>1</v>
      </c>
      <c r="DJ18" s="178">
        <v>0</v>
      </c>
      <c r="DK18" s="178">
        <v>1</v>
      </c>
      <c r="DL18" s="178">
        <v>1</v>
      </c>
      <c r="DM18" s="178">
        <v>1</v>
      </c>
      <c r="DN18" s="178">
        <v>1</v>
      </c>
      <c r="DO18" s="178">
        <v>1</v>
      </c>
      <c r="DP18" s="178">
        <v>0</v>
      </c>
      <c r="DQ18" s="178">
        <v>0</v>
      </c>
      <c r="DR18" s="178">
        <v>1</v>
      </c>
      <c r="DS18" s="178">
        <v>1</v>
      </c>
      <c r="DT18" s="178">
        <v>1</v>
      </c>
      <c r="DU18" s="178">
        <v>1</v>
      </c>
      <c r="DV18" s="178">
        <v>1</v>
      </c>
      <c r="DW18" s="178">
        <v>0</v>
      </c>
      <c r="DX18" s="178">
        <v>0</v>
      </c>
      <c r="DY18" s="178">
        <v>1</v>
      </c>
      <c r="DZ18" s="178">
        <v>1</v>
      </c>
      <c r="EA18" s="178">
        <v>1</v>
      </c>
      <c r="EB18" s="178">
        <v>1</v>
      </c>
      <c r="EC18" s="178">
        <v>1</v>
      </c>
      <c r="ED18" s="178">
        <v>0</v>
      </c>
      <c r="EE18" s="178">
        <v>0</v>
      </c>
      <c r="EF18" s="178">
        <v>20</v>
      </c>
      <c r="EH18" s="136" t="b">
        <f>A18='Monthly FC (Dont use)'!E36</f>
        <v>1</v>
      </c>
      <c r="EJ18" s="136" t="str">
        <f t="shared" si="7"/>
        <v>D1</v>
      </c>
    </row>
    <row r="19" ht="14.25" customHeight="1" spans="1:200" x14ac:dyDescent="0.25">
      <c r="A19" s="177" t="s">
        <v>161</v>
      </c>
      <c r="B19" s="177" t="s">
        <v>215</v>
      </c>
      <c r="C19" s="177" t="s">
        <v>173</v>
      </c>
      <c r="D19" s="177" t="s">
        <v>332</v>
      </c>
      <c r="E19" s="135"/>
      <c r="F19" s="177" t="s">
        <v>202</v>
      </c>
      <c r="G19" s="177" t="s">
        <v>154</v>
      </c>
      <c r="H19" s="178">
        <v>16</v>
      </c>
      <c r="I19" s="178">
        <v>0</v>
      </c>
      <c r="J19" s="178">
        <v>48</v>
      </c>
      <c r="K19" s="178">
        <v>64</v>
      </c>
      <c r="L19" s="178">
        <v>48</v>
      </c>
      <c r="M19" s="178">
        <v>48</v>
      </c>
      <c r="N19" s="178">
        <v>80</v>
      </c>
      <c r="O19" s="178">
        <v>0</v>
      </c>
      <c r="P19" s="178">
        <v>0</v>
      </c>
      <c r="Q19" s="178">
        <v>80</v>
      </c>
      <c r="R19" s="178">
        <v>80</v>
      </c>
      <c r="S19" s="178">
        <v>80</v>
      </c>
      <c r="T19" s="178">
        <v>96</v>
      </c>
      <c r="U19" s="178">
        <v>80</v>
      </c>
      <c r="V19" s="178">
        <v>80</v>
      </c>
      <c r="W19" s="178">
        <v>0</v>
      </c>
      <c r="X19" s="178">
        <v>80</v>
      </c>
      <c r="Y19" s="178">
        <v>96</v>
      </c>
      <c r="Z19" s="178">
        <v>80</v>
      </c>
      <c r="AA19" s="178">
        <v>80</v>
      </c>
      <c r="AB19" s="178">
        <v>80</v>
      </c>
      <c r="AC19" s="178">
        <v>0</v>
      </c>
      <c r="AD19" s="178">
        <v>0</v>
      </c>
      <c r="AE19" s="178">
        <v>80</v>
      </c>
      <c r="AF19" s="178">
        <v>96</v>
      </c>
      <c r="AG19" s="178">
        <v>80</v>
      </c>
      <c r="AH19" s="178">
        <v>80</v>
      </c>
      <c r="AI19" s="178">
        <v>80</v>
      </c>
      <c r="AJ19" s="178">
        <v>96</v>
      </c>
      <c r="AK19" s="178">
        <v>0</v>
      </c>
      <c r="AL19" s="178">
        <v>0</v>
      </c>
      <c r="AM19" s="178">
        <v>0</v>
      </c>
      <c r="AN19" s="178">
        <v>1712</v>
      </c>
      <c r="AO19" s="178">
        <v>0</v>
      </c>
      <c r="AP19" s="178">
        <v>0</v>
      </c>
      <c r="AQ19" s="178">
        <v>80</v>
      </c>
      <c r="AR19" s="178">
        <v>112</v>
      </c>
      <c r="AS19" s="178">
        <v>96</v>
      </c>
      <c r="AT19" s="178">
        <v>96</v>
      </c>
      <c r="AU19" s="178">
        <v>32</v>
      </c>
      <c r="AV19" s="178">
        <v>0</v>
      </c>
      <c r="AW19" s="178">
        <v>80</v>
      </c>
      <c r="AX19" s="178">
        <v>80</v>
      </c>
      <c r="AY19" s="178">
        <v>96</v>
      </c>
      <c r="AZ19" s="178">
        <v>80</v>
      </c>
      <c r="BA19" s="178">
        <v>96</v>
      </c>
      <c r="BB19" s="178">
        <v>80</v>
      </c>
      <c r="BC19" s="178">
        <v>0</v>
      </c>
      <c r="BD19" s="178">
        <v>96</v>
      </c>
      <c r="BE19" s="178">
        <v>80</v>
      </c>
      <c r="BF19" s="178">
        <v>96</v>
      </c>
      <c r="BG19" s="178">
        <v>80</v>
      </c>
      <c r="BH19" s="178">
        <v>96</v>
      </c>
      <c r="BI19" s="178">
        <v>0</v>
      </c>
      <c r="BJ19" s="178">
        <v>0</v>
      </c>
      <c r="BK19" s="178">
        <v>80</v>
      </c>
      <c r="BL19" s="178">
        <v>96</v>
      </c>
      <c r="BM19" s="178">
        <v>80</v>
      </c>
      <c r="BN19" s="178">
        <v>96</v>
      </c>
      <c r="BO19" s="178">
        <v>80</v>
      </c>
      <c r="BP19" s="178">
        <v>80</v>
      </c>
      <c r="BQ19" s="178">
        <v>0</v>
      </c>
      <c r="BR19" s="178">
        <v>96</v>
      </c>
      <c r="BS19" s="178">
        <v>80</v>
      </c>
      <c r="BT19" s="178">
        <v>2064</v>
      </c>
      <c r="BU19" s="178">
        <v>75</v>
      </c>
      <c r="BV19" s="178">
        <v>75</v>
      </c>
      <c r="BW19" s="178">
        <v>75</v>
      </c>
      <c r="BX19" s="178">
        <v>38</v>
      </c>
      <c r="BY19" s="178">
        <v>0</v>
      </c>
      <c r="BZ19" s="178">
        <v>75</v>
      </c>
      <c r="CA19" s="178">
        <v>75</v>
      </c>
      <c r="CB19" s="178">
        <v>75</v>
      </c>
      <c r="CC19" s="178">
        <v>75</v>
      </c>
      <c r="CD19" s="178">
        <v>75</v>
      </c>
      <c r="CE19" s="178">
        <v>0</v>
      </c>
      <c r="CF19" s="178">
        <v>0</v>
      </c>
      <c r="CG19" s="178">
        <v>0</v>
      </c>
      <c r="CH19" s="178">
        <v>0</v>
      </c>
      <c r="CI19" s="178">
        <v>0</v>
      </c>
      <c r="CJ19" s="178">
        <v>0</v>
      </c>
      <c r="CK19" s="178">
        <v>0</v>
      </c>
      <c r="CL19" s="178">
        <v>0</v>
      </c>
      <c r="CM19" s="178">
        <v>0</v>
      </c>
      <c r="CN19" s="178">
        <v>75</v>
      </c>
      <c r="CO19" s="178">
        <v>75</v>
      </c>
      <c r="CP19" s="178">
        <v>76</v>
      </c>
      <c r="CQ19" s="178">
        <v>75</v>
      </c>
      <c r="CR19" s="178">
        <v>76</v>
      </c>
      <c r="CS19" s="178">
        <v>75</v>
      </c>
      <c r="CT19" s="178">
        <v>0</v>
      </c>
      <c r="CU19" s="178">
        <v>76</v>
      </c>
      <c r="CV19" s="178">
        <v>75</v>
      </c>
      <c r="CW19" s="178">
        <v>76</v>
      </c>
      <c r="CX19" s="178">
        <v>75</v>
      </c>
      <c r="CY19" s="178">
        <v>0</v>
      </c>
      <c r="CZ19" s="178">
        <v>1392</v>
      </c>
      <c r="DA19" s="178">
        <v>0</v>
      </c>
      <c r="DB19" s="178">
        <v>0</v>
      </c>
      <c r="DC19" s="178">
        <v>0</v>
      </c>
      <c r="DD19" s="178">
        <v>0</v>
      </c>
      <c r="DE19" s="178">
        <v>46</v>
      </c>
      <c r="DF19" s="178">
        <v>46</v>
      </c>
      <c r="DG19" s="178">
        <v>46</v>
      </c>
      <c r="DH19" s="178">
        <v>46</v>
      </c>
      <c r="DI19" s="178">
        <v>46</v>
      </c>
      <c r="DJ19" s="178">
        <v>0</v>
      </c>
      <c r="DK19" s="178">
        <v>45</v>
      </c>
      <c r="DL19" s="178">
        <v>46</v>
      </c>
      <c r="DM19" s="178">
        <v>45</v>
      </c>
      <c r="DN19" s="178">
        <v>46</v>
      </c>
      <c r="DO19" s="178">
        <v>45</v>
      </c>
      <c r="DP19" s="178">
        <v>0</v>
      </c>
      <c r="DQ19" s="178">
        <v>0</v>
      </c>
      <c r="DR19" s="178">
        <v>46</v>
      </c>
      <c r="DS19" s="178">
        <v>45</v>
      </c>
      <c r="DT19" s="178">
        <v>46</v>
      </c>
      <c r="DU19" s="178">
        <v>45</v>
      </c>
      <c r="DV19" s="178">
        <v>46</v>
      </c>
      <c r="DW19" s="178">
        <v>0</v>
      </c>
      <c r="DX19" s="178">
        <v>0</v>
      </c>
      <c r="DY19" s="178">
        <v>45</v>
      </c>
      <c r="DZ19" s="178">
        <v>46</v>
      </c>
      <c r="EA19" s="178">
        <v>45</v>
      </c>
      <c r="EB19" s="178">
        <v>46</v>
      </c>
      <c r="EC19" s="178">
        <v>45</v>
      </c>
      <c r="ED19" s="178">
        <v>0</v>
      </c>
      <c r="EE19" s="178">
        <v>0</v>
      </c>
      <c r="EF19" s="178">
        <v>912</v>
      </c>
      <c r="EH19" s="136" t="b">
        <f>A19='Monthly FC (Dont use)'!E37</f>
        <v>1</v>
      </c>
      <c r="EJ19" s="136" t="str">
        <f t="shared" si="7"/>
        <v>86790-0K110-00BN</v>
      </c>
    </row>
    <row r="20" ht="14.25" customHeight="1" spans="1:200" x14ac:dyDescent="0.25">
      <c r="A20" s="177" t="s">
        <v>163</v>
      </c>
      <c r="B20" s="177" t="s">
        <v>217</v>
      </c>
      <c r="C20" s="177" t="s">
        <v>173</v>
      </c>
      <c r="D20" s="177" t="s">
        <v>332</v>
      </c>
      <c r="E20" s="135"/>
      <c r="F20" s="177" t="s">
        <v>207</v>
      </c>
      <c r="G20" s="177" t="s">
        <v>154</v>
      </c>
      <c r="H20" s="178">
        <v>8</v>
      </c>
      <c r="I20" s="178">
        <v>0</v>
      </c>
      <c r="J20" s="178">
        <v>10</v>
      </c>
      <c r="K20" s="178">
        <v>20</v>
      </c>
      <c r="L20" s="178">
        <v>10</v>
      </c>
      <c r="M20" s="178">
        <v>10</v>
      </c>
      <c r="N20" s="178">
        <v>20</v>
      </c>
      <c r="O20" s="178">
        <v>0</v>
      </c>
      <c r="P20" s="178">
        <v>0</v>
      </c>
      <c r="Q20" s="178">
        <v>0</v>
      </c>
      <c r="R20" s="178">
        <v>10</v>
      </c>
      <c r="S20" s="178">
        <v>20</v>
      </c>
      <c r="T20" s="178">
        <v>10</v>
      </c>
      <c r="U20" s="178">
        <v>10</v>
      </c>
      <c r="V20" s="178">
        <v>20</v>
      </c>
      <c r="W20" s="178">
        <v>0</v>
      </c>
      <c r="X20" s="178">
        <v>10</v>
      </c>
      <c r="Y20" s="178">
        <v>10</v>
      </c>
      <c r="Z20" s="178">
        <v>20</v>
      </c>
      <c r="AA20" s="178">
        <v>10</v>
      </c>
      <c r="AB20" s="178">
        <v>10</v>
      </c>
      <c r="AC20" s="178">
        <v>0</v>
      </c>
      <c r="AD20" s="178">
        <v>0</v>
      </c>
      <c r="AE20" s="178">
        <v>20</v>
      </c>
      <c r="AF20" s="178">
        <v>10</v>
      </c>
      <c r="AG20" s="178">
        <v>20</v>
      </c>
      <c r="AH20" s="178">
        <v>20</v>
      </c>
      <c r="AI20" s="178">
        <v>10</v>
      </c>
      <c r="AJ20" s="178">
        <v>10</v>
      </c>
      <c r="AK20" s="178">
        <v>0</v>
      </c>
      <c r="AL20" s="178">
        <v>0</v>
      </c>
      <c r="AM20" s="178">
        <v>0</v>
      </c>
      <c r="AN20" s="178">
        <v>290</v>
      </c>
      <c r="AO20" s="178">
        <v>0</v>
      </c>
      <c r="AP20" s="178">
        <v>0</v>
      </c>
      <c r="AQ20" s="178">
        <v>20</v>
      </c>
      <c r="AR20" s="178">
        <v>10</v>
      </c>
      <c r="AS20" s="178">
        <v>20</v>
      </c>
      <c r="AT20" s="178">
        <v>10</v>
      </c>
      <c r="AU20" s="178">
        <v>20</v>
      </c>
      <c r="AV20" s="178">
        <v>0</v>
      </c>
      <c r="AW20" s="178">
        <v>20</v>
      </c>
      <c r="AX20" s="178">
        <v>0</v>
      </c>
      <c r="AY20" s="178">
        <v>20</v>
      </c>
      <c r="AZ20" s="178">
        <v>20</v>
      </c>
      <c r="BA20" s="178">
        <v>20</v>
      </c>
      <c r="BB20" s="178">
        <v>10</v>
      </c>
      <c r="BC20" s="178">
        <v>0</v>
      </c>
      <c r="BD20" s="178">
        <v>20</v>
      </c>
      <c r="BE20" s="178">
        <v>20</v>
      </c>
      <c r="BF20" s="178">
        <v>10</v>
      </c>
      <c r="BG20" s="178">
        <v>10</v>
      </c>
      <c r="BH20" s="178">
        <v>20</v>
      </c>
      <c r="BI20" s="178">
        <v>0</v>
      </c>
      <c r="BJ20" s="178">
        <v>0</v>
      </c>
      <c r="BK20" s="178">
        <v>20</v>
      </c>
      <c r="BL20" s="178">
        <v>20</v>
      </c>
      <c r="BM20" s="178">
        <v>20</v>
      </c>
      <c r="BN20" s="178">
        <v>20</v>
      </c>
      <c r="BO20" s="178">
        <v>0</v>
      </c>
      <c r="BP20" s="178">
        <v>30</v>
      </c>
      <c r="BQ20" s="178">
        <v>0</v>
      </c>
      <c r="BR20" s="178">
        <v>10</v>
      </c>
      <c r="BS20" s="178">
        <v>20</v>
      </c>
      <c r="BT20" s="178">
        <v>390</v>
      </c>
      <c r="BU20" s="178">
        <v>19</v>
      </c>
      <c r="BV20" s="178">
        <v>19</v>
      </c>
      <c r="BW20" s="178">
        <v>20</v>
      </c>
      <c r="BX20" s="178">
        <v>10</v>
      </c>
      <c r="BY20" s="178">
        <v>0</v>
      </c>
      <c r="BZ20" s="178">
        <v>19</v>
      </c>
      <c r="CA20" s="178">
        <v>20</v>
      </c>
      <c r="CB20" s="178">
        <v>19</v>
      </c>
      <c r="CC20" s="178">
        <v>20</v>
      </c>
      <c r="CD20" s="178">
        <v>19</v>
      </c>
      <c r="CE20" s="178">
        <v>0</v>
      </c>
      <c r="CF20" s="178">
        <v>0</v>
      </c>
      <c r="CG20" s="178">
        <v>0</v>
      </c>
      <c r="CH20" s="178">
        <v>0</v>
      </c>
      <c r="CI20" s="178">
        <v>0</v>
      </c>
      <c r="CJ20" s="178">
        <v>0</v>
      </c>
      <c r="CK20" s="178">
        <v>0</v>
      </c>
      <c r="CL20" s="178">
        <v>0</v>
      </c>
      <c r="CM20" s="178">
        <v>0</v>
      </c>
      <c r="CN20" s="178">
        <v>20</v>
      </c>
      <c r="CO20" s="178">
        <v>19</v>
      </c>
      <c r="CP20" s="178">
        <v>20</v>
      </c>
      <c r="CQ20" s="178">
        <v>19</v>
      </c>
      <c r="CR20" s="178">
        <v>20</v>
      </c>
      <c r="CS20" s="178">
        <v>19</v>
      </c>
      <c r="CT20" s="178">
        <v>0</v>
      </c>
      <c r="CU20" s="178">
        <v>20</v>
      </c>
      <c r="CV20" s="178">
        <v>19</v>
      </c>
      <c r="CW20" s="178">
        <v>20</v>
      </c>
      <c r="CX20" s="178">
        <v>19</v>
      </c>
      <c r="CY20" s="178">
        <v>0</v>
      </c>
      <c r="CZ20" s="178">
        <v>360</v>
      </c>
      <c r="DA20" s="178">
        <v>0</v>
      </c>
      <c r="DB20" s="178">
        <v>0</v>
      </c>
      <c r="DC20" s="178">
        <v>0</v>
      </c>
      <c r="DD20" s="178">
        <v>0</v>
      </c>
      <c r="DE20" s="178">
        <v>12</v>
      </c>
      <c r="DF20" s="178">
        <v>11</v>
      </c>
      <c r="DG20" s="178">
        <v>12</v>
      </c>
      <c r="DH20" s="178">
        <v>11</v>
      </c>
      <c r="DI20" s="178">
        <v>12</v>
      </c>
      <c r="DJ20" s="178">
        <v>0</v>
      </c>
      <c r="DK20" s="178">
        <v>11</v>
      </c>
      <c r="DL20" s="178">
        <v>12</v>
      </c>
      <c r="DM20" s="178">
        <v>11</v>
      </c>
      <c r="DN20" s="178">
        <v>12</v>
      </c>
      <c r="DO20" s="178">
        <v>11</v>
      </c>
      <c r="DP20" s="178">
        <v>0</v>
      </c>
      <c r="DQ20" s="178">
        <v>0</v>
      </c>
      <c r="DR20" s="178">
        <v>12</v>
      </c>
      <c r="DS20" s="178">
        <v>11</v>
      </c>
      <c r="DT20" s="178">
        <v>12</v>
      </c>
      <c r="DU20" s="178">
        <v>11</v>
      </c>
      <c r="DV20" s="178">
        <v>12</v>
      </c>
      <c r="DW20" s="178">
        <v>0</v>
      </c>
      <c r="DX20" s="178">
        <v>0</v>
      </c>
      <c r="DY20" s="178">
        <v>11</v>
      </c>
      <c r="DZ20" s="178">
        <v>12</v>
      </c>
      <c r="EA20" s="178">
        <v>11</v>
      </c>
      <c r="EB20" s="178">
        <v>12</v>
      </c>
      <c r="EC20" s="178">
        <v>11</v>
      </c>
      <c r="ED20" s="178">
        <v>0</v>
      </c>
      <c r="EE20" s="178">
        <v>0</v>
      </c>
      <c r="EF20" s="178">
        <v>230</v>
      </c>
      <c r="EH20" s="136" t="b">
        <f>A20='Monthly FC (Dont use)'!E38</f>
        <v>1</v>
      </c>
      <c r="EJ20" s="136" t="str">
        <f t="shared" si="7"/>
        <v>D1</v>
      </c>
    </row>
    <row r="21" ht="14.25" customHeight="1" spans="1:200" x14ac:dyDescent="0.25">
      <c r="A21" s="177" t="s">
        <v>184</v>
      </c>
      <c r="B21" s="177" t="s">
        <v>218</v>
      </c>
      <c r="C21" s="177" t="s">
        <v>173</v>
      </c>
      <c r="D21" s="177" t="s">
        <v>332</v>
      </c>
      <c r="E21" s="135"/>
      <c r="F21" s="177" t="s">
        <v>202</v>
      </c>
      <c r="G21" s="177" t="s">
        <v>154</v>
      </c>
      <c r="H21" s="178">
        <v>16</v>
      </c>
      <c r="I21" s="178">
        <v>0</v>
      </c>
      <c r="J21" s="178">
        <v>48</v>
      </c>
      <c r="K21" s="178">
        <v>32</v>
      </c>
      <c r="L21" s="178">
        <v>16</v>
      </c>
      <c r="M21" s="178">
        <v>32</v>
      </c>
      <c r="N21" s="178">
        <v>48</v>
      </c>
      <c r="O21" s="178">
        <v>0</v>
      </c>
      <c r="P21" s="178">
        <v>0</v>
      </c>
      <c r="Q21" s="178">
        <v>32</v>
      </c>
      <c r="R21" s="178">
        <v>16</v>
      </c>
      <c r="S21" s="178">
        <v>32</v>
      </c>
      <c r="T21" s="178">
        <v>48</v>
      </c>
      <c r="U21" s="178">
        <v>16</v>
      </c>
      <c r="V21" s="178">
        <v>16</v>
      </c>
      <c r="W21" s="178">
        <v>0</v>
      </c>
      <c r="X21" s="178">
        <v>32</v>
      </c>
      <c r="Y21" s="178">
        <v>0</v>
      </c>
      <c r="Z21" s="178">
        <v>0</v>
      </c>
      <c r="AA21" s="178">
        <v>16</v>
      </c>
      <c r="AB21" s="178">
        <v>32</v>
      </c>
      <c r="AC21" s="178">
        <v>0</v>
      </c>
      <c r="AD21" s="178">
        <v>0</v>
      </c>
      <c r="AE21" s="178">
        <v>16</v>
      </c>
      <c r="AF21" s="178">
        <v>0</v>
      </c>
      <c r="AG21" s="178">
        <v>32</v>
      </c>
      <c r="AH21" s="178">
        <v>32</v>
      </c>
      <c r="AI21" s="178">
        <v>0</v>
      </c>
      <c r="AJ21" s="178">
        <v>16</v>
      </c>
      <c r="AK21" s="178">
        <v>0</v>
      </c>
      <c r="AL21" s="178">
        <v>0</v>
      </c>
      <c r="AM21" s="178">
        <v>0</v>
      </c>
      <c r="AN21" s="178">
        <v>512</v>
      </c>
      <c r="AO21" s="178">
        <v>0</v>
      </c>
      <c r="AP21" s="178">
        <v>0</v>
      </c>
      <c r="AQ21" s="178">
        <v>16</v>
      </c>
      <c r="AR21" s="178">
        <v>32</v>
      </c>
      <c r="AS21" s="178">
        <v>0</v>
      </c>
      <c r="AT21" s="178">
        <v>16</v>
      </c>
      <c r="AU21" s="178">
        <v>16</v>
      </c>
      <c r="AV21" s="178">
        <v>0</v>
      </c>
      <c r="AW21" s="178">
        <v>0</v>
      </c>
      <c r="AX21" s="178">
        <v>32</v>
      </c>
      <c r="AY21" s="178">
        <v>0</v>
      </c>
      <c r="AZ21" s="178">
        <v>32</v>
      </c>
      <c r="BA21" s="178">
        <v>16</v>
      </c>
      <c r="BB21" s="178">
        <v>16</v>
      </c>
      <c r="BC21" s="178">
        <v>0</v>
      </c>
      <c r="BD21" s="178">
        <v>16</v>
      </c>
      <c r="BE21" s="178">
        <v>0</v>
      </c>
      <c r="BF21" s="178">
        <v>32</v>
      </c>
      <c r="BG21" s="178">
        <v>0</v>
      </c>
      <c r="BH21" s="178">
        <v>16</v>
      </c>
      <c r="BI21" s="178">
        <v>0</v>
      </c>
      <c r="BJ21" s="178">
        <v>0</v>
      </c>
      <c r="BK21" s="178">
        <v>16</v>
      </c>
      <c r="BL21" s="178">
        <v>32</v>
      </c>
      <c r="BM21" s="178">
        <v>0</v>
      </c>
      <c r="BN21" s="178">
        <v>32</v>
      </c>
      <c r="BO21" s="178">
        <v>0</v>
      </c>
      <c r="BP21" s="178">
        <v>32</v>
      </c>
      <c r="BQ21" s="178">
        <v>0</v>
      </c>
      <c r="BR21" s="178">
        <v>16</v>
      </c>
      <c r="BS21" s="178">
        <v>16</v>
      </c>
      <c r="BT21" s="178">
        <v>384</v>
      </c>
      <c r="BU21" s="178">
        <v>21</v>
      </c>
      <c r="BV21" s="178">
        <v>21</v>
      </c>
      <c r="BW21" s="178">
        <v>21</v>
      </c>
      <c r="BX21" s="178">
        <v>10</v>
      </c>
      <c r="BY21" s="178">
        <v>0</v>
      </c>
      <c r="BZ21" s="178">
        <v>21</v>
      </c>
      <c r="CA21" s="178">
        <v>21</v>
      </c>
      <c r="CB21" s="178">
        <v>21</v>
      </c>
      <c r="CC21" s="178">
        <v>21</v>
      </c>
      <c r="CD21" s="178">
        <v>21</v>
      </c>
      <c r="CE21" s="178">
        <v>0</v>
      </c>
      <c r="CF21" s="178">
        <v>0</v>
      </c>
      <c r="CG21" s="178">
        <v>0</v>
      </c>
      <c r="CH21" s="178">
        <v>0</v>
      </c>
      <c r="CI21" s="178">
        <v>0</v>
      </c>
      <c r="CJ21" s="178">
        <v>0</v>
      </c>
      <c r="CK21" s="178">
        <v>0</v>
      </c>
      <c r="CL21" s="178">
        <v>0</v>
      </c>
      <c r="CM21" s="178">
        <v>0</v>
      </c>
      <c r="CN21" s="178">
        <v>21</v>
      </c>
      <c r="CO21" s="178">
        <v>21</v>
      </c>
      <c r="CP21" s="178">
        <v>21</v>
      </c>
      <c r="CQ21" s="178">
        <v>20</v>
      </c>
      <c r="CR21" s="178">
        <v>21</v>
      </c>
      <c r="CS21" s="178">
        <v>20</v>
      </c>
      <c r="CT21" s="178">
        <v>0</v>
      </c>
      <c r="CU21" s="178">
        <v>21</v>
      </c>
      <c r="CV21" s="178">
        <v>20</v>
      </c>
      <c r="CW21" s="178">
        <v>21</v>
      </c>
      <c r="CX21" s="178">
        <v>20</v>
      </c>
      <c r="CY21" s="178">
        <v>0</v>
      </c>
      <c r="CZ21" s="178">
        <v>384</v>
      </c>
      <c r="DA21" s="178">
        <v>0</v>
      </c>
      <c r="DB21" s="178">
        <v>0</v>
      </c>
      <c r="DC21" s="178">
        <v>0</v>
      </c>
      <c r="DD21" s="178">
        <v>0</v>
      </c>
      <c r="DE21" s="178">
        <v>18</v>
      </c>
      <c r="DF21" s="178">
        <v>18</v>
      </c>
      <c r="DG21" s="178">
        <v>18</v>
      </c>
      <c r="DH21" s="178">
        <v>18</v>
      </c>
      <c r="DI21" s="178">
        <v>18</v>
      </c>
      <c r="DJ21" s="178">
        <v>0</v>
      </c>
      <c r="DK21" s="178">
        <v>17</v>
      </c>
      <c r="DL21" s="178">
        <v>18</v>
      </c>
      <c r="DM21" s="178">
        <v>17</v>
      </c>
      <c r="DN21" s="178">
        <v>18</v>
      </c>
      <c r="DO21" s="178">
        <v>17</v>
      </c>
      <c r="DP21" s="178">
        <v>0</v>
      </c>
      <c r="DQ21" s="178">
        <v>0</v>
      </c>
      <c r="DR21" s="178">
        <v>18</v>
      </c>
      <c r="DS21" s="178">
        <v>17</v>
      </c>
      <c r="DT21" s="178">
        <v>18</v>
      </c>
      <c r="DU21" s="178">
        <v>17</v>
      </c>
      <c r="DV21" s="178">
        <v>18</v>
      </c>
      <c r="DW21" s="178">
        <v>0</v>
      </c>
      <c r="DX21" s="178">
        <v>0</v>
      </c>
      <c r="DY21" s="178">
        <v>17</v>
      </c>
      <c r="DZ21" s="178">
        <v>18</v>
      </c>
      <c r="EA21" s="178">
        <v>17</v>
      </c>
      <c r="EB21" s="178">
        <v>18</v>
      </c>
      <c r="EC21" s="178">
        <v>17</v>
      </c>
      <c r="ED21" s="178">
        <v>0</v>
      </c>
      <c r="EE21" s="178">
        <v>0</v>
      </c>
      <c r="EF21" s="178">
        <v>352</v>
      </c>
      <c r="EH21" s="136" t="b">
        <f>A21='Monthly FC (Dont use)'!E39</f>
        <v>1</v>
      </c>
      <c r="EJ21" s="136" t="str">
        <f t="shared" si="7"/>
        <v>86790-0K120-00D1</v>
      </c>
    </row>
    <row r="22" ht="14.25" customHeight="1" spans="1:200" x14ac:dyDescent="0.25">
      <c r="A22" s="177" t="s">
        <v>186</v>
      </c>
      <c r="B22" s="177" t="s">
        <v>219</v>
      </c>
      <c r="C22" s="177" t="s">
        <v>173</v>
      </c>
      <c r="D22" s="177" t="s">
        <v>332</v>
      </c>
      <c r="E22" s="135"/>
      <c r="F22" s="177" t="s">
        <v>202</v>
      </c>
      <c r="G22" s="177" t="s">
        <v>154</v>
      </c>
      <c r="H22" s="178">
        <v>42</v>
      </c>
      <c r="I22" s="178">
        <v>0</v>
      </c>
      <c r="J22" s="178">
        <v>168</v>
      </c>
      <c r="K22" s="178">
        <v>168</v>
      </c>
      <c r="L22" s="178">
        <v>168</v>
      </c>
      <c r="M22" s="178">
        <v>168</v>
      </c>
      <c r="N22" s="178">
        <v>168</v>
      </c>
      <c r="O22" s="178">
        <v>0</v>
      </c>
      <c r="P22" s="178">
        <v>0</v>
      </c>
      <c r="Q22" s="178">
        <v>168</v>
      </c>
      <c r="R22" s="178">
        <v>168</v>
      </c>
      <c r="S22" s="178">
        <v>210</v>
      </c>
      <c r="T22" s="178">
        <v>210</v>
      </c>
      <c r="U22" s="178">
        <v>168</v>
      </c>
      <c r="V22" s="178">
        <v>126</v>
      </c>
      <c r="W22" s="178">
        <v>0</v>
      </c>
      <c r="X22" s="178">
        <v>168</v>
      </c>
      <c r="Y22" s="178">
        <v>210</v>
      </c>
      <c r="Z22" s="178">
        <v>168</v>
      </c>
      <c r="AA22" s="178">
        <v>252</v>
      </c>
      <c r="AB22" s="178">
        <v>210</v>
      </c>
      <c r="AC22" s="178">
        <v>0</v>
      </c>
      <c r="AD22" s="178">
        <v>0</v>
      </c>
      <c r="AE22" s="178">
        <v>168</v>
      </c>
      <c r="AF22" s="178">
        <v>168</v>
      </c>
      <c r="AG22" s="178">
        <v>210</v>
      </c>
      <c r="AH22" s="178">
        <v>210</v>
      </c>
      <c r="AI22" s="178">
        <v>168</v>
      </c>
      <c r="AJ22" s="178">
        <v>210</v>
      </c>
      <c r="AK22" s="178">
        <v>0</v>
      </c>
      <c r="AL22" s="178">
        <v>0</v>
      </c>
      <c r="AM22" s="178">
        <v>0</v>
      </c>
      <c r="AN22" s="178">
        <v>4032</v>
      </c>
      <c r="AO22" s="178">
        <v>0</v>
      </c>
      <c r="AP22" s="178">
        <v>0</v>
      </c>
      <c r="AQ22" s="178">
        <v>168</v>
      </c>
      <c r="AR22" s="178">
        <v>168</v>
      </c>
      <c r="AS22" s="178">
        <v>210</v>
      </c>
      <c r="AT22" s="178">
        <v>210</v>
      </c>
      <c r="AU22" s="178">
        <v>84</v>
      </c>
      <c r="AV22" s="178">
        <v>0</v>
      </c>
      <c r="AW22" s="178">
        <v>168</v>
      </c>
      <c r="AX22" s="178">
        <v>168</v>
      </c>
      <c r="AY22" s="178">
        <v>210</v>
      </c>
      <c r="AZ22" s="178">
        <v>168</v>
      </c>
      <c r="BA22" s="178">
        <v>168</v>
      </c>
      <c r="BB22" s="178">
        <v>252</v>
      </c>
      <c r="BC22" s="178">
        <v>0</v>
      </c>
      <c r="BD22" s="178">
        <v>210</v>
      </c>
      <c r="BE22" s="178">
        <v>126</v>
      </c>
      <c r="BF22" s="178">
        <v>210</v>
      </c>
      <c r="BG22" s="178">
        <v>168</v>
      </c>
      <c r="BH22" s="178">
        <v>210</v>
      </c>
      <c r="BI22" s="178">
        <v>0</v>
      </c>
      <c r="BJ22" s="178">
        <v>0</v>
      </c>
      <c r="BK22" s="178">
        <v>168</v>
      </c>
      <c r="BL22" s="178">
        <v>168</v>
      </c>
      <c r="BM22" s="178">
        <v>252</v>
      </c>
      <c r="BN22" s="178">
        <v>168</v>
      </c>
      <c r="BO22" s="178">
        <v>168</v>
      </c>
      <c r="BP22" s="178">
        <v>168</v>
      </c>
      <c r="BQ22" s="178">
        <v>0</v>
      </c>
      <c r="BR22" s="178">
        <v>168</v>
      </c>
      <c r="BS22" s="178">
        <v>126</v>
      </c>
      <c r="BT22" s="178">
        <v>4284</v>
      </c>
      <c r="BU22" s="178">
        <v>166</v>
      </c>
      <c r="BV22" s="178">
        <v>166</v>
      </c>
      <c r="BW22" s="178">
        <v>166</v>
      </c>
      <c r="BX22" s="178">
        <v>83</v>
      </c>
      <c r="BY22" s="178">
        <v>0</v>
      </c>
      <c r="BZ22" s="178">
        <v>166</v>
      </c>
      <c r="CA22" s="178">
        <v>166</v>
      </c>
      <c r="CB22" s="178">
        <v>166</v>
      </c>
      <c r="CC22" s="178">
        <v>166</v>
      </c>
      <c r="CD22" s="178">
        <v>166</v>
      </c>
      <c r="CE22" s="178">
        <v>0</v>
      </c>
      <c r="CF22" s="178">
        <v>0</v>
      </c>
      <c r="CG22" s="178">
        <v>0</v>
      </c>
      <c r="CH22" s="178">
        <v>0</v>
      </c>
      <c r="CI22" s="178">
        <v>0</v>
      </c>
      <c r="CJ22" s="178">
        <v>0</v>
      </c>
      <c r="CK22" s="178">
        <v>0</v>
      </c>
      <c r="CL22" s="178">
        <v>0</v>
      </c>
      <c r="CM22" s="178">
        <v>0</v>
      </c>
      <c r="CN22" s="178">
        <v>166</v>
      </c>
      <c r="CO22" s="178">
        <v>165</v>
      </c>
      <c r="CP22" s="178">
        <v>166</v>
      </c>
      <c r="CQ22" s="178">
        <v>165</v>
      </c>
      <c r="CR22" s="178">
        <v>166</v>
      </c>
      <c r="CS22" s="178">
        <v>165</v>
      </c>
      <c r="CT22" s="178">
        <v>0</v>
      </c>
      <c r="CU22" s="178">
        <v>166</v>
      </c>
      <c r="CV22" s="178">
        <v>165</v>
      </c>
      <c r="CW22" s="178">
        <v>166</v>
      </c>
      <c r="CX22" s="178">
        <v>165</v>
      </c>
      <c r="CY22" s="178">
        <v>0</v>
      </c>
      <c r="CZ22" s="178">
        <v>3066</v>
      </c>
      <c r="DA22" s="178">
        <v>0</v>
      </c>
      <c r="DB22" s="178">
        <v>0</v>
      </c>
      <c r="DC22" s="178">
        <v>0</v>
      </c>
      <c r="DD22" s="178">
        <v>0</v>
      </c>
      <c r="DE22" s="178">
        <v>122</v>
      </c>
      <c r="DF22" s="178">
        <v>122</v>
      </c>
      <c r="DG22" s="178">
        <v>122</v>
      </c>
      <c r="DH22" s="178">
        <v>122</v>
      </c>
      <c r="DI22" s="178">
        <v>122</v>
      </c>
      <c r="DJ22" s="178">
        <v>0</v>
      </c>
      <c r="DK22" s="178">
        <v>122</v>
      </c>
      <c r="DL22" s="178">
        <v>122</v>
      </c>
      <c r="DM22" s="178">
        <v>122</v>
      </c>
      <c r="DN22" s="178">
        <v>122</v>
      </c>
      <c r="DO22" s="178">
        <v>122</v>
      </c>
      <c r="DP22" s="178">
        <v>0</v>
      </c>
      <c r="DQ22" s="178">
        <v>0</v>
      </c>
      <c r="DR22" s="178">
        <v>122</v>
      </c>
      <c r="DS22" s="178">
        <v>122</v>
      </c>
      <c r="DT22" s="178">
        <v>122</v>
      </c>
      <c r="DU22" s="178">
        <v>121</v>
      </c>
      <c r="DV22" s="178">
        <v>122</v>
      </c>
      <c r="DW22" s="178">
        <v>0</v>
      </c>
      <c r="DX22" s="178">
        <v>0</v>
      </c>
      <c r="DY22" s="178">
        <v>121</v>
      </c>
      <c r="DZ22" s="178">
        <v>122</v>
      </c>
      <c r="EA22" s="178">
        <v>121</v>
      </c>
      <c r="EB22" s="178">
        <v>122</v>
      </c>
      <c r="EC22" s="178">
        <v>121</v>
      </c>
      <c r="ED22" s="178">
        <v>0</v>
      </c>
      <c r="EE22" s="178">
        <v>0</v>
      </c>
      <c r="EF22" s="178">
        <v>2436</v>
      </c>
      <c r="EH22" s="136" t="b">
        <f>A22='Monthly FC (Dont use)'!E40</f>
        <v>1</v>
      </c>
      <c r="EJ22" s="136" t="str">
        <f t="shared" si="7"/>
        <v>86790-0K141-00BN</v>
      </c>
    </row>
    <row r="23" ht="14.25" customHeight="1" spans="1:200" x14ac:dyDescent="0.25">
      <c r="A23" s="177" t="s">
        <v>186</v>
      </c>
      <c r="B23" s="177" t="s">
        <v>219</v>
      </c>
      <c r="C23" s="177" t="s">
        <v>173</v>
      </c>
      <c r="D23" s="177" t="s">
        <v>332</v>
      </c>
      <c r="E23" s="135"/>
      <c r="F23" s="177" t="s">
        <v>207</v>
      </c>
      <c r="G23" s="177" t="s">
        <v>154</v>
      </c>
      <c r="H23" s="178">
        <v>6</v>
      </c>
      <c r="I23" s="178">
        <v>0</v>
      </c>
      <c r="J23" s="178">
        <v>10</v>
      </c>
      <c r="K23" s="178">
        <v>0</v>
      </c>
      <c r="L23" s="178">
        <v>0</v>
      </c>
      <c r="M23" s="178">
        <v>0</v>
      </c>
      <c r="N23" s="178">
        <v>0</v>
      </c>
      <c r="O23" s="178">
        <v>0</v>
      </c>
      <c r="P23" s="178">
        <v>0</v>
      </c>
      <c r="Q23" s="178">
        <v>10</v>
      </c>
      <c r="R23" s="178">
        <v>0</v>
      </c>
      <c r="S23" s="178">
        <v>0</v>
      </c>
      <c r="T23" s="178">
        <v>10</v>
      </c>
      <c r="U23" s="178">
        <v>10</v>
      </c>
      <c r="V23" s="178">
        <v>10</v>
      </c>
      <c r="W23" s="178">
        <v>0</v>
      </c>
      <c r="X23" s="178">
        <v>0</v>
      </c>
      <c r="Y23" s="178">
        <v>10</v>
      </c>
      <c r="Z23" s="178">
        <v>10</v>
      </c>
      <c r="AA23" s="178">
        <v>10</v>
      </c>
      <c r="AB23" s="178">
        <v>10</v>
      </c>
      <c r="AC23" s="178">
        <v>0</v>
      </c>
      <c r="AD23" s="178">
        <v>0</v>
      </c>
      <c r="AE23" s="178">
        <v>0</v>
      </c>
      <c r="AF23" s="178">
        <v>0</v>
      </c>
      <c r="AG23" s="178">
        <v>0</v>
      </c>
      <c r="AH23" s="178">
        <v>0</v>
      </c>
      <c r="AI23" s="178">
        <v>10</v>
      </c>
      <c r="AJ23" s="178">
        <v>10</v>
      </c>
      <c r="AK23" s="178">
        <v>0</v>
      </c>
      <c r="AL23" s="178">
        <v>0</v>
      </c>
      <c r="AM23" s="178">
        <v>0</v>
      </c>
      <c r="AN23" s="178">
        <v>110</v>
      </c>
      <c r="AO23" s="178">
        <v>0</v>
      </c>
      <c r="AP23" s="178">
        <v>0</v>
      </c>
      <c r="AQ23" s="178">
        <v>10</v>
      </c>
      <c r="AR23" s="178">
        <v>10</v>
      </c>
      <c r="AS23" s="178">
        <v>10</v>
      </c>
      <c r="AT23" s="178">
        <v>20</v>
      </c>
      <c r="AU23" s="178">
        <v>0</v>
      </c>
      <c r="AV23" s="178">
        <v>0</v>
      </c>
      <c r="AW23" s="178">
        <v>10</v>
      </c>
      <c r="AX23" s="178">
        <v>10</v>
      </c>
      <c r="AY23" s="178">
        <v>10</v>
      </c>
      <c r="AZ23" s="178">
        <v>10</v>
      </c>
      <c r="BA23" s="178">
        <v>10</v>
      </c>
      <c r="BB23" s="178">
        <v>10</v>
      </c>
      <c r="BC23" s="178">
        <v>0</v>
      </c>
      <c r="BD23" s="178">
        <v>20</v>
      </c>
      <c r="BE23" s="178">
        <v>10</v>
      </c>
      <c r="BF23" s="178">
        <v>10</v>
      </c>
      <c r="BG23" s="178">
        <v>10</v>
      </c>
      <c r="BH23" s="178">
        <v>10</v>
      </c>
      <c r="BI23" s="178">
        <v>0</v>
      </c>
      <c r="BJ23" s="178">
        <v>0</v>
      </c>
      <c r="BK23" s="178">
        <v>10</v>
      </c>
      <c r="BL23" s="178">
        <v>10</v>
      </c>
      <c r="BM23" s="178">
        <v>10</v>
      </c>
      <c r="BN23" s="178">
        <v>10</v>
      </c>
      <c r="BO23" s="178">
        <v>20</v>
      </c>
      <c r="BP23" s="178">
        <v>10</v>
      </c>
      <c r="BQ23" s="178">
        <v>0</v>
      </c>
      <c r="BR23" s="178">
        <v>10</v>
      </c>
      <c r="BS23" s="178">
        <v>10</v>
      </c>
      <c r="BT23" s="178">
        <v>260</v>
      </c>
      <c r="BU23" s="178">
        <v>4</v>
      </c>
      <c r="BV23" s="178">
        <v>4</v>
      </c>
      <c r="BW23" s="178">
        <v>4</v>
      </c>
      <c r="BX23" s="178">
        <v>2</v>
      </c>
      <c r="BY23" s="178">
        <v>0</v>
      </c>
      <c r="BZ23" s="178">
        <v>4</v>
      </c>
      <c r="CA23" s="178">
        <v>4</v>
      </c>
      <c r="CB23" s="178">
        <v>4</v>
      </c>
      <c r="CC23" s="178">
        <v>4</v>
      </c>
      <c r="CD23" s="178">
        <v>4</v>
      </c>
      <c r="CE23" s="178">
        <v>0</v>
      </c>
      <c r="CF23" s="178">
        <v>0</v>
      </c>
      <c r="CG23" s="178">
        <v>0</v>
      </c>
      <c r="CH23" s="178">
        <v>0</v>
      </c>
      <c r="CI23" s="178">
        <v>0</v>
      </c>
      <c r="CJ23" s="178">
        <v>0</v>
      </c>
      <c r="CK23" s="178">
        <v>0</v>
      </c>
      <c r="CL23" s="178">
        <v>0</v>
      </c>
      <c r="CM23" s="178">
        <v>0</v>
      </c>
      <c r="CN23" s="178">
        <v>4</v>
      </c>
      <c r="CO23" s="178">
        <v>4</v>
      </c>
      <c r="CP23" s="178">
        <v>4</v>
      </c>
      <c r="CQ23" s="178">
        <v>3</v>
      </c>
      <c r="CR23" s="178">
        <v>4</v>
      </c>
      <c r="CS23" s="178">
        <v>3</v>
      </c>
      <c r="CT23" s="178">
        <v>0</v>
      </c>
      <c r="CU23" s="178">
        <v>4</v>
      </c>
      <c r="CV23" s="178">
        <v>3</v>
      </c>
      <c r="CW23" s="178">
        <v>4</v>
      </c>
      <c r="CX23" s="178">
        <v>3</v>
      </c>
      <c r="CY23" s="178">
        <v>0</v>
      </c>
      <c r="CZ23" s="178">
        <v>70</v>
      </c>
      <c r="DA23" s="178">
        <v>0</v>
      </c>
      <c r="DB23" s="178">
        <v>0</v>
      </c>
      <c r="DC23" s="178">
        <v>0</v>
      </c>
      <c r="DD23" s="178">
        <v>0</v>
      </c>
      <c r="DE23" s="178">
        <v>6</v>
      </c>
      <c r="DF23" s="178">
        <v>6</v>
      </c>
      <c r="DG23" s="178">
        <v>6</v>
      </c>
      <c r="DH23" s="178">
        <v>6</v>
      </c>
      <c r="DI23" s="178">
        <v>6</v>
      </c>
      <c r="DJ23" s="178">
        <v>0</v>
      </c>
      <c r="DK23" s="178">
        <v>6</v>
      </c>
      <c r="DL23" s="178">
        <v>6</v>
      </c>
      <c r="DM23" s="178">
        <v>6</v>
      </c>
      <c r="DN23" s="178">
        <v>6</v>
      </c>
      <c r="DO23" s="178">
        <v>6</v>
      </c>
      <c r="DP23" s="178">
        <v>0</v>
      </c>
      <c r="DQ23" s="178">
        <v>0</v>
      </c>
      <c r="DR23" s="178">
        <v>6</v>
      </c>
      <c r="DS23" s="178">
        <v>6</v>
      </c>
      <c r="DT23" s="178">
        <v>6</v>
      </c>
      <c r="DU23" s="178">
        <v>6</v>
      </c>
      <c r="DV23" s="178">
        <v>6</v>
      </c>
      <c r="DW23" s="178">
        <v>0</v>
      </c>
      <c r="DX23" s="178">
        <v>0</v>
      </c>
      <c r="DY23" s="178">
        <v>6</v>
      </c>
      <c r="DZ23" s="178">
        <v>6</v>
      </c>
      <c r="EA23" s="178">
        <v>6</v>
      </c>
      <c r="EB23" s="178">
        <v>6</v>
      </c>
      <c r="EC23" s="178">
        <v>6</v>
      </c>
      <c r="ED23" s="178">
        <v>0</v>
      </c>
      <c r="EE23" s="178">
        <v>0</v>
      </c>
      <c r="EF23" s="178">
        <v>120</v>
      </c>
      <c r="EH23" s="136" t="b">
        <f>A23='Monthly FC (Dont use)'!E41</f>
        <v>1</v>
      </c>
      <c r="EJ23" s="136" t="str">
        <f t="shared" si="7"/>
        <v>D1</v>
      </c>
    </row>
    <row r="24" ht="14.25" customHeight="1" spans="1:200" x14ac:dyDescent="0.25">
      <c r="A24" s="177" t="s">
        <v>221</v>
      </c>
      <c r="B24" s="177" t="s">
        <v>222</v>
      </c>
      <c r="C24" s="177" t="s">
        <v>173</v>
      </c>
      <c r="D24" s="177" t="s">
        <v>332</v>
      </c>
      <c r="E24" s="135"/>
      <c r="F24" s="177" t="s">
        <v>202</v>
      </c>
      <c r="G24" s="177" t="s">
        <v>154</v>
      </c>
      <c r="H24" s="178">
        <v>20</v>
      </c>
      <c r="I24" s="178">
        <v>0</v>
      </c>
      <c r="J24" s="178">
        <v>120</v>
      </c>
      <c r="K24" s="178">
        <v>160</v>
      </c>
      <c r="L24" s="178">
        <v>120</v>
      </c>
      <c r="M24" s="178">
        <v>140</v>
      </c>
      <c r="N24" s="178">
        <v>140</v>
      </c>
      <c r="O24" s="178">
        <v>0</v>
      </c>
      <c r="P24" s="178">
        <v>0</v>
      </c>
      <c r="Q24" s="178">
        <v>140</v>
      </c>
      <c r="R24" s="178">
        <v>140</v>
      </c>
      <c r="S24" s="178">
        <v>140</v>
      </c>
      <c r="T24" s="178">
        <v>120</v>
      </c>
      <c r="U24" s="178">
        <v>160</v>
      </c>
      <c r="V24" s="178">
        <v>120</v>
      </c>
      <c r="W24" s="178">
        <v>0</v>
      </c>
      <c r="X24" s="178">
        <v>140</v>
      </c>
      <c r="Y24" s="178">
        <v>140</v>
      </c>
      <c r="Z24" s="178">
        <v>140</v>
      </c>
      <c r="AA24" s="178">
        <v>140</v>
      </c>
      <c r="AB24" s="178">
        <v>140</v>
      </c>
      <c r="AC24" s="178">
        <v>0</v>
      </c>
      <c r="AD24" s="178">
        <v>0</v>
      </c>
      <c r="AE24" s="178">
        <v>140</v>
      </c>
      <c r="AF24" s="178">
        <v>140</v>
      </c>
      <c r="AG24" s="178">
        <v>140</v>
      </c>
      <c r="AH24" s="178">
        <v>120</v>
      </c>
      <c r="AI24" s="178">
        <v>140</v>
      </c>
      <c r="AJ24" s="178">
        <v>140</v>
      </c>
      <c r="AK24" s="178">
        <v>0</v>
      </c>
      <c r="AL24" s="178">
        <v>0</v>
      </c>
      <c r="AM24" s="178">
        <v>0</v>
      </c>
      <c r="AN24" s="178">
        <v>3020</v>
      </c>
      <c r="AO24" s="178">
        <v>0</v>
      </c>
      <c r="AP24" s="178">
        <v>0</v>
      </c>
      <c r="AQ24" s="178">
        <v>100</v>
      </c>
      <c r="AR24" s="178">
        <v>140</v>
      </c>
      <c r="AS24" s="178">
        <v>100</v>
      </c>
      <c r="AT24" s="178">
        <v>120</v>
      </c>
      <c r="AU24" s="178">
        <v>60</v>
      </c>
      <c r="AV24" s="178">
        <v>0</v>
      </c>
      <c r="AW24" s="178">
        <v>120</v>
      </c>
      <c r="AX24" s="178">
        <v>120</v>
      </c>
      <c r="AY24" s="178">
        <v>120</v>
      </c>
      <c r="AZ24" s="178">
        <v>120</v>
      </c>
      <c r="BA24" s="178">
        <v>120</v>
      </c>
      <c r="BB24" s="178">
        <v>120</v>
      </c>
      <c r="BC24" s="178">
        <v>0</v>
      </c>
      <c r="BD24" s="178">
        <v>120</v>
      </c>
      <c r="BE24" s="178">
        <v>120</v>
      </c>
      <c r="BF24" s="178">
        <v>140</v>
      </c>
      <c r="BG24" s="178">
        <v>120</v>
      </c>
      <c r="BH24" s="178">
        <v>100</v>
      </c>
      <c r="BI24" s="178">
        <v>0</v>
      </c>
      <c r="BJ24" s="178">
        <v>0</v>
      </c>
      <c r="BK24" s="178">
        <v>120</v>
      </c>
      <c r="BL24" s="178">
        <v>140</v>
      </c>
      <c r="BM24" s="178">
        <v>120</v>
      </c>
      <c r="BN24" s="178">
        <v>120</v>
      </c>
      <c r="BO24" s="178">
        <v>120</v>
      </c>
      <c r="BP24" s="178">
        <v>120</v>
      </c>
      <c r="BQ24" s="178">
        <v>0</v>
      </c>
      <c r="BR24" s="178">
        <v>120</v>
      </c>
      <c r="BS24" s="178">
        <v>120</v>
      </c>
      <c r="BT24" s="178">
        <v>2820</v>
      </c>
      <c r="BU24" s="178">
        <v>156</v>
      </c>
      <c r="BV24" s="178">
        <v>156</v>
      </c>
      <c r="BW24" s="178">
        <v>156</v>
      </c>
      <c r="BX24" s="178">
        <v>78</v>
      </c>
      <c r="BY24" s="178">
        <v>0</v>
      </c>
      <c r="BZ24" s="178">
        <v>156</v>
      </c>
      <c r="CA24" s="178">
        <v>156</v>
      </c>
      <c r="CB24" s="178">
        <v>156</v>
      </c>
      <c r="CC24" s="178">
        <v>156</v>
      </c>
      <c r="CD24" s="178">
        <v>155</v>
      </c>
      <c r="CE24" s="178">
        <v>0</v>
      </c>
      <c r="CF24" s="178">
        <v>0</v>
      </c>
      <c r="CG24" s="178">
        <v>0</v>
      </c>
      <c r="CH24" s="178">
        <v>0</v>
      </c>
      <c r="CI24" s="178">
        <v>0</v>
      </c>
      <c r="CJ24" s="178">
        <v>0</v>
      </c>
      <c r="CK24" s="178">
        <v>0</v>
      </c>
      <c r="CL24" s="178">
        <v>0</v>
      </c>
      <c r="CM24" s="178">
        <v>0</v>
      </c>
      <c r="CN24" s="178">
        <v>156</v>
      </c>
      <c r="CO24" s="178">
        <v>155</v>
      </c>
      <c r="CP24" s="178">
        <v>156</v>
      </c>
      <c r="CQ24" s="178">
        <v>155</v>
      </c>
      <c r="CR24" s="178">
        <v>156</v>
      </c>
      <c r="CS24" s="178">
        <v>155</v>
      </c>
      <c r="CT24" s="178">
        <v>0</v>
      </c>
      <c r="CU24" s="178">
        <v>156</v>
      </c>
      <c r="CV24" s="178">
        <v>155</v>
      </c>
      <c r="CW24" s="178">
        <v>156</v>
      </c>
      <c r="CX24" s="178">
        <v>155</v>
      </c>
      <c r="CY24" s="178">
        <v>0</v>
      </c>
      <c r="CZ24" s="178">
        <v>2880</v>
      </c>
      <c r="DA24" s="178">
        <v>0</v>
      </c>
      <c r="DB24" s="178">
        <v>0</v>
      </c>
      <c r="DC24" s="178">
        <v>0</v>
      </c>
      <c r="DD24" s="178">
        <v>0</v>
      </c>
      <c r="DE24" s="178">
        <v>131</v>
      </c>
      <c r="DF24" s="178">
        <v>131</v>
      </c>
      <c r="DG24" s="178">
        <v>131</v>
      </c>
      <c r="DH24" s="178">
        <v>131</v>
      </c>
      <c r="DI24" s="178">
        <v>131</v>
      </c>
      <c r="DJ24" s="178">
        <v>0</v>
      </c>
      <c r="DK24" s="178">
        <v>131</v>
      </c>
      <c r="DL24" s="178">
        <v>131</v>
      </c>
      <c r="DM24" s="178">
        <v>131</v>
      </c>
      <c r="DN24" s="178">
        <v>131</v>
      </c>
      <c r="DO24" s="178">
        <v>131</v>
      </c>
      <c r="DP24" s="178">
        <v>0</v>
      </c>
      <c r="DQ24" s="178">
        <v>0</v>
      </c>
      <c r="DR24" s="178">
        <v>131</v>
      </c>
      <c r="DS24" s="178">
        <v>131</v>
      </c>
      <c r="DT24" s="178">
        <v>131</v>
      </c>
      <c r="DU24" s="178">
        <v>131</v>
      </c>
      <c r="DV24" s="178">
        <v>131</v>
      </c>
      <c r="DW24" s="178">
        <v>0</v>
      </c>
      <c r="DX24" s="178">
        <v>0</v>
      </c>
      <c r="DY24" s="178">
        <v>131</v>
      </c>
      <c r="DZ24" s="178">
        <v>131</v>
      </c>
      <c r="EA24" s="178">
        <v>131</v>
      </c>
      <c r="EB24" s="178">
        <v>131</v>
      </c>
      <c r="EC24" s="178">
        <v>131</v>
      </c>
      <c r="ED24" s="178">
        <v>0</v>
      </c>
      <c r="EE24" s="178">
        <v>0</v>
      </c>
      <c r="EF24" s="178">
        <v>2620</v>
      </c>
      <c r="EH24" s="136" t="b">
        <f>A24='Monthly FC (Dont use)'!E42</f>
        <v>1</v>
      </c>
      <c r="EJ24" s="136" t="str">
        <f t="shared" si="7"/>
        <v>86790-0K171-00BN</v>
      </c>
    </row>
    <row r="25" ht="14.25" customHeight="1" spans="1:200" x14ac:dyDescent="0.25">
      <c r="A25" s="177" t="s">
        <v>188</v>
      </c>
      <c r="B25" s="177" t="s">
        <v>223</v>
      </c>
      <c r="C25" s="177" t="s">
        <v>173</v>
      </c>
      <c r="D25" s="177" t="s">
        <v>332</v>
      </c>
      <c r="E25" s="135"/>
      <c r="F25" s="177" t="s">
        <v>202</v>
      </c>
      <c r="G25" s="177" t="s">
        <v>154</v>
      </c>
      <c r="H25" s="178">
        <v>16</v>
      </c>
      <c r="I25" s="178">
        <v>0</v>
      </c>
      <c r="J25" s="178">
        <v>48</v>
      </c>
      <c r="K25" s="178">
        <v>16</v>
      </c>
      <c r="L25" s="178">
        <v>16</v>
      </c>
      <c r="M25" s="178">
        <v>16</v>
      </c>
      <c r="N25" s="178">
        <v>16</v>
      </c>
      <c r="O25" s="178">
        <v>0</v>
      </c>
      <c r="P25" s="178">
        <v>0</v>
      </c>
      <c r="Q25" s="178">
        <v>32</v>
      </c>
      <c r="R25" s="178">
        <v>16</v>
      </c>
      <c r="S25" s="178">
        <v>16</v>
      </c>
      <c r="T25" s="178">
        <v>16</v>
      </c>
      <c r="U25" s="178">
        <v>32</v>
      </c>
      <c r="V25" s="178">
        <v>16</v>
      </c>
      <c r="W25" s="178">
        <v>0</v>
      </c>
      <c r="X25" s="178">
        <v>16</v>
      </c>
      <c r="Y25" s="178">
        <v>32</v>
      </c>
      <c r="Z25" s="178">
        <v>16</v>
      </c>
      <c r="AA25" s="178">
        <v>16</v>
      </c>
      <c r="AB25" s="178">
        <v>16</v>
      </c>
      <c r="AC25" s="178">
        <v>0</v>
      </c>
      <c r="AD25" s="178">
        <v>0</v>
      </c>
      <c r="AE25" s="178">
        <v>32</v>
      </c>
      <c r="AF25" s="178">
        <v>16</v>
      </c>
      <c r="AG25" s="178">
        <v>16</v>
      </c>
      <c r="AH25" s="178">
        <v>32</v>
      </c>
      <c r="AI25" s="178">
        <v>16</v>
      </c>
      <c r="AJ25" s="178">
        <v>16</v>
      </c>
      <c r="AK25" s="178">
        <v>0</v>
      </c>
      <c r="AL25" s="178">
        <v>0</v>
      </c>
      <c r="AM25" s="178">
        <v>0</v>
      </c>
      <c r="AN25" s="178">
        <v>464</v>
      </c>
      <c r="AO25" s="178">
        <v>0</v>
      </c>
      <c r="AP25" s="178">
        <v>0</v>
      </c>
      <c r="AQ25" s="178">
        <v>16</v>
      </c>
      <c r="AR25" s="178">
        <v>32</v>
      </c>
      <c r="AS25" s="178">
        <v>32</v>
      </c>
      <c r="AT25" s="178">
        <v>16</v>
      </c>
      <c r="AU25" s="178">
        <v>16</v>
      </c>
      <c r="AV25" s="178">
        <v>0</v>
      </c>
      <c r="AW25" s="178">
        <v>16</v>
      </c>
      <c r="AX25" s="178">
        <v>32</v>
      </c>
      <c r="AY25" s="178">
        <v>16</v>
      </c>
      <c r="AZ25" s="178">
        <v>32</v>
      </c>
      <c r="BA25" s="178">
        <v>32</v>
      </c>
      <c r="BB25" s="178">
        <v>16</v>
      </c>
      <c r="BC25" s="178">
        <v>0</v>
      </c>
      <c r="BD25" s="178">
        <v>32</v>
      </c>
      <c r="BE25" s="178">
        <v>16</v>
      </c>
      <c r="BF25" s="178">
        <v>32</v>
      </c>
      <c r="BG25" s="178">
        <v>16</v>
      </c>
      <c r="BH25" s="178">
        <v>32</v>
      </c>
      <c r="BI25" s="178">
        <v>0</v>
      </c>
      <c r="BJ25" s="178">
        <v>0</v>
      </c>
      <c r="BK25" s="178">
        <v>16</v>
      </c>
      <c r="BL25" s="178">
        <v>32</v>
      </c>
      <c r="BM25" s="178">
        <v>32</v>
      </c>
      <c r="BN25" s="178">
        <v>16</v>
      </c>
      <c r="BO25" s="178">
        <v>32</v>
      </c>
      <c r="BP25" s="178">
        <v>16</v>
      </c>
      <c r="BQ25" s="178">
        <v>0</v>
      </c>
      <c r="BR25" s="178">
        <v>32</v>
      </c>
      <c r="BS25" s="178">
        <v>16</v>
      </c>
      <c r="BT25" s="178">
        <v>576</v>
      </c>
      <c r="BU25" s="178">
        <v>22</v>
      </c>
      <c r="BV25" s="178">
        <v>23</v>
      </c>
      <c r="BW25" s="178">
        <v>22</v>
      </c>
      <c r="BX25" s="178">
        <v>11</v>
      </c>
      <c r="BY25" s="178">
        <v>0</v>
      </c>
      <c r="BZ25" s="178">
        <v>23</v>
      </c>
      <c r="CA25" s="178">
        <v>23</v>
      </c>
      <c r="CB25" s="178">
        <v>22</v>
      </c>
      <c r="CC25" s="178">
        <v>23</v>
      </c>
      <c r="CD25" s="178">
        <v>22</v>
      </c>
      <c r="CE25" s="178">
        <v>0</v>
      </c>
      <c r="CF25" s="178">
        <v>0</v>
      </c>
      <c r="CG25" s="178">
        <v>0</v>
      </c>
      <c r="CH25" s="178">
        <v>0</v>
      </c>
      <c r="CI25" s="178">
        <v>0</v>
      </c>
      <c r="CJ25" s="178">
        <v>0</v>
      </c>
      <c r="CK25" s="178">
        <v>0</v>
      </c>
      <c r="CL25" s="178">
        <v>0</v>
      </c>
      <c r="CM25" s="178">
        <v>0</v>
      </c>
      <c r="CN25" s="178">
        <v>23</v>
      </c>
      <c r="CO25" s="178">
        <v>22</v>
      </c>
      <c r="CP25" s="178">
        <v>23</v>
      </c>
      <c r="CQ25" s="178">
        <v>22</v>
      </c>
      <c r="CR25" s="178">
        <v>23</v>
      </c>
      <c r="CS25" s="178">
        <v>22</v>
      </c>
      <c r="CT25" s="178">
        <v>0</v>
      </c>
      <c r="CU25" s="178">
        <v>23</v>
      </c>
      <c r="CV25" s="178">
        <v>22</v>
      </c>
      <c r="CW25" s="178">
        <v>23</v>
      </c>
      <c r="CX25" s="178">
        <v>22</v>
      </c>
      <c r="CY25" s="178">
        <v>0</v>
      </c>
      <c r="CZ25" s="178">
        <v>416</v>
      </c>
      <c r="DA25" s="178">
        <v>0</v>
      </c>
      <c r="DB25" s="178">
        <v>0</v>
      </c>
      <c r="DC25" s="178">
        <v>0</v>
      </c>
      <c r="DD25" s="178">
        <v>0</v>
      </c>
      <c r="DE25" s="178">
        <v>14</v>
      </c>
      <c r="DF25" s="178">
        <v>14</v>
      </c>
      <c r="DG25" s="178">
        <v>14</v>
      </c>
      <c r="DH25" s="178">
        <v>14</v>
      </c>
      <c r="DI25" s="178">
        <v>15</v>
      </c>
      <c r="DJ25" s="178">
        <v>0</v>
      </c>
      <c r="DK25" s="178">
        <v>14</v>
      </c>
      <c r="DL25" s="178">
        <v>15</v>
      </c>
      <c r="DM25" s="178">
        <v>14</v>
      </c>
      <c r="DN25" s="178">
        <v>15</v>
      </c>
      <c r="DO25" s="178">
        <v>14</v>
      </c>
      <c r="DP25" s="178">
        <v>0</v>
      </c>
      <c r="DQ25" s="178">
        <v>0</v>
      </c>
      <c r="DR25" s="178">
        <v>15</v>
      </c>
      <c r="DS25" s="178">
        <v>14</v>
      </c>
      <c r="DT25" s="178">
        <v>15</v>
      </c>
      <c r="DU25" s="178">
        <v>14</v>
      </c>
      <c r="DV25" s="178">
        <v>15</v>
      </c>
      <c r="DW25" s="178">
        <v>0</v>
      </c>
      <c r="DX25" s="178">
        <v>0</v>
      </c>
      <c r="DY25" s="178">
        <v>14</v>
      </c>
      <c r="DZ25" s="178">
        <v>15</v>
      </c>
      <c r="EA25" s="178">
        <v>14</v>
      </c>
      <c r="EB25" s="178">
        <v>15</v>
      </c>
      <c r="EC25" s="178">
        <v>14</v>
      </c>
      <c r="ED25" s="178">
        <v>0</v>
      </c>
      <c r="EE25" s="178">
        <v>0</v>
      </c>
      <c r="EF25" s="178">
        <v>288</v>
      </c>
      <c r="EH25" s="136" t="b">
        <f>A25='Monthly FC (Dont use)'!E43</f>
        <v>1</v>
      </c>
      <c r="EJ25" s="136" t="str">
        <f t="shared" si="7"/>
        <v>D1</v>
      </c>
    </row>
    <row r="26" ht="14.25" customHeight="1" spans="1:200" x14ac:dyDescent="0.25">
      <c r="A26" s="177" t="s">
        <v>167</v>
      </c>
      <c r="B26" s="177" t="s">
        <v>340</v>
      </c>
      <c r="C26" s="177" t="s">
        <v>173</v>
      </c>
      <c r="D26" s="177" t="s">
        <v>332</v>
      </c>
      <c r="E26" s="135"/>
      <c r="F26" s="177" t="s">
        <v>202</v>
      </c>
      <c r="G26" s="177" t="s">
        <v>192</v>
      </c>
      <c r="H26" s="178">
        <v>60</v>
      </c>
      <c r="I26" s="178">
        <v>0</v>
      </c>
      <c r="J26" s="178">
        <v>0</v>
      </c>
      <c r="K26" s="178">
        <v>0</v>
      </c>
      <c r="L26" s="178">
        <v>0</v>
      </c>
      <c r="M26" s="178">
        <v>0</v>
      </c>
      <c r="N26" s="178">
        <v>0</v>
      </c>
      <c r="O26" s="178">
        <v>0</v>
      </c>
      <c r="P26" s="178">
        <v>0</v>
      </c>
      <c r="Q26" s="178">
        <v>0</v>
      </c>
      <c r="R26" s="178">
        <v>0</v>
      </c>
      <c r="S26" s="178">
        <v>0</v>
      </c>
      <c r="T26" s="178">
        <v>0</v>
      </c>
      <c r="U26" s="178">
        <v>0</v>
      </c>
      <c r="V26" s="178">
        <v>0</v>
      </c>
      <c r="W26" s="178">
        <v>0</v>
      </c>
      <c r="X26" s="178">
        <v>0</v>
      </c>
      <c r="Y26" s="178">
        <v>0</v>
      </c>
      <c r="Z26" s="178">
        <v>0</v>
      </c>
      <c r="AA26" s="178">
        <v>0</v>
      </c>
      <c r="AB26" s="178">
        <v>0</v>
      </c>
      <c r="AC26" s="178">
        <v>0</v>
      </c>
      <c r="AD26" s="178">
        <v>0</v>
      </c>
      <c r="AE26" s="178">
        <v>0</v>
      </c>
      <c r="AF26" s="178">
        <v>0</v>
      </c>
      <c r="AG26" s="178">
        <v>0</v>
      </c>
      <c r="AH26" s="178">
        <v>0</v>
      </c>
      <c r="AI26" s="178">
        <v>0</v>
      </c>
      <c r="AJ26" s="178">
        <v>0</v>
      </c>
      <c r="AK26" s="178">
        <v>0</v>
      </c>
      <c r="AL26" s="178">
        <v>0</v>
      </c>
      <c r="AM26" s="178">
        <v>0</v>
      </c>
      <c r="AN26" s="178">
        <v>0</v>
      </c>
      <c r="AO26" s="178">
        <v>0</v>
      </c>
      <c r="AP26" s="178">
        <v>0</v>
      </c>
      <c r="AQ26" s="178">
        <v>60</v>
      </c>
      <c r="AR26" s="178">
        <v>60</v>
      </c>
      <c r="AS26" s="178">
        <v>120</v>
      </c>
      <c r="AT26" s="178">
        <v>120</v>
      </c>
      <c r="AU26" s="178">
        <v>0</v>
      </c>
      <c r="AV26" s="178">
        <v>0</v>
      </c>
      <c r="AW26" s="178">
        <v>120</v>
      </c>
      <c r="AX26" s="178">
        <v>60</v>
      </c>
      <c r="AY26" s="178">
        <v>120</v>
      </c>
      <c r="AZ26" s="178">
        <v>60</v>
      </c>
      <c r="BA26" s="178">
        <v>120</v>
      </c>
      <c r="BB26" s="178">
        <v>120</v>
      </c>
      <c r="BC26" s="178">
        <v>0</v>
      </c>
      <c r="BD26" s="178">
        <v>60</v>
      </c>
      <c r="BE26" s="178">
        <v>120</v>
      </c>
      <c r="BF26" s="178">
        <v>120</v>
      </c>
      <c r="BG26" s="178">
        <v>60</v>
      </c>
      <c r="BH26" s="178">
        <v>120</v>
      </c>
      <c r="BI26" s="178">
        <v>0</v>
      </c>
      <c r="BJ26" s="178">
        <v>0</v>
      </c>
      <c r="BK26" s="178">
        <v>120</v>
      </c>
      <c r="BL26" s="178">
        <v>120</v>
      </c>
      <c r="BM26" s="178">
        <v>120</v>
      </c>
      <c r="BN26" s="178">
        <v>60</v>
      </c>
      <c r="BO26" s="178">
        <v>120</v>
      </c>
      <c r="BP26" s="178">
        <v>120</v>
      </c>
      <c r="BQ26" s="178">
        <v>0</v>
      </c>
      <c r="BR26" s="178">
        <v>120</v>
      </c>
      <c r="BS26" s="178">
        <v>120</v>
      </c>
      <c r="BT26" s="178">
        <v>2340</v>
      </c>
      <c r="BU26" s="178">
        <v>149</v>
      </c>
      <c r="BV26" s="178">
        <v>149</v>
      </c>
      <c r="BW26" s="178">
        <v>149</v>
      </c>
      <c r="BX26" s="178">
        <v>75</v>
      </c>
      <c r="BY26" s="178">
        <v>0</v>
      </c>
      <c r="BZ26" s="178">
        <v>149</v>
      </c>
      <c r="CA26" s="178">
        <v>149</v>
      </c>
      <c r="CB26" s="178">
        <v>149</v>
      </c>
      <c r="CC26" s="178">
        <v>149</v>
      </c>
      <c r="CD26" s="178">
        <v>149</v>
      </c>
      <c r="CE26" s="178">
        <v>0</v>
      </c>
      <c r="CF26" s="178">
        <v>0</v>
      </c>
      <c r="CG26" s="178">
        <v>0</v>
      </c>
      <c r="CH26" s="178">
        <v>0</v>
      </c>
      <c r="CI26" s="178">
        <v>0</v>
      </c>
      <c r="CJ26" s="178">
        <v>0</v>
      </c>
      <c r="CK26" s="178">
        <v>0</v>
      </c>
      <c r="CL26" s="178">
        <v>0</v>
      </c>
      <c r="CM26" s="178">
        <v>0</v>
      </c>
      <c r="CN26" s="178">
        <v>149</v>
      </c>
      <c r="CO26" s="178">
        <v>149</v>
      </c>
      <c r="CP26" s="178">
        <v>149</v>
      </c>
      <c r="CQ26" s="178">
        <v>149</v>
      </c>
      <c r="CR26" s="178">
        <v>150</v>
      </c>
      <c r="CS26" s="178">
        <v>149</v>
      </c>
      <c r="CT26" s="178">
        <v>0</v>
      </c>
      <c r="CU26" s="178">
        <v>150</v>
      </c>
      <c r="CV26" s="178">
        <v>149</v>
      </c>
      <c r="CW26" s="178">
        <v>150</v>
      </c>
      <c r="CX26" s="178">
        <v>149</v>
      </c>
      <c r="CY26" s="178">
        <v>0</v>
      </c>
      <c r="CZ26" s="178">
        <v>2760</v>
      </c>
      <c r="DA26" s="178">
        <v>0</v>
      </c>
      <c r="DB26" s="178">
        <v>0</v>
      </c>
      <c r="DC26" s="178">
        <v>0</v>
      </c>
      <c r="DD26" s="178">
        <v>0</v>
      </c>
      <c r="DE26" s="178">
        <v>120</v>
      </c>
      <c r="DF26" s="178">
        <v>120</v>
      </c>
      <c r="DG26" s="178">
        <v>120</v>
      </c>
      <c r="DH26" s="178">
        <v>120</v>
      </c>
      <c r="DI26" s="178">
        <v>120</v>
      </c>
      <c r="DJ26" s="178">
        <v>0</v>
      </c>
      <c r="DK26" s="178">
        <v>120</v>
      </c>
      <c r="DL26" s="178">
        <v>120</v>
      </c>
      <c r="DM26" s="178">
        <v>120</v>
      </c>
      <c r="DN26" s="178">
        <v>120</v>
      </c>
      <c r="DO26" s="178">
        <v>120</v>
      </c>
      <c r="DP26" s="178">
        <v>0</v>
      </c>
      <c r="DQ26" s="178">
        <v>0</v>
      </c>
      <c r="DR26" s="178">
        <v>120</v>
      </c>
      <c r="DS26" s="178">
        <v>120</v>
      </c>
      <c r="DT26" s="178">
        <v>120</v>
      </c>
      <c r="DU26" s="178">
        <v>120</v>
      </c>
      <c r="DV26" s="178">
        <v>120</v>
      </c>
      <c r="DW26" s="178">
        <v>0</v>
      </c>
      <c r="DX26" s="178">
        <v>0</v>
      </c>
      <c r="DY26" s="178">
        <v>120</v>
      </c>
      <c r="DZ26" s="178">
        <v>120</v>
      </c>
      <c r="EA26" s="178">
        <v>120</v>
      </c>
      <c r="EB26" s="178">
        <v>120</v>
      </c>
      <c r="EC26" s="178">
        <v>120</v>
      </c>
      <c r="ED26" s="178">
        <v>0</v>
      </c>
      <c r="EE26" s="178">
        <v>0</v>
      </c>
      <c r="EF26" s="178">
        <v>2400</v>
      </c>
      <c r="EH26" s="136" t="b">
        <f>A26='Monthly FC (Dont use)'!E45</f>
        <v>0</v>
      </c>
      <c r="EJ26" s="136" t="str">
        <f t="shared" si="7"/>
        <v>86790-0K181-00D1</v>
      </c>
    </row>
    <row r="27" ht="14.25" customHeight="1" spans="1:200" x14ac:dyDescent="0.25">
      <c r="A27" s="177" t="s">
        <v>169</v>
      </c>
      <c r="B27" s="177" t="s">
        <v>341</v>
      </c>
      <c r="C27" s="177" t="s">
        <v>173</v>
      </c>
      <c r="D27" s="177" t="s">
        <v>332</v>
      </c>
      <c r="E27" s="135"/>
      <c r="F27" s="177" t="s">
        <v>202</v>
      </c>
      <c r="G27" s="177" t="s">
        <v>192</v>
      </c>
      <c r="H27" s="178">
        <v>84</v>
      </c>
      <c r="I27" s="178">
        <v>0</v>
      </c>
      <c r="J27" s="178">
        <v>0</v>
      </c>
      <c r="K27" s="178">
        <v>0</v>
      </c>
      <c r="L27" s="178">
        <v>0</v>
      </c>
      <c r="M27" s="178">
        <v>0</v>
      </c>
      <c r="N27" s="178">
        <v>0</v>
      </c>
      <c r="O27" s="178">
        <v>0</v>
      </c>
      <c r="P27" s="178">
        <v>0</v>
      </c>
      <c r="Q27" s="178">
        <v>0</v>
      </c>
      <c r="R27" s="178">
        <v>0</v>
      </c>
      <c r="S27" s="178">
        <v>0</v>
      </c>
      <c r="T27" s="178">
        <v>0</v>
      </c>
      <c r="U27" s="178">
        <v>0</v>
      </c>
      <c r="V27" s="178">
        <v>0</v>
      </c>
      <c r="W27" s="178">
        <v>0</v>
      </c>
      <c r="X27" s="178">
        <v>0</v>
      </c>
      <c r="Y27" s="178">
        <v>0</v>
      </c>
      <c r="Z27" s="178">
        <v>0</v>
      </c>
      <c r="AA27" s="178">
        <v>0</v>
      </c>
      <c r="AB27" s="178">
        <v>0</v>
      </c>
      <c r="AC27" s="178">
        <v>0</v>
      </c>
      <c r="AD27" s="178">
        <v>0</v>
      </c>
      <c r="AE27" s="178">
        <v>0</v>
      </c>
      <c r="AF27" s="178">
        <v>0</v>
      </c>
      <c r="AG27" s="178">
        <v>0</v>
      </c>
      <c r="AH27" s="178">
        <v>0</v>
      </c>
      <c r="AI27" s="178">
        <v>0</v>
      </c>
      <c r="AJ27" s="178">
        <v>0</v>
      </c>
      <c r="AK27" s="178">
        <v>0</v>
      </c>
      <c r="AL27" s="178">
        <v>0</v>
      </c>
      <c r="AM27" s="178">
        <v>0</v>
      </c>
      <c r="AN27" s="178">
        <v>0</v>
      </c>
      <c r="AO27" s="178">
        <v>0</v>
      </c>
      <c r="AP27" s="178">
        <v>0</v>
      </c>
      <c r="AQ27" s="178">
        <v>84</v>
      </c>
      <c r="AR27" s="178">
        <v>84</v>
      </c>
      <c r="AS27" s="178">
        <v>84</v>
      </c>
      <c r="AT27" s="178">
        <v>84</v>
      </c>
      <c r="AU27" s="178">
        <v>84</v>
      </c>
      <c r="AV27" s="178">
        <v>0</v>
      </c>
      <c r="AW27" s="178">
        <v>84</v>
      </c>
      <c r="AX27" s="178">
        <v>84</v>
      </c>
      <c r="AY27" s="178">
        <v>84</v>
      </c>
      <c r="AZ27" s="178">
        <v>84</v>
      </c>
      <c r="BA27" s="178">
        <v>84</v>
      </c>
      <c r="BB27" s="178">
        <v>84</v>
      </c>
      <c r="BC27" s="178">
        <v>0</v>
      </c>
      <c r="BD27" s="178">
        <v>168</v>
      </c>
      <c r="BE27" s="178">
        <v>84</v>
      </c>
      <c r="BF27" s="178">
        <v>84</v>
      </c>
      <c r="BG27" s="178">
        <v>84</v>
      </c>
      <c r="BH27" s="178">
        <v>84</v>
      </c>
      <c r="BI27" s="178">
        <v>0</v>
      </c>
      <c r="BJ27" s="178">
        <v>0</v>
      </c>
      <c r="BK27" s="178">
        <v>168</v>
      </c>
      <c r="BL27" s="178">
        <v>84</v>
      </c>
      <c r="BM27" s="178">
        <v>84</v>
      </c>
      <c r="BN27" s="178">
        <v>168</v>
      </c>
      <c r="BO27" s="178">
        <v>84</v>
      </c>
      <c r="BP27" s="178">
        <v>84</v>
      </c>
      <c r="BQ27" s="178">
        <v>0</v>
      </c>
      <c r="BR27" s="178">
        <v>168</v>
      </c>
      <c r="BS27" s="178">
        <v>84</v>
      </c>
      <c r="BT27" s="178">
        <v>2352</v>
      </c>
      <c r="BU27" s="178">
        <v>150</v>
      </c>
      <c r="BV27" s="178">
        <v>150</v>
      </c>
      <c r="BW27" s="178">
        <v>150</v>
      </c>
      <c r="BX27" s="178">
        <v>75</v>
      </c>
      <c r="BY27" s="178">
        <v>0</v>
      </c>
      <c r="BZ27" s="178">
        <v>150</v>
      </c>
      <c r="CA27" s="178">
        <v>150</v>
      </c>
      <c r="CB27" s="178">
        <v>150</v>
      </c>
      <c r="CC27" s="178">
        <v>150</v>
      </c>
      <c r="CD27" s="178">
        <v>150</v>
      </c>
      <c r="CE27" s="178">
        <v>0</v>
      </c>
      <c r="CF27" s="178">
        <v>0</v>
      </c>
      <c r="CG27" s="178">
        <v>0</v>
      </c>
      <c r="CH27" s="178">
        <v>0</v>
      </c>
      <c r="CI27" s="178">
        <v>0</v>
      </c>
      <c r="CJ27" s="178">
        <v>0</v>
      </c>
      <c r="CK27" s="178">
        <v>0</v>
      </c>
      <c r="CL27" s="178">
        <v>0</v>
      </c>
      <c r="CM27" s="178">
        <v>0</v>
      </c>
      <c r="CN27" s="178">
        <v>150</v>
      </c>
      <c r="CO27" s="178">
        <v>150</v>
      </c>
      <c r="CP27" s="178">
        <v>150</v>
      </c>
      <c r="CQ27" s="178">
        <v>150</v>
      </c>
      <c r="CR27" s="178">
        <v>150</v>
      </c>
      <c r="CS27" s="178">
        <v>149</v>
      </c>
      <c r="CT27" s="178">
        <v>0</v>
      </c>
      <c r="CU27" s="178">
        <v>150</v>
      </c>
      <c r="CV27" s="178">
        <v>149</v>
      </c>
      <c r="CW27" s="178">
        <v>150</v>
      </c>
      <c r="CX27" s="178">
        <v>149</v>
      </c>
      <c r="CY27" s="178">
        <v>0</v>
      </c>
      <c r="CZ27" s="178">
        <v>2772</v>
      </c>
      <c r="DA27" s="178">
        <v>0</v>
      </c>
      <c r="DB27" s="178">
        <v>0</v>
      </c>
      <c r="DC27" s="178">
        <v>0</v>
      </c>
      <c r="DD27" s="178">
        <v>0</v>
      </c>
      <c r="DE27" s="178">
        <v>122</v>
      </c>
      <c r="DF27" s="178">
        <v>122</v>
      </c>
      <c r="DG27" s="178">
        <v>122</v>
      </c>
      <c r="DH27" s="178">
        <v>122</v>
      </c>
      <c r="DI27" s="178">
        <v>122</v>
      </c>
      <c r="DJ27" s="178">
        <v>0</v>
      </c>
      <c r="DK27" s="178">
        <v>122</v>
      </c>
      <c r="DL27" s="178">
        <v>122</v>
      </c>
      <c r="DM27" s="178">
        <v>122</v>
      </c>
      <c r="DN27" s="178">
        <v>122</v>
      </c>
      <c r="DO27" s="178">
        <v>122</v>
      </c>
      <c r="DP27" s="178">
        <v>0</v>
      </c>
      <c r="DQ27" s="178">
        <v>0</v>
      </c>
      <c r="DR27" s="178">
        <v>122</v>
      </c>
      <c r="DS27" s="178">
        <v>122</v>
      </c>
      <c r="DT27" s="178">
        <v>122</v>
      </c>
      <c r="DU27" s="178">
        <v>121</v>
      </c>
      <c r="DV27" s="178">
        <v>122</v>
      </c>
      <c r="DW27" s="178">
        <v>0</v>
      </c>
      <c r="DX27" s="178">
        <v>0</v>
      </c>
      <c r="DY27" s="178">
        <v>121</v>
      </c>
      <c r="DZ27" s="178">
        <v>122</v>
      </c>
      <c r="EA27" s="178">
        <v>121</v>
      </c>
      <c r="EB27" s="178">
        <v>122</v>
      </c>
      <c r="EC27" s="178">
        <v>121</v>
      </c>
      <c r="ED27" s="178">
        <v>0</v>
      </c>
      <c r="EE27" s="178">
        <v>0</v>
      </c>
      <c r="EF27" s="178">
        <v>2436</v>
      </c>
      <c r="EH27" s="136" t="b">
        <f>A27='Monthly FC (Dont use)'!E46</f>
        <v>0</v>
      </c>
      <c r="EJ27" s="136" t="str">
        <f t="shared" si="7"/>
        <v>86790-0K190-00BN</v>
      </c>
    </row>
    <row r="28" ht="14.25" customHeight="1" spans="1:200" x14ac:dyDescent="0.25">
      <c r="A28" s="177" t="s">
        <v>225</v>
      </c>
      <c r="B28" s="177" t="s">
        <v>226</v>
      </c>
      <c r="C28" s="177" t="s">
        <v>173</v>
      </c>
      <c r="D28" s="177" t="s">
        <v>332</v>
      </c>
      <c r="E28" s="135"/>
      <c r="F28" s="177" t="s">
        <v>202</v>
      </c>
      <c r="G28" s="177" t="s">
        <v>228</v>
      </c>
      <c r="H28" s="178">
        <v>15</v>
      </c>
      <c r="I28" s="178">
        <v>0</v>
      </c>
      <c r="J28" s="178">
        <v>285</v>
      </c>
      <c r="K28" s="178">
        <v>285</v>
      </c>
      <c r="L28" s="178">
        <v>285</v>
      </c>
      <c r="M28" s="178">
        <v>285</v>
      </c>
      <c r="N28" s="178">
        <v>285</v>
      </c>
      <c r="O28" s="178">
        <v>0</v>
      </c>
      <c r="P28" s="178">
        <v>0</v>
      </c>
      <c r="Q28" s="178">
        <v>285</v>
      </c>
      <c r="R28" s="178">
        <v>285</v>
      </c>
      <c r="S28" s="178">
        <v>285</v>
      </c>
      <c r="T28" s="178">
        <v>285</v>
      </c>
      <c r="U28" s="178">
        <v>285</v>
      </c>
      <c r="V28" s="178">
        <v>300</v>
      </c>
      <c r="W28" s="178">
        <v>0</v>
      </c>
      <c r="X28" s="178">
        <v>285</v>
      </c>
      <c r="Y28" s="178">
        <v>270</v>
      </c>
      <c r="Z28" s="178">
        <v>270</v>
      </c>
      <c r="AA28" s="178">
        <v>255</v>
      </c>
      <c r="AB28" s="178">
        <v>255</v>
      </c>
      <c r="AC28" s="178">
        <v>0</v>
      </c>
      <c r="AD28" s="178">
        <v>0</v>
      </c>
      <c r="AE28" s="178">
        <v>255</v>
      </c>
      <c r="AF28" s="178">
        <v>255</v>
      </c>
      <c r="AG28" s="178">
        <v>255</v>
      </c>
      <c r="AH28" s="178">
        <v>255</v>
      </c>
      <c r="AI28" s="178">
        <v>270</v>
      </c>
      <c r="AJ28" s="178">
        <v>255</v>
      </c>
      <c r="AK28" s="178">
        <v>0</v>
      </c>
      <c r="AL28" s="178">
        <v>0</v>
      </c>
      <c r="AM28" s="178">
        <v>0</v>
      </c>
      <c r="AN28" s="178">
        <v>6030</v>
      </c>
      <c r="AO28" s="178">
        <v>0</v>
      </c>
      <c r="AP28" s="178">
        <v>0</v>
      </c>
      <c r="AQ28" s="178">
        <v>210</v>
      </c>
      <c r="AR28" s="178">
        <v>240</v>
      </c>
      <c r="AS28" s="178">
        <v>255</v>
      </c>
      <c r="AT28" s="178">
        <v>240</v>
      </c>
      <c r="AU28" s="178">
        <v>105</v>
      </c>
      <c r="AV28" s="178">
        <v>0</v>
      </c>
      <c r="AW28" s="178">
        <v>240</v>
      </c>
      <c r="AX28" s="178">
        <v>240</v>
      </c>
      <c r="AY28" s="178">
        <v>255</v>
      </c>
      <c r="AZ28" s="178">
        <v>240</v>
      </c>
      <c r="BA28" s="178">
        <v>240</v>
      </c>
      <c r="BB28" s="178">
        <v>255</v>
      </c>
      <c r="BC28" s="178">
        <v>0</v>
      </c>
      <c r="BD28" s="178">
        <v>240</v>
      </c>
      <c r="BE28" s="178">
        <v>255</v>
      </c>
      <c r="BF28" s="178">
        <v>225</v>
      </c>
      <c r="BG28" s="178">
        <v>240</v>
      </c>
      <c r="BH28" s="178">
        <v>225</v>
      </c>
      <c r="BI28" s="178">
        <v>0</v>
      </c>
      <c r="BJ28" s="178">
        <v>0</v>
      </c>
      <c r="BK28" s="178">
        <v>240</v>
      </c>
      <c r="BL28" s="178">
        <v>225</v>
      </c>
      <c r="BM28" s="178">
        <v>240</v>
      </c>
      <c r="BN28" s="178">
        <v>225</v>
      </c>
      <c r="BO28" s="178">
        <v>240</v>
      </c>
      <c r="BP28" s="178">
        <v>225</v>
      </c>
      <c r="BQ28" s="178">
        <v>0</v>
      </c>
      <c r="BR28" s="178">
        <v>240</v>
      </c>
      <c r="BS28" s="178">
        <v>225</v>
      </c>
      <c r="BT28" s="178">
        <v>5565</v>
      </c>
      <c r="BU28" s="178">
        <v>303</v>
      </c>
      <c r="BV28" s="178">
        <v>303</v>
      </c>
      <c r="BW28" s="178">
        <v>303</v>
      </c>
      <c r="BX28" s="178">
        <v>152</v>
      </c>
      <c r="BY28" s="178">
        <v>0</v>
      </c>
      <c r="BZ28" s="178">
        <v>303</v>
      </c>
      <c r="CA28" s="178">
        <v>303</v>
      </c>
      <c r="CB28" s="178">
        <v>303</v>
      </c>
      <c r="CC28" s="178">
        <v>303</v>
      </c>
      <c r="CD28" s="178">
        <v>303</v>
      </c>
      <c r="CE28" s="178">
        <v>0</v>
      </c>
      <c r="CF28" s="178">
        <v>0</v>
      </c>
      <c r="CG28" s="178">
        <v>0</v>
      </c>
      <c r="CH28" s="178">
        <v>0</v>
      </c>
      <c r="CI28" s="178">
        <v>0</v>
      </c>
      <c r="CJ28" s="178">
        <v>0</v>
      </c>
      <c r="CK28" s="178">
        <v>0</v>
      </c>
      <c r="CL28" s="178">
        <v>0</v>
      </c>
      <c r="CM28" s="178">
        <v>0</v>
      </c>
      <c r="CN28" s="178">
        <v>303</v>
      </c>
      <c r="CO28" s="178">
        <v>303</v>
      </c>
      <c r="CP28" s="178">
        <v>304</v>
      </c>
      <c r="CQ28" s="178">
        <v>303</v>
      </c>
      <c r="CR28" s="178">
        <v>304</v>
      </c>
      <c r="CS28" s="178">
        <v>303</v>
      </c>
      <c r="CT28" s="178">
        <v>0</v>
      </c>
      <c r="CU28" s="178">
        <v>304</v>
      </c>
      <c r="CV28" s="178">
        <v>303</v>
      </c>
      <c r="CW28" s="178">
        <v>304</v>
      </c>
      <c r="CX28" s="178">
        <v>303</v>
      </c>
      <c r="CY28" s="178">
        <v>0</v>
      </c>
      <c r="CZ28" s="178">
        <v>5610</v>
      </c>
      <c r="DA28" s="178">
        <v>0</v>
      </c>
      <c r="DB28" s="178">
        <v>0</v>
      </c>
      <c r="DC28" s="178">
        <v>0</v>
      </c>
      <c r="DD28" s="178">
        <v>0</v>
      </c>
      <c r="DE28" s="178">
        <v>246</v>
      </c>
      <c r="DF28" s="178">
        <v>246</v>
      </c>
      <c r="DG28" s="178">
        <v>246</v>
      </c>
      <c r="DH28" s="178">
        <v>246</v>
      </c>
      <c r="DI28" s="178">
        <v>246</v>
      </c>
      <c r="DJ28" s="178">
        <v>0</v>
      </c>
      <c r="DK28" s="178">
        <v>246</v>
      </c>
      <c r="DL28" s="178">
        <v>246</v>
      </c>
      <c r="DM28" s="178">
        <v>246</v>
      </c>
      <c r="DN28" s="178">
        <v>246</v>
      </c>
      <c r="DO28" s="178">
        <v>246</v>
      </c>
      <c r="DP28" s="178">
        <v>0</v>
      </c>
      <c r="DQ28" s="178">
        <v>0</v>
      </c>
      <c r="DR28" s="178">
        <v>246</v>
      </c>
      <c r="DS28" s="178">
        <v>246</v>
      </c>
      <c r="DT28" s="178">
        <v>246</v>
      </c>
      <c r="DU28" s="178">
        <v>246</v>
      </c>
      <c r="DV28" s="178">
        <v>246</v>
      </c>
      <c r="DW28" s="178">
        <v>0</v>
      </c>
      <c r="DX28" s="178">
        <v>0</v>
      </c>
      <c r="DY28" s="178">
        <v>246</v>
      </c>
      <c r="DZ28" s="178">
        <v>246</v>
      </c>
      <c r="EA28" s="178">
        <v>246</v>
      </c>
      <c r="EB28" s="178">
        <v>246</v>
      </c>
      <c r="EC28" s="178">
        <v>246</v>
      </c>
      <c r="ED28" s="178">
        <v>0</v>
      </c>
      <c r="EE28" s="178">
        <v>0</v>
      </c>
      <c r="EF28" s="178">
        <v>4920</v>
      </c>
      <c r="EH28" s="136" t="b">
        <f>A28='Monthly FC (Dont use)'!E48</f>
        <v>0</v>
      </c>
      <c r="EJ28" s="136" t="str">
        <f t="shared" si="7"/>
        <v>D1</v>
      </c>
    </row>
    <row r="29" ht="14.25" customHeight="1" spans="1:200" x14ac:dyDescent="0.25">
      <c r="A29" s="177" t="s">
        <v>200</v>
      </c>
      <c r="B29" s="177" t="s">
        <v>201</v>
      </c>
      <c r="C29" s="177" t="s">
        <v>173</v>
      </c>
      <c r="D29" s="177" t="s">
        <v>332</v>
      </c>
      <c r="E29" s="135"/>
      <c r="F29" s="177" t="s">
        <v>202</v>
      </c>
      <c r="G29" s="177" t="s">
        <v>203</v>
      </c>
      <c r="H29" s="178">
        <v>20</v>
      </c>
      <c r="I29" s="178">
        <v>0</v>
      </c>
      <c r="J29" s="178">
        <v>60</v>
      </c>
      <c r="K29" s="178">
        <v>40</v>
      </c>
      <c r="L29" s="178">
        <v>60</v>
      </c>
      <c r="M29" s="178">
        <v>60</v>
      </c>
      <c r="N29" s="178">
        <v>40</v>
      </c>
      <c r="O29" s="178">
        <v>0</v>
      </c>
      <c r="P29" s="178">
        <v>0</v>
      </c>
      <c r="Q29" s="178">
        <v>60</v>
      </c>
      <c r="R29" s="178">
        <v>40</v>
      </c>
      <c r="S29" s="178">
        <v>60</v>
      </c>
      <c r="T29" s="178">
        <v>60</v>
      </c>
      <c r="U29" s="178">
        <v>40</v>
      </c>
      <c r="V29" s="178">
        <v>60</v>
      </c>
      <c r="W29" s="178">
        <v>0</v>
      </c>
      <c r="X29" s="178">
        <v>60</v>
      </c>
      <c r="Y29" s="178">
        <v>40</v>
      </c>
      <c r="Z29" s="178">
        <v>60</v>
      </c>
      <c r="AA29" s="178">
        <v>60</v>
      </c>
      <c r="AB29" s="178">
        <v>40</v>
      </c>
      <c r="AC29" s="178">
        <v>0</v>
      </c>
      <c r="AD29" s="178">
        <v>0</v>
      </c>
      <c r="AE29" s="178">
        <v>60</v>
      </c>
      <c r="AF29" s="178">
        <v>60</v>
      </c>
      <c r="AG29" s="178">
        <v>40</v>
      </c>
      <c r="AH29" s="178">
        <v>60</v>
      </c>
      <c r="AI29" s="178">
        <v>40</v>
      </c>
      <c r="AJ29" s="178">
        <v>60</v>
      </c>
      <c r="AK29" s="178">
        <v>0</v>
      </c>
      <c r="AL29" s="178">
        <v>0</v>
      </c>
      <c r="AM29" s="178">
        <v>0</v>
      </c>
      <c r="AN29" s="178">
        <v>1160</v>
      </c>
      <c r="AO29" s="178">
        <v>0</v>
      </c>
      <c r="AP29" s="178">
        <v>0</v>
      </c>
      <c r="AQ29" s="178">
        <v>80</v>
      </c>
      <c r="AR29" s="178">
        <v>100</v>
      </c>
      <c r="AS29" s="178">
        <v>80</v>
      </c>
      <c r="AT29" s="178">
        <v>80</v>
      </c>
      <c r="AU29" s="178">
        <v>40</v>
      </c>
      <c r="AV29" s="178">
        <v>0</v>
      </c>
      <c r="AW29" s="178">
        <v>100</v>
      </c>
      <c r="AX29" s="178">
        <v>80</v>
      </c>
      <c r="AY29" s="178">
        <v>100</v>
      </c>
      <c r="AZ29" s="178">
        <v>80</v>
      </c>
      <c r="BA29" s="178">
        <v>100</v>
      </c>
      <c r="BB29" s="178">
        <v>80</v>
      </c>
      <c r="BC29" s="178">
        <v>0</v>
      </c>
      <c r="BD29" s="178">
        <v>100</v>
      </c>
      <c r="BE29" s="178">
        <v>80</v>
      </c>
      <c r="BF29" s="178">
        <v>100</v>
      </c>
      <c r="BG29" s="178">
        <v>80</v>
      </c>
      <c r="BH29" s="178">
        <v>100</v>
      </c>
      <c r="BI29" s="178">
        <v>0</v>
      </c>
      <c r="BJ29" s="178">
        <v>0</v>
      </c>
      <c r="BK29" s="178">
        <v>80</v>
      </c>
      <c r="BL29" s="178">
        <v>100</v>
      </c>
      <c r="BM29" s="178">
        <v>80</v>
      </c>
      <c r="BN29" s="178">
        <v>100</v>
      </c>
      <c r="BO29" s="178">
        <v>100</v>
      </c>
      <c r="BP29" s="178">
        <v>80</v>
      </c>
      <c r="BQ29" s="178">
        <v>0</v>
      </c>
      <c r="BR29" s="178">
        <v>80</v>
      </c>
      <c r="BS29" s="178">
        <v>100</v>
      </c>
      <c r="BT29" s="178">
        <v>2100</v>
      </c>
      <c r="BU29" s="178">
        <v>110</v>
      </c>
      <c r="BV29" s="178">
        <v>110</v>
      </c>
      <c r="BW29" s="178">
        <v>110</v>
      </c>
      <c r="BX29" s="178">
        <v>55</v>
      </c>
      <c r="BY29" s="178">
        <v>0</v>
      </c>
      <c r="BZ29" s="178">
        <v>110</v>
      </c>
      <c r="CA29" s="178">
        <v>110</v>
      </c>
      <c r="CB29" s="178">
        <v>110</v>
      </c>
      <c r="CC29" s="178">
        <v>110</v>
      </c>
      <c r="CD29" s="178">
        <v>110</v>
      </c>
      <c r="CE29" s="178">
        <v>0</v>
      </c>
      <c r="CF29" s="178">
        <v>0</v>
      </c>
      <c r="CG29" s="178">
        <v>0</v>
      </c>
      <c r="CH29" s="178">
        <v>0</v>
      </c>
      <c r="CI29" s="178">
        <v>0</v>
      </c>
      <c r="CJ29" s="178">
        <v>0</v>
      </c>
      <c r="CK29" s="178">
        <v>0</v>
      </c>
      <c r="CL29" s="178">
        <v>0</v>
      </c>
      <c r="CM29" s="178">
        <v>0</v>
      </c>
      <c r="CN29" s="178">
        <v>111</v>
      </c>
      <c r="CO29" s="178">
        <v>110</v>
      </c>
      <c r="CP29" s="178">
        <v>111</v>
      </c>
      <c r="CQ29" s="178">
        <v>110</v>
      </c>
      <c r="CR29" s="178">
        <v>111</v>
      </c>
      <c r="CS29" s="178">
        <v>110</v>
      </c>
      <c r="CT29" s="178">
        <v>0</v>
      </c>
      <c r="CU29" s="178">
        <v>111</v>
      </c>
      <c r="CV29" s="178">
        <v>110</v>
      </c>
      <c r="CW29" s="178">
        <v>111</v>
      </c>
      <c r="CX29" s="178">
        <v>110</v>
      </c>
      <c r="CY29" s="178">
        <v>0</v>
      </c>
      <c r="CZ29" s="178">
        <v>2040</v>
      </c>
      <c r="DA29" s="178">
        <v>0</v>
      </c>
      <c r="DB29" s="178">
        <v>0</v>
      </c>
      <c r="DC29" s="178">
        <v>0</v>
      </c>
      <c r="DD29" s="178">
        <v>0</v>
      </c>
      <c r="DE29" s="178">
        <v>52</v>
      </c>
      <c r="DF29" s="178">
        <v>52</v>
      </c>
      <c r="DG29" s="178">
        <v>52</v>
      </c>
      <c r="DH29" s="178">
        <v>52</v>
      </c>
      <c r="DI29" s="178">
        <v>52</v>
      </c>
      <c r="DJ29" s="178">
        <v>0</v>
      </c>
      <c r="DK29" s="178">
        <v>52</v>
      </c>
      <c r="DL29" s="178">
        <v>52</v>
      </c>
      <c r="DM29" s="178">
        <v>52</v>
      </c>
      <c r="DN29" s="178">
        <v>52</v>
      </c>
      <c r="DO29" s="178">
        <v>52</v>
      </c>
      <c r="DP29" s="178">
        <v>0</v>
      </c>
      <c r="DQ29" s="178">
        <v>0</v>
      </c>
      <c r="DR29" s="178">
        <v>52</v>
      </c>
      <c r="DS29" s="178">
        <v>52</v>
      </c>
      <c r="DT29" s="178">
        <v>52</v>
      </c>
      <c r="DU29" s="178">
        <v>52</v>
      </c>
      <c r="DV29" s="178">
        <v>52</v>
      </c>
      <c r="DW29" s="178">
        <v>0</v>
      </c>
      <c r="DX29" s="178">
        <v>0</v>
      </c>
      <c r="DY29" s="178">
        <v>52</v>
      </c>
      <c r="DZ29" s="178">
        <v>52</v>
      </c>
      <c r="EA29" s="178">
        <v>52</v>
      </c>
      <c r="EB29" s="178">
        <v>52</v>
      </c>
      <c r="EC29" s="178">
        <v>52</v>
      </c>
      <c r="ED29" s="178">
        <v>0</v>
      </c>
      <c r="EE29" s="178">
        <v>0</v>
      </c>
      <c r="EF29" s="178">
        <v>1040</v>
      </c>
      <c r="EH29" s="136" t="b">
        <f>A29='Monthly FC (Dont use)'!E49</f>
        <v>0</v>
      </c>
      <c r="EJ29" s="136" t="str">
        <f t="shared" si="7"/>
        <v>86790-0K200-00D1</v>
      </c>
    </row>
    <row r="30" ht="14.25" customHeight="1" spans="1:200" x14ac:dyDescent="0.25">
      <c r="A30" s="135"/>
      <c r="B30" s="135"/>
      <c r="C30" s="135"/>
      <c r="D30" s="135"/>
      <c r="E30" s="135"/>
      <c r="F30" s="135"/>
      <c r="G30" s="135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  <c r="BU30" s="183"/>
      <c r="BV30" s="183"/>
      <c r="BW30" s="183"/>
      <c r="BX30" s="183"/>
      <c r="BY30" s="183"/>
      <c r="BZ30" s="183"/>
      <c r="CA30" s="183"/>
      <c r="CB30" s="183"/>
      <c r="CC30" s="183"/>
      <c r="CD30" s="183"/>
      <c r="CE30" s="183"/>
      <c r="CF30" s="183"/>
      <c r="CG30" s="183"/>
      <c r="CH30" s="183"/>
      <c r="CI30" s="183"/>
      <c r="CJ30" s="183"/>
      <c r="CK30" s="183"/>
      <c r="CL30" s="183"/>
      <c r="CM30" s="183"/>
      <c r="CN30" s="183"/>
      <c r="CO30" s="183"/>
      <c r="CP30" s="183"/>
      <c r="CQ30" s="183"/>
      <c r="CR30" s="183"/>
      <c r="CS30" s="183"/>
      <c r="CT30" s="183"/>
      <c r="CU30" s="183"/>
      <c r="CV30" s="183"/>
      <c r="CW30" s="183"/>
      <c r="CX30" s="183"/>
      <c r="CY30" s="183"/>
      <c r="CZ30" s="183"/>
      <c r="DA30" s="183"/>
      <c r="DB30" s="183"/>
      <c r="DC30" s="183"/>
      <c r="DD30" s="183"/>
      <c r="DE30" s="183"/>
      <c r="DF30" s="183"/>
      <c r="DG30" s="183"/>
      <c r="DH30" s="183"/>
      <c r="DI30" s="183"/>
      <c r="DJ30" s="183"/>
      <c r="DK30" s="183"/>
      <c r="DL30" s="183"/>
      <c r="DM30" s="183"/>
      <c r="DN30" s="183"/>
      <c r="DO30" s="183"/>
      <c r="DP30" s="183"/>
      <c r="DQ30" s="183"/>
      <c r="DR30" s="183"/>
      <c r="DS30" s="183"/>
      <c r="DT30" s="183"/>
      <c r="DU30" s="183"/>
      <c r="DV30" s="183"/>
      <c r="DW30" s="183"/>
      <c r="DX30" s="183"/>
      <c r="DY30" s="183"/>
      <c r="DZ30" s="183"/>
      <c r="EA30" s="183"/>
      <c r="EB30" s="183"/>
      <c r="EC30" s="183"/>
      <c r="ED30" s="183"/>
      <c r="EE30" s="183"/>
      <c r="EF30" s="183"/>
      <c r="EH30" s="136" t="b">
        <f>A30='Monthly FC (Dont use)'!E50</f>
        <v>0</v>
      </c>
      <c r="EJ30" s="136" t="str">
        <f t="shared" si="7"/>
        <v>86790-0K220-00D1</v>
      </c>
    </row>
    <row r="31" ht="14.25" customHeight="1" spans="1:200" x14ac:dyDescent="0.25">
      <c r="A31" s="135"/>
      <c r="B31" s="135"/>
      <c r="C31" s="135"/>
      <c r="D31" s="135"/>
      <c r="E31" s="135"/>
      <c r="F31" s="135"/>
      <c r="G31" s="135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  <c r="BU31" s="183"/>
      <c r="BV31" s="183"/>
      <c r="BW31" s="183"/>
      <c r="BX31" s="183"/>
      <c r="BY31" s="183"/>
      <c r="BZ31" s="183"/>
      <c r="CA31" s="183"/>
      <c r="CB31" s="183"/>
      <c r="CC31" s="183"/>
      <c r="CD31" s="183"/>
      <c r="CE31" s="183"/>
      <c r="CF31" s="183"/>
      <c r="CG31" s="183"/>
      <c r="CH31" s="183"/>
      <c r="CI31" s="183"/>
      <c r="CJ31" s="183"/>
      <c r="CK31" s="183"/>
      <c r="CL31" s="183"/>
      <c r="CM31" s="183"/>
      <c r="CN31" s="183"/>
      <c r="CO31" s="183"/>
      <c r="CP31" s="183"/>
      <c r="CQ31" s="183"/>
      <c r="CR31" s="183"/>
      <c r="CS31" s="183"/>
      <c r="CT31" s="183"/>
      <c r="CU31" s="183"/>
      <c r="CV31" s="183"/>
      <c r="CW31" s="183"/>
      <c r="CX31" s="183"/>
      <c r="CY31" s="183"/>
      <c r="CZ31" s="183"/>
      <c r="DA31" s="183"/>
      <c r="DB31" s="183"/>
      <c r="DC31" s="183"/>
      <c r="DD31" s="183"/>
      <c r="DE31" s="183"/>
      <c r="DF31" s="183"/>
      <c r="DG31" s="183"/>
      <c r="DH31" s="183"/>
      <c r="DI31" s="183"/>
      <c r="DJ31" s="183"/>
      <c r="DK31" s="183"/>
      <c r="DL31" s="183"/>
      <c r="DM31" s="183"/>
      <c r="DN31" s="183"/>
      <c r="DO31" s="183"/>
      <c r="DP31" s="183"/>
      <c r="DQ31" s="183"/>
      <c r="DR31" s="183"/>
      <c r="DS31" s="183"/>
      <c r="DT31" s="183"/>
      <c r="DU31" s="183"/>
      <c r="DV31" s="183"/>
      <c r="DW31" s="183"/>
      <c r="DX31" s="183"/>
      <c r="DY31" s="183"/>
      <c r="DZ31" s="183"/>
      <c r="EA31" s="183"/>
      <c r="EB31" s="183"/>
      <c r="EC31" s="183"/>
      <c r="ED31" s="183"/>
      <c r="EE31" s="183"/>
      <c r="EF31" s="183"/>
      <c r="EH31" s="136" t="b">
        <f>A31='Monthly FC (Dont use)'!E51</f>
        <v>0</v>
      </c>
    </row>
    <row r="32" ht="14.25" customHeight="1" spans="1:200" x14ac:dyDescent="0.25">
      <c r="A32" s="184"/>
      <c r="B32" s="184"/>
      <c r="C32" s="135"/>
      <c r="D32" s="135"/>
      <c r="E32" s="135"/>
      <c r="F32" s="135"/>
      <c r="G32" s="135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  <c r="BD32" s="183"/>
      <c r="BE32" s="183"/>
      <c r="BF32" s="183"/>
      <c r="BG32" s="183"/>
      <c r="BH32" s="183"/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  <c r="BU32" s="183"/>
      <c r="BV32" s="183"/>
      <c r="BW32" s="183"/>
      <c r="BX32" s="183"/>
      <c r="BY32" s="183"/>
      <c r="BZ32" s="183"/>
      <c r="CA32" s="183"/>
      <c r="CB32" s="183"/>
      <c r="CC32" s="183"/>
      <c r="CD32" s="183"/>
      <c r="CE32" s="183"/>
      <c r="CF32" s="183"/>
      <c r="CG32" s="183"/>
      <c r="CH32" s="183"/>
      <c r="CI32" s="183"/>
      <c r="CJ32" s="183"/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  <c r="CW32" s="183"/>
      <c r="CX32" s="183"/>
      <c r="CY32" s="183"/>
      <c r="CZ32" s="183"/>
      <c r="DA32" s="183"/>
      <c r="DB32" s="183"/>
      <c r="DC32" s="183"/>
      <c r="DD32" s="183"/>
      <c r="DE32" s="183"/>
      <c r="DF32" s="183"/>
      <c r="DG32" s="183"/>
      <c r="DH32" s="183"/>
      <c r="DI32" s="183"/>
      <c r="DJ32" s="183"/>
      <c r="DK32" s="183"/>
      <c r="DL32" s="183"/>
      <c r="DM32" s="183"/>
      <c r="DN32" s="183"/>
      <c r="DO32" s="183"/>
      <c r="DP32" s="183"/>
      <c r="DQ32" s="183"/>
      <c r="DR32" s="183"/>
      <c r="DS32" s="183"/>
      <c r="DT32" s="183"/>
      <c r="DU32" s="183"/>
      <c r="DV32" s="183"/>
      <c r="DW32" s="183"/>
      <c r="DX32" s="183"/>
      <c r="DY32" s="183"/>
      <c r="DZ32" s="183"/>
      <c r="EA32" s="183"/>
      <c r="EB32" s="183"/>
      <c r="EC32" s="183"/>
      <c r="ED32" s="183"/>
      <c r="EE32" s="183"/>
      <c r="EF32" s="183"/>
      <c r="EH32" s="136" t="b">
        <f>A32='Monthly FC (Dont use)'!E52</f>
        <v>1</v>
      </c>
    </row>
    <row r="33" ht="14.25" customHeight="1" spans="1:200" x14ac:dyDescent="0.25">
      <c r="A33" s="135"/>
      <c r="B33" s="135"/>
      <c r="C33" s="135"/>
      <c r="D33" s="135"/>
      <c r="E33" s="135"/>
      <c r="F33" s="135"/>
      <c r="G33" s="135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N33" s="183"/>
      <c r="CO33" s="183"/>
      <c r="CP33" s="183"/>
      <c r="CQ33" s="183"/>
      <c r="CR33" s="183"/>
      <c r="CS33" s="183"/>
      <c r="CT33" s="183"/>
      <c r="CU33" s="183"/>
      <c r="CV33" s="183"/>
      <c r="CW33" s="183"/>
      <c r="CX33" s="183"/>
      <c r="CY33" s="183"/>
      <c r="CZ33" s="183"/>
      <c r="DA33" s="183"/>
      <c r="DB33" s="183"/>
      <c r="DC33" s="183"/>
      <c r="DD33" s="183"/>
      <c r="DE33" s="183"/>
      <c r="DF33" s="183"/>
      <c r="DG33" s="183"/>
      <c r="DH33" s="183"/>
      <c r="DI33" s="183"/>
      <c r="DJ33" s="183"/>
      <c r="DK33" s="183"/>
      <c r="DL33" s="183"/>
      <c r="DM33" s="183"/>
      <c r="DN33" s="183"/>
      <c r="DO33" s="183"/>
      <c r="DP33" s="183"/>
      <c r="DQ33" s="183"/>
      <c r="DR33" s="183"/>
      <c r="DS33" s="183"/>
      <c r="DT33" s="183"/>
      <c r="DU33" s="183"/>
      <c r="DV33" s="183"/>
      <c r="DW33" s="183"/>
      <c r="DX33" s="183"/>
      <c r="DY33" s="183"/>
      <c r="DZ33" s="183"/>
      <c r="EA33" s="183"/>
      <c r="EB33" s="183"/>
      <c r="EC33" s="183"/>
      <c r="ED33" s="183"/>
      <c r="EE33" s="183"/>
      <c r="EF33" s="183"/>
    </row>
    <row r="34" ht="14.25" customHeight="1" spans="1:200" x14ac:dyDescent="0.25">
      <c r="A34" s="135"/>
      <c r="B34" s="135"/>
      <c r="C34" s="135"/>
      <c r="D34" s="135"/>
      <c r="E34" s="135"/>
      <c r="F34" s="135"/>
      <c r="G34" s="135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N34" s="183"/>
      <c r="CO34" s="183"/>
      <c r="CP34" s="183"/>
      <c r="CQ34" s="183"/>
      <c r="CR34" s="183"/>
      <c r="CS34" s="183"/>
      <c r="CT34" s="183"/>
      <c r="CU34" s="183"/>
      <c r="CV34" s="183"/>
      <c r="CW34" s="183"/>
      <c r="CX34" s="183"/>
      <c r="CY34" s="183"/>
      <c r="CZ34" s="183"/>
      <c r="DA34" s="183"/>
      <c r="DB34" s="183"/>
      <c r="DC34" s="183"/>
      <c r="DD34" s="183"/>
      <c r="DE34" s="183"/>
      <c r="DF34" s="183"/>
      <c r="DG34" s="183"/>
      <c r="DH34" s="183"/>
      <c r="DI34" s="183"/>
      <c r="DJ34" s="183"/>
      <c r="DK34" s="183"/>
      <c r="DL34" s="183"/>
      <c r="DM34" s="183"/>
      <c r="DN34" s="183"/>
      <c r="DO34" s="183"/>
      <c r="DP34" s="183"/>
      <c r="DQ34" s="183"/>
      <c r="DR34" s="183"/>
      <c r="DS34" s="183"/>
      <c r="DT34" s="183"/>
      <c r="DU34" s="183"/>
      <c r="DV34" s="183"/>
      <c r="DW34" s="183"/>
      <c r="DX34" s="183"/>
      <c r="DY34" s="183"/>
      <c r="DZ34" s="183"/>
      <c r="EA34" s="183"/>
      <c r="EB34" s="183"/>
      <c r="EC34" s="183"/>
      <c r="ED34" s="183"/>
      <c r="EE34" s="183"/>
      <c r="EF34" s="183"/>
    </row>
    <row r="35" ht="14.25" customHeight="1" spans="1:200" x14ac:dyDescent="0.25">
      <c r="A35" s="135"/>
      <c r="B35" s="135"/>
      <c r="C35" s="135"/>
      <c r="D35" s="135"/>
      <c r="E35" s="135"/>
      <c r="F35" s="135"/>
      <c r="G35" s="135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3"/>
      <c r="BY35" s="183"/>
      <c r="BZ35" s="183"/>
      <c r="CA35" s="183"/>
      <c r="CB35" s="183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183"/>
      <c r="CN35" s="183"/>
      <c r="CO35" s="183"/>
      <c r="CP35" s="183"/>
      <c r="CQ35" s="183"/>
      <c r="CR35" s="183"/>
      <c r="CS35" s="183"/>
      <c r="CT35" s="183"/>
      <c r="CU35" s="183"/>
      <c r="CV35" s="183"/>
      <c r="CW35" s="183"/>
      <c r="CX35" s="183"/>
      <c r="CY35" s="183"/>
      <c r="CZ35" s="183"/>
      <c r="DA35" s="183"/>
      <c r="DB35" s="183"/>
      <c r="DC35" s="183"/>
      <c r="DD35" s="183"/>
      <c r="DE35" s="183"/>
      <c r="DF35" s="183"/>
      <c r="DG35" s="183"/>
      <c r="DH35" s="183"/>
      <c r="DI35" s="183"/>
      <c r="DJ35" s="183"/>
      <c r="DK35" s="183"/>
      <c r="DL35" s="183"/>
      <c r="DM35" s="183"/>
      <c r="DN35" s="183"/>
      <c r="DO35" s="183"/>
      <c r="DP35" s="183"/>
      <c r="DQ35" s="183"/>
      <c r="DR35" s="183"/>
      <c r="DS35" s="183"/>
      <c r="DT35" s="183"/>
      <c r="DU35" s="183"/>
      <c r="DV35" s="183"/>
      <c r="DW35" s="183"/>
      <c r="DX35" s="183"/>
      <c r="DY35" s="183"/>
      <c r="DZ35" s="183"/>
      <c r="EA35" s="183"/>
      <c r="EB35" s="183"/>
      <c r="EC35" s="183"/>
      <c r="ED35" s="183"/>
      <c r="EE35" s="183"/>
      <c r="EF35" s="183"/>
    </row>
    <row r="36" ht="14.25" customHeight="1" spans="1:200" x14ac:dyDescent="0.25">
      <c r="A36" s="135"/>
      <c r="B36" s="135"/>
      <c r="C36" s="135"/>
      <c r="D36" s="135"/>
      <c r="E36" s="135"/>
      <c r="F36" s="135"/>
      <c r="G36" s="135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3"/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3"/>
      <c r="CW36" s="183"/>
      <c r="CX36" s="183"/>
      <c r="CY36" s="183"/>
      <c r="CZ36" s="183"/>
      <c r="DA36" s="183"/>
      <c r="DB36" s="183"/>
      <c r="DC36" s="183"/>
      <c r="DD36" s="183"/>
      <c r="DE36" s="183"/>
      <c r="DF36" s="183"/>
      <c r="DG36" s="183"/>
      <c r="DH36" s="183"/>
      <c r="DI36" s="183"/>
      <c r="DJ36" s="183"/>
      <c r="DK36" s="183"/>
      <c r="DL36" s="183"/>
      <c r="DM36" s="183"/>
      <c r="DN36" s="183"/>
      <c r="DO36" s="183"/>
      <c r="DP36" s="183"/>
      <c r="DQ36" s="183"/>
      <c r="DR36" s="183"/>
      <c r="DS36" s="183"/>
      <c r="DT36" s="183"/>
      <c r="DU36" s="183"/>
      <c r="DV36" s="183"/>
      <c r="DW36" s="183"/>
      <c r="DX36" s="183"/>
      <c r="DY36" s="183"/>
      <c r="DZ36" s="183"/>
      <c r="EA36" s="183"/>
      <c r="EB36" s="183"/>
      <c r="EC36" s="183"/>
      <c r="ED36" s="183"/>
      <c r="EE36" s="183"/>
      <c r="EF36" s="183"/>
    </row>
    <row r="37" ht="14.25" customHeight="1" spans="1:200" x14ac:dyDescent="0.25">
      <c r="A37" s="135"/>
      <c r="B37" s="135"/>
      <c r="C37" s="135"/>
      <c r="D37" s="135"/>
      <c r="E37" s="135"/>
      <c r="F37" s="135"/>
      <c r="G37" s="135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  <c r="CW37" s="183"/>
      <c r="CX37" s="183"/>
      <c r="CY37" s="183"/>
      <c r="CZ37" s="183"/>
      <c r="DA37" s="183"/>
      <c r="DB37" s="183"/>
      <c r="DC37" s="183"/>
      <c r="DD37" s="183"/>
      <c r="DE37" s="183"/>
      <c r="DF37" s="183"/>
      <c r="DG37" s="183"/>
      <c r="DH37" s="183"/>
      <c r="DI37" s="183"/>
      <c r="DJ37" s="183"/>
      <c r="DK37" s="183"/>
      <c r="DL37" s="183"/>
      <c r="DM37" s="183"/>
      <c r="DN37" s="183"/>
      <c r="DO37" s="183"/>
      <c r="DP37" s="183"/>
      <c r="DQ37" s="183"/>
      <c r="DR37" s="183"/>
      <c r="DS37" s="183"/>
      <c r="DT37" s="183"/>
      <c r="DU37" s="183"/>
      <c r="DV37" s="183"/>
      <c r="DW37" s="183"/>
      <c r="DX37" s="183"/>
      <c r="DY37" s="183"/>
      <c r="DZ37" s="183"/>
      <c r="EA37" s="183"/>
      <c r="EB37" s="183"/>
      <c r="EC37" s="183"/>
      <c r="ED37" s="183"/>
      <c r="EE37" s="183"/>
      <c r="EF37" s="183"/>
    </row>
    <row r="38" ht="14.25" customHeight="1" spans="1:200" x14ac:dyDescent="0.25">
      <c r="A38" s="135"/>
      <c r="B38" s="135"/>
      <c r="C38" s="135"/>
      <c r="D38" s="135"/>
      <c r="E38" s="135"/>
      <c r="F38" s="135"/>
      <c r="G38" s="135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  <c r="BU38" s="183"/>
      <c r="BV38" s="183"/>
      <c r="BW38" s="183"/>
      <c r="BX38" s="183"/>
      <c r="BY38" s="183"/>
      <c r="BZ38" s="183"/>
      <c r="CA38" s="183"/>
      <c r="CB38" s="183"/>
      <c r="CC38" s="183"/>
      <c r="CD38" s="183"/>
      <c r="CE38" s="183"/>
      <c r="CF38" s="183"/>
      <c r="CG38" s="183"/>
      <c r="CH38" s="183"/>
      <c r="CI38" s="183"/>
      <c r="CJ38" s="183"/>
      <c r="CK38" s="183"/>
      <c r="CL38" s="183"/>
      <c r="CM38" s="183"/>
      <c r="CN38" s="183"/>
      <c r="CO38" s="183"/>
      <c r="CP38" s="183"/>
      <c r="CQ38" s="183"/>
      <c r="CR38" s="183"/>
      <c r="CS38" s="183"/>
      <c r="CT38" s="183"/>
      <c r="CU38" s="183"/>
      <c r="CV38" s="183"/>
      <c r="CW38" s="183"/>
      <c r="CX38" s="183"/>
      <c r="CY38" s="183"/>
      <c r="CZ38" s="183"/>
      <c r="DA38" s="183"/>
      <c r="DB38" s="183"/>
      <c r="DC38" s="183"/>
      <c r="DD38" s="183"/>
      <c r="DE38" s="183"/>
      <c r="DF38" s="183"/>
      <c r="DG38" s="183"/>
      <c r="DH38" s="183"/>
      <c r="DI38" s="183"/>
      <c r="DJ38" s="183"/>
      <c r="DK38" s="183"/>
      <c r="DL38" s="183"/>
      <c r="DM38" s="183"/>
      <c r="DN38" s="183"/>
      <c r="DO38" s="183"/>
      <c r="DP38" s="183"/>
      <c r="DQ38" s="183"/>
      <c r="DR38" s="183"/>
      <c r="DS38" s="183"/>
      <c r="DT38" s="183"/>
      <c r="DU38" s="183"/>
      <c r="DV38" s="183"/>
      <c r="DW38" s="183"/>
      <c r="DX38" s="183"/>
      <c r="DY38" s="183"/>
      <c r="DZ38" s="183"/>
      <c r="EA38" s="183"/>
      <c r="EB38" s="183"/>
      <c r="EC38" s="183"/>
      <c r="ED38" s="183"/>
      <c r="EE38" s="183"/>
      <c r="EF38" s="183"/>
    </row>
    <row r="39" ht="14.25" customHeight="1" spans="1:200" x14ac:dyDescent="0.25">
      <c r="AN39" s="185">
        <f>SUM(AN14:AN38)</f>
        <v>26451</v>
      </c>
      <c r="BT39" s="185">
        <f>SUM(BT14:BT38)</f>
        <v>31869</v>
      </c>
      <c r="CZ39" s="185">
        <f>SUM(CZ14:CZ38)</f>
        <v>35336</v>
      </c>
      <c r="EF39" s="185">
        <f>SUM(EF14:EF38)</f>
        <v>34167</v>
      </c>
      <c r="EG39" s="186">
        <f>EF39+CZ39+BT39+AN39</f>
        <v>127823</v>
      </c>
    </row>
    <row r="40" ht="14.25" customHeight="1" spans="1:200" x14ac:dyDescent="0.25"/>
    <row r="41" ht="14.25" customHeight="1" spans="1:200" x14ac:dyDescent="0.25"/>
    <row r="42" ht="14.25" customHeight="1" spans="1:200" x14ac:dyDescent="0.25"/>
    <row r="43" ht="14.25" customHeight="1" spans="1:200" x14ac:dyDescent="0.25"/>
    <row r="44" ht="14.25" customHeight="1" spans="1:200" x14ac:dyDescent="0.25">
      <c r="A44" s="136"/>
      <c r="B44" s="135"/>
    </row>
    <row r="45" ht="14.25" customHeight="1" spans="1:200" x14ac:dyDescent="0.25">
      <c r="A45" s="136"/>
      <c r="B45" s="136"/>
    </row>
    <row r="46" ht="14.25" customHeight="1" spans="1:200" x14ac:dyDescent="0.25">
      <c r="A46" s="136"/>
      <c r="B46" s="136"/>
    </row>
    <row r="47" ht="14.25" customHeight="1" spans="1:200" x14ac:dyDescent="0.25">
      <c r="A47" s="136"/>
      <c r="B47" s="136"/>
    </row>
    <row r="48" ht="14.25" customHeight="1" spans="1:200" x14ac:dyDescent="0.25">
      <c r="A48" s="136"/>
      <c r="B48" s="136"/>
    </row>
    <row r="49" ht="14.25" customHeight="1" spans="1:200" x14ac:dyDescent="0.25">
      <c r="A49" s="136"/>
      <c r="B49" s="136"/>
    </row>
    <row r="50" ht="14.25" customHeight="1" spans="1:200" x14ac:dyDescent="0.25">
      <c r="A50" s="136"/>
      <c r="B50" s="136"/>
    </row>
    <row r="51" ht="14.25" customHeight="1" spans="1:200" x14ac:dyDescent="0.25"/>
    <row r="52" ht="14.25" customHeight="1" spans="1:200" x14ac:dyDescent="0.25"/>
    <row r="53" ht="14.25" customHeight="1" spans="1:200" x14ac:dyDescent="0.25"/>
    <row r="54" ht="14.25" customHeight="1" spans="1:200" x14ac:dyDescent="0.25"/>
    <row r="55" ht="14.25" customHeight="1" spans="1:200" x14ac:dyDescent="0.25"/>
    <row r="56" ht="14.25" customHeight="1" spans="1:200" x14ac:dyDescent="0.25"/>
    <row r="57" ht="14.25" customHeight="1" spans="1:200" x14ac:dyDescent="0.25"/>
    <row r="58" ht="14.25" customHeight="1" spans="1:200" x14ac:dyDescent="0.25"/>
    <row r="59" ht="14.25" customHeight="1" spans="1:200" x14ac:dyDescent="0.25"/>
    <row r="60" ht="14.25" customHeight="1" spans="1:200" x14ac:dyDescent="0.25"/>
    <row r="61" ht="14.25" customHeight="1" spans="1:200" x14ac:dyDescent="0.25"/>
    <row r="62" ht="14.25" customHeight="1" spans="1:200" x14ac:dyDescent="0.25"/>
    <row r="63" ht="14.25" customHeight="1" spans="1:200" x14ac:dyDescent="0.25"/>
    <row r="64" ht="14.25" customHeight="1" spans="1:200" x14ac:dyDescent="0.25"/>
    <row r="65" ht="14.25" customHeight="1" spans="1:200" x14ac:dyDescent="0.25"/>
    <row r="66" ht="14.25" customHeight="1" spans="1:200" x14ac:dyDescent="0.25"/>
    <row r="67" ht="14.25" customHeight="1" spans="1:200" x14ac:dyDescent="0.25"/>
    <row r="68" ht="14.25" customHeight="1" spans="1:200" x14ac:dyDescent="0.25"/>
    <row r="69" ht="14.25" customHeight="1" spans="1:200" x14ac:dyDescent="0.25"/>
    <row r="70" ht="14.25" customHeight="1" spans="1:200" x14ac:dyDescent="0.25"/>
    <row r="71" ht="14.25" customHeight="1" spans="1:200" x14ac:dyDescent="0.25"/>
    <row r="72" ht="14.25" customHeight="1" spans="1:200" x14ac:dyDescent="0.25"/>
    <row r="73" ht="14.25" customHeight="1" spans="1:200" x14ac:dyDescent="0.25"/>
    <row r="74" ht="14.25" customHeight="1" spans="1:200" x14ac:dyDescent="0.25"/>
    <row r="75" ht="14.25" customHeight="1" spans="1:200" x14ac:dyDescent="0.25"/>
    <row r="76" ht="14.25" customHeight="1" spans="1:200" x14ac:dyDescent="0.25"/>
    <row r="77" ht="14.25" customHeight="1" spans="1:200" x14ac:dyDescent="0.25"/>
    <row r="78" ht="14.25" customHeight="1" spans="1:200" x14ac:dyDescent="0.25"/>
    <row r="79" ht="14.25" customHeight="1" spans="1:200" x14ac:dyDescent="0.25"/>
    <row r="80" ht="14.25" customHeight="1" spans="1:200" x14ac:dyDescent="0.25"/>
    <row r="81" ht="14.25" customHeight="1" spans="1:200" x14ac:dyDescent="0.25"/>
    <row r="82" ht="14.25" customHeight="1" spans="1:200" x14ac:dyDescent="0.25"/>
    <row r="83" ht="14.25" customHeight="1" spans="1:200" x14ac:dyDescent="0.25"/>
    <row r="84" ht="14.25" customHeight="1" spans="1:200" x14ac:dyDescent="0.25"/>
    <row r="85" ht="14.25" customHeight="1" spans="1:200" x14ac:dyDescent="0.25"/>
    <row r="86" ht="14.25" customHeight="1" spans="1:200" x14ac:dyDescent="0.25"/>
    <row r="87" ht="14.25" customHeight="1" spans="1:200" x14ac:dyDescent="0.25"/>
    <row r="88" ht="14.25" customHeight="1" spans="1:200" x14ac:dyDescent="0.25"/>
    <row r="89" ht="14.25" customHeight="1" spans="1:200" x14ac:dyDescent="0.25"/>
    <row r="90" ht="14.25" customHeight="1" spans="1:200" x14ac:dyDescent="0.25"/>
    <row r="91" ht="14.25" customHeight="1" spans="1:200" x14ac:dyDescent="0.25"/>
    <row r="92" ht="14.25" customHeight="1" spans="1:200" x14ac:dyDescent="0.25"/>
    <row r="93" ht="14.25" customHeight="1" spans="1:200" x14ac:dyDescent="0.25"/>
    <row r="94" ht="14.25" customHeight="1" spans="1:200" x14ac:dyDescent="0.25"/>
    <row r="95" ht="14.25" customHeight="1" spans="1:200" x14ac:dyDescent="0.25"/>
    <row r="96" ht="14.25" customHeight="1" spans="1:200" x14ac:dyDescent="0.25"/>
    <row r="97" ht="14.25" customHeight="1" spans="1:200" x14ac:dyDescent="0.25"/>
    <row r="98" ht="14.25" customHeight="1" spans="1:200" x14ac:dyDescent="0.25"/>
    <row r="99" ht="14.25" customHeight="1" spans="1:200" x14ac:dyDescent="0.25"/>
    <row r="100" ht="14.25" customHeight="1" spans="1:200" x14ac:dyDescent="0.25"/>
    <row r="101" ht="14.25" customHeight="1" spans="1:200" x14ac:dyDescent="0.25"/>
    <row r="102" ht="14.25" customHeight="1" spans="1:200" x14ac:dyDescent="0.25"/>
    <row r="103" ht="14.25" customHeight="1" spans="1:200" x14ac:dyDescent="0.25"/>
    <row r="104" ht="14.25" customHeight="1" spans="1:200" x14ac:dyDescent="0.25"/>
    <row r="105" ht="14.25" customHeight="1" spans="1:200" x14ac:dyDescent="0.25"/>
    <row r="106" ht="14.25" customHeight="1" spans="1:200" x14ac:dyDescent="0.25"/>
    <row r="107" ht="14.25" customHeight="1" spans="1:200" x14ac:dyDescent="0.25"/>
    <row r="108" ht="14.25" customHeight="1" spans="1:200" x14ac:dyDescent="0.25"/>
    <row r="109" ht="14.25" customHeight="1" spans="1:200" x14ac:dyDescent="0.25"/>
    <row r="110" ht="14.25" customHeight="1" spans="1:200" x14ac:dyDescent="0.25"/>
    <row r="111" ht="14.25" customHeight="1" spans="1:200" x14ac:dyDescent="0.25"/>
    <row r="112" ht="14.25" customHeight="1" spans="1:200" x14ac:dyDescent="0.25"/>
    <row r="113" ht="14.25" customHeight="1" spans="1:200" x14ac:dyDescent="0.25"/>
    <row r="114" ht="14.25" customHeight="1" spans="1:200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$A$13:$EG$39"/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000"/>
  <sheetViews>
    <sheetView workbookViewId="0" zoomScale="100" zoomScaleNormal="100"/>
  </sheetViews>
  <sheetFormatPr defaultRowHeight="15" outlineLevelRow="1" outlineLevelCol="1" x14ac:dyDescent="0" defaultColWidth="14.43"/>
  <cols>
    <col min="1" max="1" width="19" customWidth="1"/>
    <col min="2" max="2" width="15.71" customWidth="1"/>
    <col min="3" max="3" width="25.57" customWidth="1"/>
    <col min="4" max="4" width="11" customWidth="1"/>
    <col min="5" max="5" width="8.57" customWidth="1"/>
    <col min="6" max="6" width="5.71" customWidth="1"/>
    <col min="7" max="7" width="8" customWidth="1"/>
    <col min="8" max="8" width="7" customWidth="1"/>
    <col min="9" max="37" width="5" hidden="1" outlineLevel="1" collapsed="1" customWidth="1"/>
    <col min="38" max="38" width="7" hidden="1" outlineLevel="1" collapsed="1" customWidth="1"/>
    <col min="39" max="39" width="5.71" hidden="1" outlineLevel="1" collapsed="1" customWidth="1"/>
    <col min="40" max="40" width="7.43" customWidth="1"/>
    <col min="41" max="70" width="5" hidden="1" outlineLevel="1" collapsed="1" customWidth="1"/>
    <col min="71" max="71" width="6.71" hidden="1" outlineLevel="1" collapsed="1" customWidth="1"/>
    <col min="72" max="72" width="8.71" customWidth="1"/>
    <col min="73" max="103" width="5" hidden="1" outlineLevel="1" collapsed="1" customWidth="1"/>
    <col min="104" max="104" width="9.29" customWidth="1"/>
    <col min="105" max="135" width="5" hidden="1" outlineLevel="1" collapsed="1" customWidth="1"/>
    <col min="136" max="136" width="9.29" customWidth="1"/>
    <col min="137" max="137" width="8.71" customWidth="1"/>
    <col min="138" max="138" width="15.29" customWidth="1"/>
    <col min="139" max="139" width="8.71" customWidth="1"/>
  </cols>
  <sheetData>
    <row r="1" ht="14.25" customHeight="1" spans="1:136" x14ac:dyDescent="0.25">
      <c r="A1" s="159" t="s">
        <v>267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</row>
    <row r="2" ht="14.25" customHeight="1" spans="1:136" x14ac:dyDescent="0.25">
      <c r="A2" s="168" t="s">
        <v>274</v>
      </c>
      <c r="B2" s="133" t="s">
        <v>342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U2" s="167"/>
      <c r="DV2" s="167"/>
      <c r="DW2" s="167"/>
      <c r="DX2" s="167"/>
      <c r="DY2" s="167"/>
      <c r="DZ2" s="167"/>
      <c r="EA2" s="167"/>
      <c r="EB2" s="167"/>
      <c r="EC2" s="167"/>
      <c r="ED2" s="167"/>
      <c r="EE2" s="167"/>
      <c r="EF2" s="167"/>
    </row>
    <row r="3" ht="14.25" customHeight="1" spans="1:136" x14ac:dyDescent="0.25">
      <c r="A3" s="168" t="s">
        <v>276</v>
      </c>
      <c r="B3" s="133" t="s">
        <v>337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</row>
    <row r="4" ht="14.25" customHeight="1" spans="1:136" x14ac:dyDescent="0.25">
      <c r="A4" s="168" t="s">
        <v>278</v>
      </c>
      <c r="B4" s="133">
        <v>202506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167"/>
      <c r="DA4" s="167"/>
      <c r="DB4" s="167"/>
      <c r="DC4" s="167"/>
      <c r="DD4" s="167"/>
      <c r="DE4" s="167"/>
      <c r="DF4" s="167"/>
      <c r="DG4" s="167"/>
      <c r="DH4" s="167"/>
      <c r="DI4" s="167"/>
      <c r="DJ4" s="167"/>
      <c r="DK4" s="167"/>
      <c r="DL4" s="167"/>
      <c r="DM4" s="167"/>
      <c r="DN4" s="167"/>
      <c r="DO4" s="167"/>
      <c r="DP4" s="167"/>
      <c r="DQ4" s="167"/>
      <c r="DR4" s="167"/>
      <c r="DS4" s="167"/>
      <c r="DT4" s="167"/>
      <c r="DU4" s="167"/>
      <c r="DV4" s="167"/>
      <c r="DW4" s="167"/>
      <c r="DX4" s="167"/>
      <c r="DY4" s="167"/>
      <c r="DZ4" s="167"/>
      <c r="EA4" s="167"/>
      <c r="EB4" s="167"/>
      <c r="EC4" s="167"/>
      <c r="ED4" s="167"/>
      <c r="EE4" s="167"/>
      <c r="EF4" s="167"/>
    </row>
    <row r="5" ht="14.25" customHeight="1" spans="1:136" x14ac:dyDescent="0.25">
      <c r="A5" s="168" t="s">
        <v>280</v>
      </c>
      <c r="B5" s="133" t="s">
        <v>339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7"/>
      <c r="CB5" s="167"/>
      <c r="CC5" s="167"/>
      <c r="CD5" s="167"/>
      <c r="CE5" s="167"/>
      <c r="CF5" s="167"/>
      <c r="CG5" s="167"/>
      <c r="CH5" s="167"/>
      <c r="CI5" s="167"/>
      <c r="CJ5" s="167"/>
      <c r="CK5" s="167"/>
      <c r="CL5" s="167"/>
      <c r="CM5" s="167"/>
      <c r="CN5" s="167"/>
      <c r="CO5" s="167"/>
      <c r="CP5" s="167"/>
      <c r="CQ5" s="167"/>
      <c r="CR5" s="167"/>
      <c r="CS5" s="167"/>
      <c r="CT5" s="167"/>
      <c r="CU5" s="167"/>
      <c r="CV5" s="167"/>
      <c r="CW5" s="167"/>
      <c r="CX5" s="167"/>
      <c r="CY5" s="167"/>
      <c r="CZ5" s="167"/>
      <c r="DA5" s="167"/>
      <c r="DB5" s="167"/>
      <c r="DC5" s="167"/>
      <c r="DD5" s="167"/>
      <c r="DE5" s="167"/>
      <c r="DF5" s="167"/>
      <c r="DG5" s="167"/>
      <c r="DH5" s="167"/>
      <c r="DI5" s="167"/>
      <c r="DJ5" s="167"/>
      <c r="DK5" s="167"/>
      <c r="DL5" s="167"/>
      <c r="DM5" s="167"/>
      <c r="DN5" s="167"/>
      <c r="DO5" s="167"/>
      <c r="DP5" s="167"/>
      <c r="DQ5" s="167"/>
      <c r="DR5" s="167"/>
      <c r="DS5" s="167"/>
      <c r="DT5" s="167"/>
      <c r="DU5" s="167"/>
      <c r="DV5" s="167"/>
      <c r="DW5" s="167"/>
      <c r="DX5" s="167"/>
      <c r="DY5" s="167"/>
      <c r="DZ5" s="167"/>
      <c r="EA5" s="167"/>
      <c r="EB5" s="167"/>
      <c r="EC5" s="167"/>
      <c r="ED5" s="167"/>
      <c r="EE5" s="167"/>
      <c r="EF5" s="167"/>
    </row>
    <row r="6" ht="14.25" customHeight="1" spans="1:136" x14ac:dyDescent="0.25">
      <c r="A6" s="168" t="s">
        <v>282</v>
      </c>
      <c r="B6" s="133" t="s">
        <v>283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67"/>
      <c r="DF6" s="167"/>
      <c r="DG6" s="167"/>
      <c r="DH6" s="167"/>
      <c r="DI6" s="167"/>
      <c r="DJ6" s="167"/>
      <c r="DK6" s="167"/>
      <c r="DL6" s="167"/>
      <c r="DM6" s="167"/>
      <c r="DN6" s="167"/>
      <c r="DO6" s="167"/>
      <c r="DP6" s="167"/>
      <c r="DQ6" s="167"/>
      <c r="DR6" s="167"/>
      <c r="DS6" s="167"/>
      <c r="DT6" s="167"/>
      <c r="DU6" s="167"/>
      <c r="DV6" s="167"/>
      <c r="DW6" s="167"/>
      <c r="DX6" s="167"/>
      <c r="DY6" s="167"/>
      <c r="DZ6" s="167"/>
      <c r="EA6" s="167"/>
      <c r="EB6" s="167"/>
      <c r="EC6" s="167"/>
      <c r="ED6" s="167"/>
      <c r="EE6" s="167"/>
      <c r="EF6" s="167"/>
    </row>
    <row r="7" ht="14.25" customHeight="1" spans="1:136" x14ac:dyDescent="0.25">
      <c r="A7" s="168" t="s">
        <v>284</v>
      </c>
      <c r="B7" s="133" t="s">
        <v>285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  <c r="DX7" s="167"/>
      <c r="DY7" s="167"/>
      <c r="DZ7" s="167"/>
      <c r="EA7" s="167"/>
      <c r="EB7" s="167"/>
      <c r="EC7" s="167"/>
      <c r="ED7" s="167"/>
      <c r="EE7" s="167"/>
      <c r="EF7" s="167"/>
    </row>
    <row r="8" ht="14.25" customHeight="1" spans="1:136" x14ac:dyDescent="0.25">
      <c r="A8" s="168" t="s">
        <v>286</v>
      </c>
      <c r="B8" s="133" t="s">
        <v>287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67"/>
      <c r="DF8" s="167"/>
      <c r="DG8" s="167"/>
      <c r="DH8" s="167"/>
      <c r="DI8" s="167"/>
      <c r="DJ8" s="167"/>
      <c r="DK8" s="167"/>
      <c r="DL8" s="167"/>
      <c r="DM8" s="167"/>
      <c r="DN8" s="167"/>
      <c r="DO8" s="167"/>
      <c r="DP8" s="167"/>
      <c r="DQ8" s="167"/>
      <c r="DR8" s="167"/>
      <c r="DS8" s="167"/>
      <c r="DT8" s="167"/>
      <c r="DU8" s="167"/>
      <c r="DV8" s="167"/>
      <c r="DW8" s="167"/>
      <c r="DX8" s="167"/>
      <c r="DY8" s="167"/>
      <c r="DZ8" s="167"/>
      <c r="EA8" s="167"/>
      <c r="EB8" s="167"/>
      <c r="EC8" s="167"/>
      <c r="ED8" s="167"/>
      <c r="EE8" s="167"/>
      <c r="EF8" s="167"/>
    </row>
    <row r="9" ht="14.25" customHeight="1" spans="1:136" x14ac:dyDescent="0.25">
      <c r="A9" s="168" t="s">
        <v>288</v>
      </c>
      <c r="B9" s="133" t="s">
        <v>289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  <c r="CO9" s="167"/>
      <c r="CP9" s="167"/>
      <c r="CQ9" s="167"/>
      <c r="CR9" s="167"/>
      <c r="CS9" s="167"/>
      <c r="CT9" s="167"/>
      <c r="CU9" s="167"/>
      <c r="CV9" s="167"/>
      <c r="CW9" s="167"/>
      <c r="CX9" s="167"/>
      <c r="CY9" s="167"/>
      <c r="CZ9" s="167"/>
      <c r="DA9" s="167"/>
      <c r="DB9" s="167"/>
      <c r="DC9" s="167"/>
      <c r="DD9" s="167"/>
      <c r="DE9" s="167"/>
      <c r="DF9" s="167"/>
      <c r="DG9" s="167"/>
      <c r="DH9" s="167"/>
      <c r="DI9" s="167"/>
      <c r="DJ9" s="167"/>
      <c r="DK9" s="167"/>
      <c r="DL9" s="167"/>
      <c r="DM9" s="167"/>
      <c r="DN9" s="167"/>
      <c r="DO9" s="167"/>
      <c r="DP9" s="167"/>
      <c r="DQ9" s="167"/>
      <c r="DR9" s="167"/>
      <c r="DS9" s="167"/>
      <c r="DT9" s="167"/>
      <c r="DU9" s="167"/>
      <c r="DV9" s="167"/>
      <c r="DW9" s="167"/>
      <c r="DX9" s="167"/>
      <c r="DY9" s="167"/>
      <c r="DZ9" s="167"/>
      <c r="EA9" s="167"/>
      <c r="EB9" s="167"/>
      <c r="EC9" s="167"/>
      <c r="ED9" s="167"/>
      <c r="EE9" s="167"/>
      <c r="EF9" s="167"/>
    </row>
    <row r="10" ht="14.25" customHeight="1" spans="1:136" x14ac:dyDescent="0.25">
      <c r="A10" s="168" t="s">
        <v>290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</row>
    <row r="11" ht="14.25" customHeight="1" spans="1:136" x14ac:dyDescent="0.25">
      <c r="A11" s="159" t="s">
        <v>291</v>
      </c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</row>
    <row r="12" ht="14.25" customHeight="1" spans="1:136" x14ac:dyDescent="0.2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33" t="s">
        <v>292</v>
      </c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33" t="s">
        <v>141</v>
      </c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33" t="s">
        <v>142</v>
      </c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33" t="s">
        <v>143</v>
      </c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</row>
    <row r="13" ht="14.25" customHeight="1" spans="1:136" x14ac:dyDescent="0.25">
      <c r="A13" s="176" t="s">
        <v>293</v>
      </c>
      <c r="B13" s="176" t="s">
        <v>294</v>
      </c>
      <c r="C13" s="176" t="s">
        <v>295</v>
      </c>
      <c r="D13" s="176" t="s">
        <v>296</v>
      </c>
      <c r="E13" s="176" t="s">
        <v>297</v>
      </c>
      <c r="F13" s="176" t="s">
        <v>298</v>
      </c>
      <c r="G13" s="176" t="s">
        <v>299</v>
      </c>
      <c r="H13" s="176" t="s">
        <v>300</v>
      </c>
      <c r="I13" s="176" t="s">
        <v>301</v>
      </c>
      <c r="J13" s="176" t="s">
        <v>302</v>
      </c>
      <c r="K13" s="176" t="s">
        <v>303</v>
      </c>
      <c r="L13" s="176" t="s">
        <v>304</v>
      </c>
      <c r="M13" s="176" t="s">
        <v>305</v>
      </c>
      <c r="N13" s="176" t="s">
        <v>306</v>
      </c>
      <c r="O13" s="176" t="s">
        <v>307</v>
      </c>
      <c r="P13" s="176" t="s">
        <v>308</v>
      </c>
      <c r="Q13" s="176" t="s">
        <v>309</v>
      </c>
      <c r="R13" s="176" t="s">
        <v>310</v>
      </c>
      <c r="S13" s="176" t="s">
        <v>311</v>
      </c>
      <c r="T13" s="176" t="s">
        <v>312</v>
      </c>
      <c r="U13" s="176" t="s">
        <v>313</v>
      </c>
      <c r="V13" s="176" t="s">
        <v>314</v>
      </c>
      <c r="W13" s="176" t="s">
        <v>315</v>
      </c>
      <c r="X13" s="176" t="s">
        <v>316</v>
      </c>
      <c r="Y13" s="176" t="s">
        <v>317</v>
      </c>
      <c r="Z13" s="176" t="s">
        <v>318</v>
      </c>
      <c r="AA13" s="176" t="s">
        <v>319</v>
      </c>
      <c r="AB13" s="176" t="s">
        <v>320</v>
      </c>
      <c r="AC13" s="176" t="s">
        <v>321</v>
      </c>
      <c r="AD13" s="176" t="s">
        <v>322</v>
      </c>
      <c r="AE13" s="176" t="s">
        <v>323</v>
      </c>
      <c r="AF13" s="176" t="s">
        <v>324</v>
      </c>
      <c r="AG13" s="176" t="s">
        <v>325</v>
      </c>
      <c r="AH13" s="176" t="s">
        <v>326</v>
      </c>
      <c r="AI13" s="176" t="s">
        <v>327</v>
      </c>
      <c r="AJ13" s="176" t="s">
        <v>328</v>
      </c>
      <c r="AK13" s="176" t="s">
        <v>329</v>
      </c>
      <c r="AL13" s="176" t="s">
        <v>330</v>
      </c>
      <c r="AM13" s="176" t="s">
        <v>331</v>
      </c>
      <c r="AN13" s="176" t="s">
        <v>292</v>
      </c>
      <c r="AO13" s="176" t="s">
        <v>301</v>
      </c>
      <c r="AP13" s="176" t="s">
        <v>302</v>
      </c>
      <c r="AQ13" s="176" t="s">
        <v>303</v>
      </c>
      <c r="AR13" s="176" t="s">
        <v>304</v>
      </c>
      <c r="AS13" s="176" t="s">
        <v>305</v>
      </c>
      <c r="AT13" s="176" t="s">
        <v>306</v>
      </c>
      <c r="AU13" s="176" t="s">
        <v>307</v>
      </c>
      <c r="AV13" s="176" t="s">
        <v>308</v>
      </c>
      <c r="AW13" s="176" t="s">
        <v>309</v>
      </c>
      <c r="AX13" s="176" t="s">
        <v>310</v>
      </c>
      <c r="AY13" s="176" t="s">
        <v>311</v>
      </c>
      <c r="AZ13" s="176" t="s">
        <v>312</v>
      </c>
      <c r="BA13" s="176" t="s">
        <v>313</v>
      </c>
      <c r="BB13" s="176" t="s">
        <v>314</v>
      </c>
      <c r="BC13" s="176" t="s">
        <v>315</v>
      </c>
      <c r="BD13" s="176" t="s">
        <v>316</v>
      </c>
      <c r="BE13" s="176" t="s">
        <v>317</v>
      </c>
      <c r="BF13" s="176" t="s">
        <v>318</v>
      </c>
      <c r="BG13" s="176" t="s">
        <v>319</v>
      </c>
      <c r="BH13" s="176" t="s">
        <v>320</v>
      </c>
      <c r="BI13" s="176" t="s">
        <v>321</v>
      </c>
      <c r="BJ13" s="176" t="s">
        <v>322</v>
      </c>
      <c r="BK13" s="176" t="s">
        <v>323</v>
      </c>
      <c r="BL13" s="176" t="s">
        <v>324</v>
      </c>
      <c r="BM13" s="176" t="s">
        <v>325</v>
      </c>
      <c r="BN13" s="176" t="s">
        <v>326</v>
      </c>
      <c r="BO13" s="176" t="s">
        <v>327</v>
      </c>
      <c r="BP13" s="176" t="s">
        <v>328</v>
      </c>
      <c r="BQ13" s="176" t="s">
        <v>329</v>
      </c>
      <c r="BR13" s="176" t="s">
        <v>330</v>
      </c>
      <c r="BS13" s="176" t="s">
        <v>331</v>
      </c>
      <c r="BT13" s="176" t="s">
        <v>141</v>
      </c>
      <c r="BU13" s="176" t="s">
        <v>301</v>
      </c>
      <c r="BV13" s="176" t="s">
        <v>302</v>
      </c>
      <c r="BW13" s="176" t="s">
        <v>303</v>
      </c>
      <c r="BX13" s="176" t="s">
        <v>304</v>
      </c>
      <c r="BY13" s="176" t="s">
        <v>305</v>
      </c>
      <c r="BZ13" s="176" t="s">
        <v>306</v>
      </c>
      <c r="CA13" s="176" t="s">
        <v>307</v>
      </c>
      <c r="CB13" s="176" t="s">
        <v>308</v>
      </c>
      <c r="CC13" s="176" t="s">
        <v>309</v>
      </c>
      <c r="CD13" s="176" t="s">
        <v>310</v>
      </c>
      <c r="CE13" s="176" t="s">
        <v>311</v>
      </c>
      <c r="CF13" s="176" t="s">
        <v>312</v>
      </c>
      <c r="CG13" s="176" t="s">
        <v>313</v>
      </c>
      <c r="CH13" s="176" t="s">
        <v>314</v>
      </c>
      <c r="CI13" s="176" t="s">
        <v>315</v>
      </c>
      <c r="CJ13" s="176" t="s">
        <v>316</v>
      </c>
      <c r="CK13" s="176" t="s">
        <v>317</v>
      </c>
      <c r="CL13" s="176" t="s">
        <v>318</v>
      </c>
      <c r="CM13" s="176" t="s">
        <v>319</v>
      </c>
      <c r="CN13" s="176" t="s">
        <v>320</v>
      </c>
      <c r="CO13" s="176" t="s">
        <v>321</v>
      </c>
      <c r="CP13" s="176" t="s">
        <v>322</v>
      </c>
      <c r="CQ13" s="176" t="s">
        <v>323</v>
      </c>
      <c r="CR13" s="176" t="s">
        <v>324</v>
      </c>
      <c r="CS13" s="176" t="s">
        <v>325</v>
      </c>
      <c r="CT13" s="176" t="s">
        <v>326</v>
      </c>
      <c r="CU13" s="176" t="s">
        <v>327</v>
      </c>
      <c r="CV13" s="176" t="s">
        <v>328</v>
      </c>
      <c r="CW13" s="176" t="s">
        <v>329</v>
      </c>
      <c r="CX13" s="176" t="s">
        <v>330</v>
      </c>
      <c r="CY13" s="176" t="s">
        <v>331</v>
      </c>
      <c r="CZ13" s="176" t="s">
        <v>142</v>
      </c>
      <c r="DA13" s="176" t="s">
        <v>301</v>
      </c>
      <c r="DB13" s="176" t="s">
        <v>302</v>
      </c>
      <c r="DC13" s="176" t="s">
        <v>303</v>
      </c>
      <c r="DD13" s="176" t="s">
        <v>304</v>
      </c>
      <c r="DE13" s="176" t="s">
        <v>305</v>
      </c>
      <c r="DF13" s="176" t="s">
        <v>306</v>
      </c>
      <c r="DG13" s="176" t="s">
        <v>307</v>
      </c>
      <c r="DH13" s="176" t="s">
        <v>308</v>
      </c>
      <c r="DI13" s="176" t="s">
        <v>309</v>
      </c>
      <c r="DJ13" s="176" t="s">
        <v>310</v>
      </c>
      <c r="DK13" s="176" t="s">
        <v>311</v>
      </c>
      <c r="DL13" s="176" t="s">
        <v>312</v>
      </c>
      <c r="DM13" s="176" t="s">
        <v>313</v>
      </c>
      <c r="DN13" s="176" t="s">
        <v>314</v>
      </c>
      <c r="DO13" s="176" t="s">
        <v>315</v>
      </c>
      <c r="DP13" s="176" t="s">
        <v>316</v>
      </c>
      <c r="DQ13" s="176" t="s">
        <v>317</v>
      </c>
      <c r="DR13" s="176" t="s">
        <v>318</v>
      </c>
      <c r="DS13" s="176" t="s">
        <v>319</v>
      </c>
      <c r="DT13" s="176" t="s">
        <v>320</v>
      </c>
      <c r="DU13" s="176" t="s">
        <v>321</v>
      </c>
      <c r="DV13" s="176" t="s">
        <v>322</v>
      </c>
      <c r="DW13" s="176" t="s">
        <v>323</v>
      </c>
      <c r="DX13" s="176" t="s">
        <v>324</v>
      </c>
      <c r="DY13" s="176" t="s">
        <v>325</v>
      </c>
      <c r="DZ13" s="176" t="s">
        <v>326</v>
      </c>
      <c r="EA13" s="176" t="s">
        <v>327</v>
      </c>
      <c r="EB13" s="176" t="s">
        <v>328</v>
      </c>
      <c r="EC13" s="176" t="s">
        <v>329</v>
      </c>
      <c r="ED13" s="176" t="s">
        <v>330</v>
      </c>
      <c r="EE13" s="176" t="s">
        <v>331</v>
      </c>
      <c r="EF13" s="176" t="s">
        <v>143</v>
      </c>
    </row>
    <row r="14" ht="14.25" customHeight="1" spans="1:200" x14ac:dyDescent="0.25" outlineLevel="1" collapsed="1">
      <c r="A14" s="177" t="s">
        <v>244</v>
      </c>
      <c r="B14" s="177" t="s">
        <v>245</v>
      </c>
      <c r="C14" s="177" t="s">
        <v>173</v>
      </c>
      <c r="D14" s="177" t="s">
        <v>332</v>
      </c>
      <c r="E14" s="135"/>
      <c r="F14" s="177" t="s">
        <v>234</v>
      </c>
      <c r="G14" s="177" t="s">
        <v>235</v>
      </c>
      <c r="H14" s="178">
        <v>36</v>
      </c>
      <c r="I14" s="178">
        <v>0</v>
      </c>
      <c r="J14" s="178">
        <v>108</v>
      </c>
      <c r="K14" s="178">
        <v>108</v>
      </c>
      <c r="L14" s="178">
        <v>72</v>
      </c>
      <c r="M14" s="178">
        <v>108</v>
      </c>
      <c r="N14" s="178">
        <v>108</v>
      </c>
      <c r="O14" s="178">
        <v>0</v>
      </c>
      <c r="P14" s="178">
        <v>0</v>
      </c>
      <c r="Q14" s="178">
        <v>108</v>
      </c>
      <c r="R14" s="178">
        <v>108</v>
      </c>
      <c r="S14" s="178">
        <v>72</v>
      </c>
      <c r="T14" s="178">
        <v>72</v>
      </c>
      <c r="U14" s="178">
        <v>108</v>
      </c>
      <c r="V14" s="178">
        <v>108</v>
      </c>
      <c r="W14" s="178">
        <v>0</v>
      </c>
      <c r="X14" s="178">
        <v>72</v>
      </c>
      <c r="Y14" s="178">
        <v>108</v>
      </c>
      <c r="Z14" s="178">
        <v>108</v>
      </c>
      <c r="AA14" s="178">
        <v>72</v>
      </c>
      <c r="AB14" s="178">
        <v>108</v>
      </c>
      <c r="AC14" s="178">
        <v>0</v>
      </c>
      <c r="AD14" s="178">
        <v>0</v>
      </c>
      <c r="AE14" s="178">
        <v>108</v>
      </c>
      <c r="AF14" s="178">
        <v>72</v>
      </c>
      <c r="AG14" s="178">
        <v>108</v>
      </c>
      <c r="AH14" s="178">
        <v>72</v>
      </c>
      <c r="AI14" s="178">
        <v>108</v>
      </c>
      <c r="AJ14" s="178">
        <v>72</v>
      </c>
      <c r="AK14" s="178">
        <v>0</v>
      </c>
      <c r="AL14" s="178">
        <v>0</v>
      </c>
      <c r="AM14" s="178">
        <v>0</v>
      </c>
      <c r="AN14" s="178">
        <v>2088</v>
      </c>
      <c r="AO14" s="178">
        <v>0</v>
      </c>
      <c r="AP14" s="178">
        <v>0</v>
      </c>
      <c r="AQ14" s="178">
        <v>108</v>
      </c>
      <c r="AR14" s="178">
        <v>72</v>
      </c>
      <c r="AS14" s="178">
        <v>72</v>
      </c>
      <c r="AT14" s="178">
        <v>108</v>
      </c>
      <c r="AU14" s="178">
        <v>36</v>
      </c>
      <c r="AV14" s="178">
        <v>0</v>
      </c>
      <c r="AW14" s="178">
        <v>108</v>
      </c>
      <c r="AX14" s="178">
        <v>72</v>
      </c>
      <c r="AY14" s="178">
        <v>72</v>
      </c>
      <c r="AZ14" s="178">
        <v>108</v>
      </c>
      <c r="BA14" s="178">
        <v>72</v>
      </c>
      <c r="BB14" s="178">
        <v>72</v>
      </c>
      <c r="BC14" s="178">
        <v>0</v>
      </c>
      <c r="BD14" s="178">
        <v>108</v>
      </c>
      <c r="BE14" s="178">
        <v>72</v>
      </c>
      <c r="BF14" s="178">
        <v>72</v>
      </c>
      <c r="BG14" s="178">
        <v>108</v>
      </c>
      <c r="BH14" s="178">
        <v>72</v>
      </c>
      <c r="BI14" s="178">
        <v>0</v>
      </c>
      <c r="BJ14" s="178">
        <v>0</v>
      </c>
      <c r="BK14" s="178">
        <v>108</v>
      </c>
      <c r="BL14" s="178">
        <v>72</v>
      </c>
      <c r="BM14" s="178">
        <v>72</v>
      </c>
      <c r="BN14" s="178">
        <v>108</v>
      </c>
      <c r="BO14" s="178">
        <v>72</v>
      </c>
      <c r="BP14" s="178">
        <v>72</v>
      </c>
      <c r="BQ14" s="178">
        <v>0</v>
      </c>
      <c r="BR14" s="178">
        <v>108</v>
      </c>
      <c r="BS14" s="178">
        <v>36</v>
      </c>
      <c r="BT14" s="178">
        <v>1980</v>
      </c>
      <c r="BU14" s="178">
        <v>97</v>
      </c>
      <c r="BV14" s="178">
        <v>97</v>
      </c>
      <c r="BW14" s="178">
        <v>97</v>
      </c>
      <c r="BX14" s="178">
        <v>49</v>
      </c>
      <c r="BY14" s="178">
        <v>0</v>
      </c>
      <c r="BZ14" s="178">
        <v>97</v>
      </c>
      <c r="CA14" s="178">
        <v>97</v>
      </c>
      <c r="CB14" s="178">
        <v>97</v>
      </c>
      <c r="CC14" s="178">
        <v>97</v>
      </c>
      <c r="CD14" s="178">
        <v>97</v>
      </c>
      <c r="CE14" s="178">
        <v>0</v>
      </c>
      <c r="CF14" s="178">
        <v>0</v>
      </c>
      <c r="CG14" s="178">
        <v>0</v>
      </c>
      <c r="CH14" s="178">
        <v>0</v>
      </c>
      <c r="CI14" s="178">
        <v>0</v>
      </c>
      <c r="CJ14" s="178">
        <v>0</v>
      </c>
      <c r="CK14" s="178">
        <v>0</v>
      </c>
      <c r="CL14" s="178">
        <v>0</v>
      </c>
      <c r="CM14" s="178">
        <v>0</v>
      </c>
      <c r="CN14" s="178">
        <v>98</v>
      </c>
      <c r="CO14" s="178">
        <v>97</v>
      </c>
      <c r="CP14" s="178">
        <v>98</v>
      </c>
      <c r="CQ14" s="178">
        <v>97</v>
      </c>
      <c r="CR14" s="178">
        <v>98</v>
      </c>
      <c r="CS14" s="178">
        <v>97</v>
      </c>
      <c r="CT14" s="178">
        <v>0</v>
      </c>
      <c r="CU14" s="178">
        <v>98</v>
      </c>
      <c r="CV14" s="178">
        <v>97</v>
      </c>
      <c r="CW14" s="178">
        <v>98</v>
      </c>
      <c r="CX14" s="178">
        <v>97</v>
      </c>
      <c r="CY14" s="178">
        <v>0</v>
      </c>
      <c r="CZ14" s="178">
        <v>1800</v>
      </c>
      <c r="DA14" s="178">
        <v>0</v>
      </c>
      <c r="DB14" s="178">
        <v>0</v>
      </c>
      <c r="DC14" s="178">
        <v>0</v>
      </c>
      <c r="DD14" s="178">
        <v>0</v>
      </c>
      <c r="DE14" s="178">
        <v>92</v>
      </c>
      <c r="DF14" s="178">
        <v>92</v>
      </c>
      <c r="DG14" s="178">
        <v>92</v>
      </c>
      <c r="DH14" s="178">
        <v>92</v>
      </c>
      <c r="DI14" s="178">
        <v>92</v>
      </c>
      <c r="DJ14" s="178">
        <v>0</v>
      </c>
      <c r="DK14" s="178">
        <v>92</v>
      </c>
      <c r="DL14" s="178">
        <v>92</v>
      </c>
      <c r="DM14" s="178">
        <v>92</v>
      </c>
      <c r="DN14" s="178">
        <v>92</v>
      </c>
      <c r="DO14" s="178">
        <v>92</v>
      </c>
      <c r="DP14" s="178">
        <v>0</v>
      </c>
      <c r="DQ14" s="178">
        <v>0</v>
      </c>
      <c r="DR14" s="178">
        <v>92</v>
      </c>
      <c r="DS14" s="178">
        <v>92</v>
      </c>
      <c r="DT14" s="178">
        <v>92</v>
      </c>
      <c r="DU14" s="178">
        <v>91</v>
      </c>
      <c r="DV14" s="178">
        <v>92</v>
      </c>
      <c r="DW14" s="178">
        <v>0</v>
      </c>
      <c r="DX14" s="178">
        <v>0</v>
      </c>
      <c r="DY14" s="178">
        <v>91</v>
      </c>
      <c r="DZ14" s="178">
        <v>92</v>
      </c>
      <c r="EA14" s="178">
        <v>91</v>
      </c>
      <c r="EB14" s="178">
        <v>92</v>
      </c>
      <c r="EC14" s="178">
        <v>91</v>
      </c>
      <c r="ED14" s="178">
        <v>0</v>
      </c>
      <c r="EE14" s="178">
        <v>0</v>
      </c>
      <c r="EF14" s="178">
        <v>1836</v>
      </c>
      <c r="EH14" s="157"/>
      <c r="EI14" s="136" t="b">
        <f t="shared" ref="EI14:EI21" si="0">EH14=A14</f>
        <v>0</v>
      </c>
    </row>
    <row r="15" ht="14.25" customHeight="1" spans="1:200" x14ac:dyDescent="0.25" outlineLevel="1" collapsed="1">
      <c r="A15" s="177" t="s">
        <v>247</v>
      </c>
      <c r="B15" s="177" t="s">
        <v>248</v>
      </c>
      <c r="C15" s="177" t="s">
        <v>173</v>
      </c>
      <c r="D15" s="177" t="s">
        <v>332</v>
      </c>
      <c r="E15" s="135"/>
      <c r="F15" s="177" t="s">
        <v>234</v>
      </c>
      <c r="G15" s="177" t="s">
        <v>235</v>
      </c>
      <c r="H15" s="178">
        <v>10</v>
      </c>
      <c r="I15" s="178">
        <v>0</v>
      </c>
      <c r="J15" s="178">
        <v>410</v>
      </c>
      <c r="K15" s="178">
        <v>430</v>
      </c>
      <c r="L15" s="178">
        <v>390</v>
      </c>
      <c r="M15" s="178">
        <v>400</v>
      </c>
      <c r="N15" s="178">
        <v>390</v>
      </c>
      <c r="O15" s="178">
        <v>0</v>
      </c>
      <c r="P15" s="178">
        <v>0</v>
      </c>
      <c r="Q15" s="178">
        <v>420</v>
      </c>
      <c r="R15" s="178">
        <v>390</v>
      </c>
      <c r="S15" s="178">
        <v>410</v>
      </c>
      <c r="T15" s="178">
        <v>410</v>
      </c>
      <c r="U15" s="178">
        <v>350</v>
      </c>
      <c r="V15" s="178">
        <v>420</v>
      </c>
      <c r="W15" s="178">
        <v>0</v>
      </c>
      <c r="X15" s="178">
        <v>320</v>
      </c>
      <c r="Y15" s="178">
        <v>360</v>
      </c>
      <c r="Z15" s="178">
        <v>380</v>
      </c>
      <c r="AA15" s="178">
        <v>340</v>
      </c>
      <c r="AB15" s="178">
        <v>350</v>
      </c>
      <c r="AC15" s="178">
        <v>0</v>
      </c>
      <c r="AD15" s="178">
        <v>0</v>
      </c>
      <c r="AE15" s="178">
        <v>330</v>
      </c>
      <c r="AF15" s="178">
        <v>350</v>
      </c>
      <c r="AG15" s="178">
        <v>350</v>
      </c>
      <c r="AH15" s="178">
        <v>340</v>
      </c>
      <c r="AI15" s="178">
        <v>340</v>
      </c>
      <c r="AJ15" s="178">
        <v>330</v>
      </c>
      <c r="AK15" s="178">
        <v>0</v>
      </c>
      <c r="AL15" s="178">
        <v>0</v>
      </c>
      <c r="AM15" s="178">
        <v>0</v>
      </c>
      <c r="AN15" s="178">
        <v>8210</v>
      </c>
      <c r="AO15" s="178">
        <v>0</v>
      </c>
      <c r="AP15" s="178">
        <v>0</v>
      </c>
      <c r="AQ15" s="178">
        <v>210</v>
      </c>
      <c r="AR15" s="178">
        <v>230</v>
      </c>
      <c r="AS15" s="178">
        <v>240</v>
      </c>
      <c r="AT15" s="178">
        <v>240</v>
      </c>
      <c r="AU15" s="178">
        <v>120</v>
      </c>
      <c r="AV15" s="178">
        <v>0</v>
      </c>
      <c r="AW15" s="178">
        <v>230</v>
      </c>
      <c r="AX15" s="178">
        <v>240</v>
      </c>
      <c r="AY15" s="178">
        <v>210</v>
      </c>
      <c r="AZ15" s="178">
        <v>240</v>
      </c>
      <c r="BA15" s="178">
        <v>250</v>
      </c>
      <c r="BB15" s="178">
        <v>230</v>
      </c>
      <c r="BC15" s="178">
        <v>0</v>
      </c>
      <c r="BD15" s="178">
        <v>230</v>
      </c>
      <c r="BE15" s="178">
        <v>240</v>
      </c>
      <c r="BF15" s="178">
        <v>230</v>
      </c>
      <c r="BG15" s="178">
        <v>240</v>
      </c>
      <c r="BH15" s="178">
        <v>230</v>
      </c>
      <c r="BI15" s="178">
        <v>0</v>
      </c>
      <c r="BJ15" s="178">
        <v>0</v>
      </c>
      <c r="BK15" s="178">
        <v>230</v>
      </c>
      <c r="BL15" s="178">
        <v>210</v>
      </c>
      <c r="BM15" s="178">
        <v>220</v>
      </c>
      <c r="BN15" s="178">
        <v>250</v>
      </c>
      <c r="BO15" s="178">
        <v>230</v>
      </c>
      <c r="BP15" s="178">
        <v>240</v>
      </c>
      <c r="BQ15" s="178">
        <v>0</v>
      </c>
      <c r="BR15" s="178">
        <v>240</v>
      </c>
      <c r="BS15" s="178">
        <v>200</v>
      </c>
      <c r="BT15" s="178">
        <v>5430</v>
      </c>
      <c r="BU15" s="178">
        <v>298</v>
      </c>
      <c r="BV15" s="178">
        <v>298</v>
      </c>
      <c r="BW15" s="178">
        <v>298</v>
      </c>
      <c r="BX15" s="178">
        <v>149</v>
      </c>
      <c r="BY15" s="178">
        <v>0</v>
      </c>
      <c r="BZ15" s="178">
        <v>298</v>
      </c>
      <c r="CA15" s="178">
        <v>299</v>
      </c>
      <c r="CB15" s="178">
        <v>298</v>
      </c>
      <c r="CC15" s="178">
        <v>299</v>
      </c>
      <c r="CD15" s="178">
        <v>298</v>
      </c>
      <c r="CE15" s="178">
        <v>0</v>
      </c>
      <c r="CF15" s="178">
        <v>0</v>
      </c>
      <c r="CG15" s="178">
        <v>0</v>
      </c>
      <c r="CH15" s="178">
        <v>0</v>
      </c>
      <c r="CI15" s="178">
        <v>0</v>
      </c>
      <c r="CJ15" s="178">
        <v>0</v>
      </c>
      <c r="CK15" s="178">
        <v>0</v>
      </c>
      <c r="CL15" s="178">
        <v>0</v>
      </c>
      <c r="CM15" s="178">
        <v>0</v>
      </c>
      <c r="CN15" s="178">
        <v>299</v>
      </c>
      <c r="CO15" s="178">
        <v>298</v>
      </c>
      <c r="CP15" s="178">
        <v>299</v>
      </c>
      <c r="CQ15" s="178">
        <v>298</v>
      </c>
      <c r="CR15" s="178">
        <v>299</v>
      </c>
      <c r="CS15" s="178">
        <v>298</v>
      </c>
      <c r="CT15" s="178">
        <v>0</v>
      </c>
      <c r="CU15" s="178">
        <v>299</v>
      </c>
      <c r="CV15" s="178">
        <v>298</v>
      </c>
      <c r="CW15" s="178">
        <v>299</v>
      </c>
      <c r="CX15" s="178">
        <v>298</v>
      </c>
      <c r="CY15" s="178">
        <v>0</v>
      </c>
      <c r="CZ15" s="178">
        <v>5520</v>
      </c>
      <c r="DA15" s="178">
        <v>0</v>
      </c>
      <c r="DB15" s="178">
        <v>0</v>
      </c>
      <c r="DC15" s="178">
        <v>0</v>
      </c>
      <c r="DD15" s="178">
        <v>0</v>
      </c>
      <c r="DE15" s="178">
        <v>259</v>
      </c>
      <c r="DF15" s="178">
        <v>258</v>
      </c>
      <c r="DG15" s="178">
        <v>259</v>
      </c>
      <c r="DH15" s="178">
        <v>258</v>
      </c>
      <c r="DI15" s="178">
        <v>259</v>
      </c>
      <c r="DJ15" s="178">
        <v>0</v>
      </c>
      <c r="DK15" s="178">
        <v>258</v>
      </c>
      <c r="DL15" s="178">
        <v>259</v>
      </c>
      <c r="DM15" s="178">
        <v>258</v>
      </c>
      <c r="DN15" s="178">
        <v>259</v>
      </c>
      <c r="DO15" s="178">
        <v>258</v>
      </c>
      <c r="DP15" s="178">
        <v>0</v>
      </c>
      <c r="DQ15" s="178">
        <v>0</v>
      </c>
      <c r="DR15" s="178">
        <v>259</v>
      </c>
      <c r="DS15" s="178">
        <v>258</v>
      </c>
      <c r="DT15" s="178">
        <v>259</v>
      </c>
      <c r="DU15" s="178">
        <v>258</v>
      </c>
      <c r="DV15" s="178">
        <v>259</v>
      </c>
      <c r="DW15" s="178">
        <v>0</v>
      </c>
      <c r="DX15" s="178">
        <v>0</v>
      </c>
      <c r="DY15" s="178">
        <v>258</v>
      </c>
      <c r="DZ15" s="178">
        <v>259</v>
      </c>
      <c r="EA15" s="178">
        <v>258</v>
      </c>
      <c r="EB15" s="178">
        <v>259</v>
      </c>
      <c r="EC15" s="178">
        <v>258</v>
      </c>
      <c r="ED15" s="178">
        <v>0</v>
      </c>
      <c r="EE15" s="178">
        <v>0</v>
      </c>
      <c r="EF15" s="178">
        <v>5170</v>
      </c>
      <c r="EH15" s="157"/>
      <c r="EI15" s="136" t="b">
        <f t="shared" si="0"/>
        <v>0</v>
      </c>
    </row>
    <row r="16" ht="14.25" customHeight="1" spans="1:200" x14ac:dyDescent="0.25" outlineLevel="1" collapsed="1">
      <c r="A16" s="177" t="s">
        <v>225</v>
      </c>
      <c r="B16" s="177" t="s">
        <v>259</v>
      </c>
      <c r="C16" s="177" t="s">
        <v>173</v>
      </c>
      <c r="D16" s="177" t="s">
        <v>332</v>
      </c>
      <c r="E16" s="135"/>
      <c r="F16" s="177" t="s">
        <v>234</v>
      </c>
      <c r="G16" s="177" t="s">
        <v>240</v>
      </c>
      <c r="H16" s="178">
        <v>15</v>
      </c>
      <c r="I16" s="178">
        <v>0</v>
      </c>
      <c r="J16" s="178">
        <v>90</v>
      </c>
      <c r="K16" s="178">
        <v>105</v>
      </c>
      <c r="L16" s="178">
        <v>120</v>
      </c>
      <c r="M16" s="178">
        <v>90</v>
      </c>
      <c r="N16" s="178">
        <v>135</v>
      </c>
      <c r="O16" s="178">
        <v>0</v>
      </c>
      <c r="P16" s="178">
        <v>0</v>
      </c>
      <c r="Q16" s="178">
        <v>120</v>
      </c>
      <c r="R16" s="178">
        <v>90</v>
      </c>
      <c r="S16" s="178">
        <v>135</v>
      </c>
      <c r="T16" s="178">
        <v>90</v>
      </c>
      <c r="U16" s="178">
        <v>120</v>
      </c>
      <c r="V16" s="178">
        <v>195</v>
      </c>
      <c r="W16" s="178">
        <v>0</v>
      </c>
      <c r="X16" s="178">
        <v>135</v>
      </c>
      <c r="Y16" s="178">
        <v>150</v>
      </c>
      <c r="Z16" s="178">
        <v>120</v>
      </c>
      <c r="AA16" s="178">
        <v>135</v>
      </c>
      <c r="AB16" s="178">
        <v>105</v>
      </c>
      <c r="AC16" s="178">
        <v>0</v>
      </c>
      <c r="AD16" s="178">
        <v>0</v>
      </c>
      <c r="AE16" s="178">
        <v>135</v>
      </c>
      <c r="AF16" s="178">
        <v>180</v>
      </c>
      <c r="AG16" s="178">
        <v>45</v>
      </c>
      <c r="AH16" s="178">
        <v>135</v>
      </c>
      <c r="AI16" s="178">
        <v>120</v>
      </c>
      <c r="AJ16" s="178">
        <v>120</v>
      </c>
      <c r="AK16" s="178">
        <v>0</v>
      </c>
      <c r="AL16" s="178">
        <v>0</v>
      </c>
      <c r="AM16" s="178">
        <v>0</v>
      </c>
      <c r="AN16" s="178">
        <v>2670</v>
      </c>
      <c r="AO16" s="178">
        <v>0</v>
      </c>
      <c r="AP16" s="178">
        <v>0</v>
      </c>
      <c r="AQ16" s="178">
        <v>120</v>
      </c>
      <c r="AR16" s="178">
        <v>105</v>
      </c>
      <c r="AS16" s="178">
        <v>150</v>
      </c>
      <c r="AT16" s="178">
        <v>60</v>
      </c>
      <c r="AU16" s="178">
        <v>45</v>
      </c>
      <c r="AV16" s="178">
        <v>0</v>
      </c>
      <c r="AW16" s="178">
        <v>135</v>
      </c>
      <c r="AX16" s="178">
        <v>120</v>
      </c>
      <c r="AY16" s="178">
        <v>90</v>
      </c>
      <c r="AZ16" s="178">
        <v>105</v>
      </c>
      <c r="BA16" s="178">
        <v>120</v>
      </c>
      <c r="BB16" s="178">
        <v>165</v>
      </c>
      <c r="BC16" s="178">
        <v>0</v>
      </c>
      <c r="BD16" s="178">
        <v>60</v>
      </c>
      <c r="BE16" s="178">
        <v>120</v>
      </c>
      <c r="BF16" s="178">
        <v>105</v>
      </c>
      <c r="BG16" s="178">
        <v>120</v>
      </c>
      <c r="BH16" s="178">
        <v>120</v>
      </c>
      <c r="BI16" s="178">
        <v>0</v>
      </c>
      <c r="BJ16" s="178">
        <v>0</v>
      </c>
      <c r="BK16" s="178">
        <v>165</v>
      </c>
      <c r="BL16" s="178">
        <v>120</v>
      </c>
      <c r="BM16" s="178">
        <v>120</v>
      </c>
      <c r="BN16" s="178">
        <v>90</v>
      </c>
      <c r="BO16" s="178">
        <v>105</v>
      </c>
      <c r="BP16" s="178">
        <v>120</v>
      </c>
      <c r="BQ16" s="178">
        <v>0</v>
      </c>
      <c r="BR16" s="178">
        <v>150</v>
      </c>
      <c r="BS16" s="178">
        <v>135</v>
      </c>
      <c r="BT16" s="178">
        <v>2745</v>
      </c>
      <c r="BU16" s="178">
        <v>208</v>
      </c>
      <c r="BV16" s="178">
        <v>208</v>
      </c>
      <c r="BW16" s="178">
        <v>208</v>
      </c>
      <c r="BX16" s="178">
        <v>104</v>
      </c>
      <c r="BY16" s="178">
        <v>0</v>
      </c>
      <c r="BZ16" s="178">
        <v>207</v>
      </c>
      <c r="CA16" s="178">
        <v>208</v>
      </c>
      <c r="CB16" s="178">
        <v>207</v>
      </c>
      <c r="CC16" s="178">
        <v>208</v>
      </c>
      <c r="CD16" s="178">
        <v>207</v>
      </c>
      <c r="CE16" s="178">
        <v>0</v>
      </c>
      <c r="CF16" s="178">
        <v>0</v>
      </c>
      <c r="CG16" s="178">
        <v>0</v>
      </c>
      <c r="CH16" s="178">
        <v>0</v>
      </c>
      <c r="CI16" s="178">
        <v>0</v>
      </c>
      <c r="CJ16" s="178">
        <v>0</v>
      </c>
      <c r="CK16" s="178">
        <v>0</v>
      </c>
      <c r="CL16" s="178">
        <v>0</v>
      </c>
      <c r="CM16" s="178">
        <v>0</v>
      </c>
      <c r="CN16" s="178">
        <v>208</v>
      </c>
      <c r="CO16" s="178">
        <v>207</v>
      </c>
      <c r="CP16" s="178">
        <v>208</v>
      </c>
      <c r="CQ16" s="178">
        <v>207</v>
      </c>
      <c r="CR16" s="178">
        <v>208</v>
      </c>
      <c r="CS16" s="178">
        <v>207</v>
      </c>
      <c r="CT16" s="178">
        <v>0</v>
      </c>
      <c r="CU16" s="178">
        <v>208</v>
      </c>
      <c r="CV16" s="178">
        <v>207</v>
      </c>
      <c r="CW16" s="178">
        <v>208</v>
      </c>
      <c r="CX16" s="178">
        <v>207</v>
      </c>
      <c r="CY16" s="178">
        <v>0</v>
      </c>
      <c r="CZ16" s="178">
        <v>3840</v>
      </c>
      <c r="DA16" s="178">
        <v>0</v>
      </c>
      <c r="DB16" s="178">
        <v>0</v>
      </c>
      <c r="DC16" s="178">
        <v>0</v>
      </c>
      <c r="DD16" s="178">
        <v>0</v>
      </c>
      <c r="DE16" s="178">
        <v>126</v>
      </c>
      <c r="DF16" s="178">
        <v>126</v>
      </c>
      <c r="DG16" s="178">
        <v>126</v>
      </c>
      <c r="DH16" s="178">
        <v>126</v>
      </c>
      <c r="DI16" s="178">
        <v>126</v>
      </c>
      <c r="DJ16" s="178">
        <v>0</v>
      </c>
      <c r="DK16" s="178">
        <v>126</v>
      </c>
      <c r="DL16" s="178">
        <v>126</v>
      </c>
      <c r="DM16" s="178">
        <v>126</v>
      </c>
      <c r="DN16" s="178">
        <v>126</v>
      </c>
      <c r="DO16" s="178">
        <v>126</v>
      </c>
      <c r="DP16" s="178">
        <v>0</v>
      </c>
      <c r="DQ16" s="178">
        <v>0</v>
      </c>
      <c r="DR16" s="178">
        <v>126</v>
      </c>
      <c r="DS16" s="178">
        <v>126</v>
      </c>
      <c r="DT16" s="178">
        <v>126</v>
      </c>
      <c r="DU16" s="178">
        <v>126</v>
      </c>
      <c r="DV16" s="178">
        <v>126</v>
      </c>
      <c r="DW16" s="178">
        <v>0</v>
      </c>
      <c r="DX16" s="178">
        <v>0</v>
      </c>
      <c r="DY16" s="178">
        <v>126</v>
      </c>
      <c r="DZ16" s="178">
        <v>126</v>
      </c>
      <c r="EA16" s="178">
        <v>126</v>
      </c>
      <c r="EB16" s="178">
        <v>126</v>
      </c>
      <c r="EC16" s="178">
        <v>126</v>
      </c>
      <c r="ED16" s="178">
        <v>0</v>
      </c>
      <c r="EE16" s="178">
        <v>0</v>
      </c>
      <c r="EF16" s="178">
        <v>2520</v>
      </c>
      <c r="EH16" s="2"/>
      <c r="EI16" s="136" t="b">
        <f t="shared" si="0"/>
        <v>0</v>
      </c>
    </row>
    <row r="17" ht="14.25" customHeight="1" spans="1:200" x14ac:dyDescent="0.25" outlineLevel="1" collapsed="1">
      <c r="A17" s="177" t="s">
        <v>225</v>
      </c>
      <c r="B17" s="177" t="s">
        <v>260</v>
      </c>
      <c r="C17" s="177" t="s">
        <v>173</v>
      </c>
      <c r="D17" s="177" t="s">
        <v>332</v>
      </c>
      <c r="E17" s="135"/>
      <c r="F17" s="177" t="s">
        <v>239</v>
      </c>
      <c r="G17" s="177" t="s">
        <v>240</v>
      </c>
      <c r="H17" s="178">
        <v>15</v>
      </c>
      <c r="I17" s="178">
        <v>0</v>
      </c>
      <c r="J17" s="178">
        <v>149</v>
      </c>
      <c r="K17" s="178">
        <v>148</v>
      </c>
      <c r="L17" s="178">
        <v>149</v>
      </c>
      <c r="M17" s="178">
        <v>158</v>
      </c>
      <c r="N17" s="178">
        <v>149</v>
      </c>
      <c r="O17" s="178">
        <v>0</v>
      </c>
      <c r="P17" s="178">
        <v>0</v>
      </c>
      <c r="Q17" s="178">
        <v>148</v>
      </c>
      <c r="R17" s="178">
        <v>149</v>
      </c>
      <c r="S17" s="178">
        <v>149</v>
      </c>
      <c r="T17" s="178">
        <v>148</v>
      </c>
      <c r="U17" s="178">
        <v>163</v>
      </c>
      <c r="V17" s="178">
        <v>149</v>
      </c>
      <c r="W17" s="178">
        <v>0</v>
      </c>
      <c r="X17" s="178">
        <v>148</v>
      </c>
      <c r="Y17" s="178">
        <v>149</v>
      </c>
      <c r="Z17" s="178">
        <v>148</v>
      </c>
      <c r="AA17" s="178">
        <v>149</v>
      </c>
      <c r="AB17" s="178">
        <v>149</v>
      </c>
      <c r="AC17" s="178">
        <v>0</v>
      </c>
      <c r="AD17" s="178">
        <v>0</v>
      </c>
      <c r="AE17" s="178">
        <v>158</v>
      </c>
      <c r="AF17" s="178">
        <v>149</v>
      </c>
      <c r="AG17" s="178">
        <v>148</v>
      </c>
      <c r="AH17" s="178">
        <v>149</v>
      </c>
      <c r="AI17" s="178">
        <v>148</v>
      </c>
      <c r="AJ17" s="178">
        <v>149</v>
      </c>
      <c r="AK17" s="178">
        <v>0</v>
      </c>
      <c r="AL17" s="178">
        <v>0</v>
      </c>
      <c r="AM17" s="178">
        <v>0</v>
      </c>
      <c r="AN17" s="178">
        <v>3303</v>
      </c>
      <c r="AO17" s="178">
        <v>0</v>
      </c>
      <c r="AP17" s="178">
        <v>0</v>
      </c>
      <c r="AQ17" s="178">
        <v>0</v>
      </c>
      <c r="AR17" s="178">
        <v>161</v>
      </c>
      <c r="AS17" s="178">
        <v>162</v>
      </c>
      <c r="AT17" s="178">
        <v>161</v>
      </c>
      <c r="AU17" s="178">
        <v>0</v>
      </c>
      <c r="AV17" s="178">
        <v>0</v>
      </c>
      <c r="AW17" s="178">
        <v>161</v>
      </c>
      <c r="AX17" s="178">
        <v>171</v>
      </c>
      <c r="AY17" s="178">
        <v>161</v>
      </c>
      <c r="AZ17" s="178">
        <v>170</v>
      </c>
      <c r="BA17" s="178">
        <v>161</v>
      </c>
      <c r="BB17" s="178">
        <v>142</v>
      </c>
      <c r="BC17" s="178">
        <v>0</v>
      </c>
      <c r="BD17" s="178">
        <v>161</v>
      </c>
      <c r="BE17" s="178">
        <v>170</v>
      </c>
      <c r="BF17" s="178">
        <v>161</v>
      </c>
      <c r="BG17" s="178">
        <v>161</v>
      </c>
      <c r="BH17" s="178">
        <v>161</v>
      </c>
      <c r="BI17" s="178">
        <v>0</v>
      </c>
      <c r="BJ17" s="178">
        <v>0</v>
      </c>
      <c r="BK17" s="178">
        <v>161</v>
      </c>
      <c r="BL17" s="178">
        <v>171</v>
      </c>
      <c r="BM17" s="178">
        <v>142</v>
      </c>
      <c r="BN17" s="178">
        <v>161</v>
      </c>
      <c r="BO17" s="178">
        <v>161</v>
      </c>
      <c r="BP17" s="178">
        <v>142</v>
      </c>
      <c r="BQ17" s="178">
        <v>0</v>
      </c>
      <c r="BR17" s="178">
        <v>161</v>
      </c>
      <c r="BS17" s="178">
        <v>142</v>
      </c>
      <c r="BT17" s="178">
        <v>3505</v>
      </c>
      <c r="BU17" s="178">
        <v>146</v>
      </c>
      <c r="BV17" s="178">
        <v>146</v>
      </c>
      <c r="BW17" s="178">
        <v>146</v>
      </c>
      <c r="BX17" s="178">
        <v>0</v>
      </c>
      <c r="BY17" s="178">
        <v>0</v>
      </c>
      <c r="BZ17" s="178">
        <v>146</v>
      </c>
      <c r="CA17" s="178">
        <v>146</v>
      </c>
      <c r="CB17" s="178">
        <v>146</v>
      </c>
      <c r="CC17" s="178">
        <v>146</v>
      </c>
      <c r="CD17" s="178">
        <v>146</v>
      </c>
      <c r="CE17" s="178">
        <v>0</v>
      </c>
      <c r="CF17" s="178">
        <v>0</v>
      </c>
      <c r="CG17" s="178">
        <v>0</v>
      </c>
      <c r="CH17" s="178">
        <v>0</v>
      </c>
      <c r="CI17" s="178">
        <v>0</v>
      </c>
      <c r="CJ17" s="178">
        <v>0</v>
      </c>
      <c r="CK17" s="178">
        <v>0</v>
      </c>
      <c r="CL17" s="178">
        <v>0</v>
      </c>
      <c r="CM17" s="178">
        <v>0</v>
      </c>
      <c r="CN17" s="178">
        <v>146</v>
      </c>
      <c r="CO17" s="178">
        <v>146</v>
      </c>
      <c r="CP17" s="178">
        <v>146</v>
      </c>
      <c r="CQ17" s="178">
        <v>146</v>
      </c>
      <c r="CR17" s="178">
        <v>146</v>
      </c>
      <c r="CS17" s="178">
        <v>146</v>
      </c>
      <c r="CT17" s="178">
        <v>0</v>
      </c>
      <c r="CU17" s="178">
        <v>146</v>
      </c>
      <c r="CV17" s="178">
        <v>145</v>
      </c>
      <c r="CW17" s="178">
        <v>146</v>
      </c>
      <c r="CX17" s="178">
        <v>145</v>
      </c>
      <c r="CY17" s="178">
        <v>0</v>
      </c>
      <c r="CZ17" s="178">
        <v>2626</v>
      </c>
      <c r="DA17" s="178">
        <v>0</v>
      </c>
      <c r="DB17" s="178">
        <v>0</v>
      </c>
      <c r="DC17" s="178">
        <v>0</v>
      </c>
      <c r="DD17" s="178">
        <v>0</v>
      </c>
      <c r="DE17" s="178">
        <v>142</v>
      </c>
      <c r="DF17" s="178">
        <v>142</v>
      </c>
      <c r="DG17" s="178">
        <v>142</v>
      </c>
      <c r="DH17" s="178">
        <v>141</v>
      </c>
      <c r="DI17" s="178">
        <v>142</v>
      </c>
      <c r="DJ17" s="178">
        <v>0</v>
      </c>
      <c r="DK17" s="178">
        <v>141</v>
      </c>
      <c r="DL17" s="178">
        <v>142</v>
      </c>
      <c r="DM17" s="178">
        <v>141</v>
      </c>
      <c r="DN17" s="178">
        <v>142</v>
      </c>
      <c r="DO17" s="178">
        <v>141</v>
      </c>
      <c r="DP17" s="178">
        <v>0</v>
      </c>
      <c r="DQ17" s="178">
        <v>0</v>
      </c>
      <c r="DR17" s="178">
        <v>142</v>
      </c>
      <c r="DS17" s="178">
        <v>141</v>
      </c>
      <c r="DT17" s="178">
        <v>142</v>
      </c>
      <c r="DU17" s="178">
        <v>141</v>
      </c>
      <c r="DV17" s="178">
        <v>142</v>
      </c>
      <c r="DW17" s="178">
        <v>0</v>
      </c>
      <c r="DX17" s="178">
        <v>0</v>
      </c>
      <c r="DY17" s="178">
        <v>141</v>
      </c>
      <c r="DZ17" s="178">
        <v>142</v>
      </c>
      <c r="EA17" s="178">
        <v>141</v>
      </c>
      <c r="EB17" s="178">
        <v>142</v>
      </c>
      <c r="EC17" s="178">
        <v>141</v>
      </c>
      <c r="ED17" s="178">
        <v>0</v>
      </c>
      <c r="EE17" s="178">
        <v>0</v>
      </c>
      <c r="EF17" s="178">
        <v>2831</v>
      </c>
      <c r="EH17" s="2"/>
      <c r="EI17" s="136" t="b">
        <f t="shared" si="0"/>
        <v>0</v>
      </c>
    </row>
    <row r="18" ht="15.75" customHeight="1" spans="1:200" x14ac:dyDescent="0.25" outlineLevel="1" collapsed="1">
      <c r="A18" s="177" t="s">
        <v>263</v>
      </c>
      <c r="B18" s="177" t="s">
        <v>264</v>
      </c>
      <c r="C18" s="177" t="s">
        <v>173</v>
      </c>
      <c r="D18" s="177" t="s">
        <v>332</v>
      </c>
      <c r="E18" s="177" t="s">
        <v>343</v>
      </c>
      <c r="F18" s="177" t="s">
        <v>239</v>
      </c>
      <c r="G18" s="177" t="s">
        <v>240</v>
      </c>
      <c r="H18" s="178">
        <v>6</v>
      </c>
      <c r="I18" s="178">
        <v>0</v>
      </c>
      <c r="J18" s="178">
        <v>61</v>
      </c>
      <c r="K18" s="178">
        <v>60</v>
      </c>
      <c r="L18" s="178">
        <v>60</v>
      </c>
      <c r="M18" s="178">
        <v>62</v>
      </c>
      <c r="N18" s="178">
        <v>61</v>
      </c>
      <c r="O18" s="178">
        <v>0</v>
      </c>
      <c r="P18" s="178">
        <v>0</v>
      </c>
      <c r="Q18" s="178">
        <v>60</v>
      </c>
      <c r="R18" s="178">
        <v>61</v>
      </c>
      <c r="S18" s="178">
        <v>60</v>
      </c>
      <c r="T18" s="178">
        <v>60</v>
      </c>
      <c r="U18" s="178">
        <v>65</v>
      </c>
      <c r="V18" s="178">
        <v>61</v>
      </c>
      <c r="W18" s="178">
        <v>0</v>
      </c>
      <c r="X18" s="178">
        <v>60</v>
      </c>
      <c r="Y18" s="178">
        <v>60</v>
      </c>
      <c r="Z18" s="178">
        <v>60</v>
      </c>
      <c r="AA18" s="178">
        <v>60</v>
      </c>
      <c r="AB18" s="178">
        <v>61</v>
      </c>
      <c r="AC18" s="178">
        <v>0</v>
      </c>
      <c r="AD18" s="178">
        <v>0</v>
      </c>
      <c r="AE18" s="178">
        <v>62</v>
      </c>
      <c r="AF18" s="178">
        <v>61</v>
      </c>
      <c r="AG18" s="178">
        <v>59</v>
      </c>
      <c r="AH18" s="178">
        <v>61</v>
      </c>
      <c r="AI18" s="178">
        <v>59</v>
      </c>
      <c r="AJ18" s="178">
        <v>61</v>
      </c>
      <c r="AK18" s="178">
        <v>0</v>
      </c>
      <c r="AL18" s="178">
        <v>0</v>
      </c>
      <c r="AM18" s="178">
        <v>0</v>
      </c>
      <c r="AN18" s="178">
        <v>1335</v>
      </c>
      <c r="AO18" s="178">
        <v>0</v>
      </c>
      <c r="AP18" s="178">
        <v>0</v>
      </c>
      <c r="AQ18" s="178">
        <v>0</v>
      </c>
      <c r="AR18" s="178">
        <v>81</v>
      </c>
      <c r="AS18" s="178">
        <v>81</v>
      </c>
      <c r="AT18" s="178">
        <v>82</v>
      </c>
      <c r="AU18" s="178">
        <v>0</v>
      </c>
      <c r="AV18" s="178">
        <v>0</v>
      </c>
      <c r="AW18" s="178">
        <v>81</v>
      </c>
      <c r="AX18" s="178">
        <v>86</v>
      </c>
      <c r="AY18" s="178">
        <v>81</v>
      </c>
      <c r="AZ18" s="178">
        <v>87</v>
      </c>
      <c r="BA18" s="178">
        <v>80</v>
      </c>
      <c r="BB18" s="178">
        <v>72</v>
      </c>
      <c r="BC18" s="178">
        <v>0</v>
      </c>
      <c r="BD18" s="178">
        <v>81</v>
      </c>
      <c r="BE18" s="178">
        <v>86</v>
      </c>
      <c r="BF18" s="178">
        <v>81</v>
      </c>
      <c r="BG18" s="178">
        <v>81</v>
      </c>
      <c r="BH18" s="178">
        <v>82</v>
      </c>
      <c r="BI18" s="178">
        <v>0</v>
      </c>
      <c r="BJ18" s="178">
        <v>0</v>
      </c>
      <c r="BK18" s="178">
        <v>80</v>
      </c>
      <c r="BL18" s="178">
        <v>87</v>
      </c>
      <c r="BM18" s="178">
        <v>71</v>
      </c>
      <c r="BN18" s="178">
        <v>82</v>
      </c>
      <c r="BO18" s="178">
        <v>80</v>
      </c>
      <c r="BP18" s="178">
        <v>72</v>
      </c>
      <c r="BQ18" s="178">
        <v>0</v>
      </c>
      <c r="BR18" s="178">
        <v>81</v>
      </c>
      <c r="BS18" s="178">
        <v>72</v>
      </c>
      <c r="BT18" s="178">
        <v>1767</v>
      </c>
      <c r="BU18" s="178">
        <v>67</v>
      </c>
      <c r="BV18" s="178">
        <v>67</v>
      </c>
      <c r="BW18" s="178">
        <v>67</v>
      </c>
      <c r="BX18" s="178">
        <v>0</v>
      </c>
      <c r="BY18" s="178">
        <v>0</v>
      </c>
      <c r="BZ18" s="178">
        <v>67</v>
      </c>
      <c r="CA18" s="178">
        <v>67</v>
      </c>
      <c r="CB18" s="178">
        <v>67</v>
      </c>
      <c r="CC18" s="178">
        <v>67</v>
      </c>
      <c r="CD18" s="178">
        <v>66</v>
      </c>
      <c r="CE18" s="178">
        <v>0</v>
      </c>
      <c r="CF18" s="178">
        <v>0</v>
      </c>
      <c r="CG18" s="178">
        <v>0</v>
      </c>
      <c r="CH18" s="178">
        <v>0</v>
      </c>
      <c r="CI18" s="178">
        <v>0</v>
      </c>
      <c r="CJ18" s="178">
        <v>0</v>
      </c>
      <c r="CK18" s="178">
        <v>0</v>
      </c>
      <c r="CL18" s="178">
        <v>0</v>
      </c>
      <c r="CM18" s="178">
        <v>0</v>
      </c>
      <c r="CN18" s="178">
        <v>67</v>
      </c>
      <c r="CO18" s="178">
        <v>66</v>
      </c>
      <c r="CP18" s="178">
        <v>67</v>
      </c>
      <c r="CQ18" s="178">
        <v>66</v>
      </c>
      <c r="CR18" s="178">
        <v>67</v>
      </c>
      <c r="CS18" s="178">
        <v>66</v>
      </c>
      <c r="CT18" s="178">
        <v>0</v>
      </c>
      <c r="CU18" s="178">
        <v>67</v>
      </c>
      <c r="CV18" s="178">
        <v>66</v>
      </c>
      <c r="CW18" s="178">
        <v>67</v>
      </c>
      <c r="CX18" s="178">
        <v>66</v>
      </c>
      <c r="CY18" s="178">
        <v>0</v>
      </c>
      <c r="CZ18" s="178">
        <v>1200</v>
      </c>
      <c r="DA18" s="178">
        <v>0</v>
      </c>
      <c r="DB18" s="178">
        <v>0</v>
      </c>
      <c r="DC18" s="178">
        <v>0</v>
      </c>
      <c r="DD18" s="178">
        <v>0</v>
      </c>
      <c r="DE18" s="178">
        <v>71</v>
      </c>
      <c r="DF18" s="178">
        <v>71</v>
      </c>
      <c r="DG18" s="178">
        <v>71</v>
      </c>
      <c r="DH18" s="178">
        <v>71</v>
      </c>
      <c r="DI18" s="178">
        <v>71</v>
      </c>
      <c r="DJ18" s="178">
        <v>0</v>
      </c>
      <c r="DK18" s="178">
        <v>71</v>
      </c>
      <c r="DL18" s="178">
        <v>71</v>
      </c>
      <c r="DM18" s="178">
        <v>71</v>
      </c>
      <c r="DN18" s="178">
        <v>71</v>
      </c>
      <c r="DO18" s="178">
        <v>71</v>
      </c>
      <c r="DP18" s="178">
        <v>0</v>
      </c>
      <c r="DQ18" s="178">
        <v>0</v>
      </c>
      <c r="DR18" s="178">
        <v>72</v>
      </c>
      <c r="DS18" s="178">
        <v>71</v>
      </c>
      <c r="DT18" s="178">
        <v>72</v>
      </c>
      <c r="DU18" s="178">
        <v>71</v>
      </c>
      <c r="DV18" s="178">
        <v>72</v>
      </c>
      <c r="DW18" s="178">
        <v>0</v>
      </c>
      <c r="DX18" s="178">
        <v>0</v>
      </c>
      <c r="DY18" s="178">
        <v>71</v>
      </c>
      <c r="DZ18" s="178">
        <v>72</v>
      </c>
      <c r="EA18" s="178">
        <v>71</v>
      </c>
      <c r="EB18" s="178">
        <v>72</v>
      </c>
      <c r="EC18" s="178">
        <v>71</v>
      </c>
      <c r="ED18" s="178">
        <v>0</v>
      </c>
      <c r="EE18" s="178">
        <v>0</v>
      </c>
      <c r="EF18" s="178">
        <v>1425</v>
      </c>
      <c r="EH18" s="2"/>
      <c r="EI18" s="136" t="b">
        <f t="shared" si="0"/>
        <v>0</v>
      </c>
    </row>
    <row r="19" ht="14.25" customHeight="1" spans="1:200" x14ac:dyDescent="0.25" outlineLevel="1" collapsed="1">
      <c r="A19" s="177" t="s">
        <v>251</v>
      </c>
      <c r="B19" s="177" t="s">
        <v>252</v>
      </c>
      <c r="C19" s="177" t="s">
        <v>173</v>
      </c>
      <c r="D19" s="177" t="s">
        <v>332</v>
      </c>
      <c r="E19" s="177"/>
      <c r="F19" s="177" t="s">
        <v>239</v>
      </c>
      <c r="G19" s="177" t="s">
        <v>253</v>
      </c>
      <c r="H19" s="178">
        <v>21</v>
      </c>
      <c r="I19" s="178">
        <v>0</v>
      </c>
      <c r="J19" s="178">
        <v>254</v>
      </c>
      <c r="K19" s="178">
        <v>254</v>
      </c>
      <c r="L19" s="178">
        <v>254</v>
      </c>
      <c r="M19" s="178">
        <v>270</v>
      </c>
      <c r="N19" s="178">
        <v>255</v>
      </c>
      <c r="O19" s="178">
        <v>0</v>
      </c>
      <c r="P19" s="178">
        <v>0</v>
      </c>
      <c r="Q19" s="178">
        <v>258</v>
      </c>
      <c r="R19" s="178">
        <v>251</v>
      </c>
      <c r="S19" s="178">
        <v>256</v>
      </c>
      <c r="T19" s="178">
        <v>252</v>
      </c>
      <c r="U19" s="178">
        <v>278</v>
      </c>
      <c r="V19" s="178">
        <v>259</v>
      </c>
      <c r="W19" s="178">
        <v>0</v>
      </c>
      <c r="X19" s="178">
        <v>251</v>
      </c>
      <c r="Y19" s="178">
        <v>255</v>
      </c>
      <c r="Z19" s="178">
        <v>255</v>
      </c>
      <c r="AA19" s="178">
        <v>253</v>
      </c>
      <c r="AB19" s="178">
        <v>253</v>
      </c>
      <c r="AC19" s="178">
        <v>0</v>
      </c>
      <c r="AD19" s="178">
        <v>0</v>
      </c>
      <c r="AE19" s="178">
        <v>274</v>
      </c>
      <c r="AF19" s="178">
        <v>253</v>
      </c>
      <c r="AG19" s="178">
        <v>256</v>
      </c>
      <c r="AH19" s="178">
        <v>253</v>
      </c>
      <c r="AI19" s="178">
        <v>254</v>
      </c>
      <c r="AJ19" s="178">
        <v>253</v>
      </c>
      <c r="AK19" s="178">
        <v>0</v>
      </c>
      <c r="AL19" s="178">
        <v>0</v>
      </c>
      <c r="AM19" s="178">
        <v>0</v>
      </c>
      <c r="AN19" s="178">
        <v>5651</v>
      </c>
      <c r="AO19" s="178">
        <v>0</v>
      </c>
      <c r="AP19" s="178">
        <v>0</v>
      </c>
      <c r="AQ19" s="178">
        <v>0</v>
      </c>
      <c r="AR19" s="178">
        <v>321</v>
      </c>
      <c r="AS19" s="178">
        <v>325</v>
      </c>
      <c r="AT19" s="178">
        <v>322</v>
      </c>
      <c r="AU19" s="178">
        <v>0</v>
      </c>
      <c r="AV19" s="178">
        <v>0</v>
      </c>
      <c r="AW19" s="178">
        <v>324</v>
      </c>
      <c r="AX19" s="178">
        <v>341</v>
      </c>
      <c r="AY19" s="178">
        <v>325</v>
      </c>
      <c r="AZ19" s="178">
        <v>342</v>
      </c>
      <c r="BA19" s="178">
        <v>322</v>
      </c>
      <c r="BB19" s="178">
        <v>288</v>
      </c>
      <c r="BC19" s="178">
        <v>0</v>
      </c>
      <c r="BD19" s="178">
        <v>324</v>
      </c>
      <c r="BE19" s="178">
        <v>344</v>
      </c>
      <c r="BF19" s="178">
        <v>324</v>
      </c>
      <c r="BG19" s="178">
        <v>322</v>
      </c>
      <c r="BH19" s="178">
        <v>323</v>
      </c>
      <c r="BI19" s="178">
        <v>0</v>
      </c>
      <c r="BJ19" s="178">
        <v>0</v>
      </c>
      <c r="BK19" s="178">
        <v>324</v>
      </c>
      <c r="BL19" s="178">
        <v>343</v>
      </c>
      <c r="BM19" s="178">
        <v>286</v>
      </c>
      <c r="BN19" s="178">
        <v>323</v>
      </c>
      <c r="BO19" s="178">
        <v>325</v>
      </c>
      <c r="BP19" s="178">
        <v>286</v>
      </c>
      <c r="BQ19" s="178">
        <v>0</v>
      </c>
      <c r="BR19" s="178">
        <v>327</v>
      </c>
      <c r="BS19" s="178">
        <v>283</v>
      </c>
      <c r="BT19" s="178">
        <v>7044</v>
      </c>
      <c r="BU19" s="178">
        <v>290</v>
      </c>
      <c r="BV19" s="178">
        <v>290</v>
      </c>
      <c r="BW19" s="178">
        <v>290</v>
      </c>
      <c r="BX19" s="178">
        <v>0</v>
      </c>
      <c r="BY19" s="178">
        <v>0</v>
      </c>
      <c r="BZ19" s="178">
        <v>290</v>
      </c>
      <c r="CA19" s="178">
        <v>290</v>
      </c>
      <c r="CB19" s="178">
        <v>290</v>
      </c>
      <c r="CC19" s="178">
        <v>290</v>
      </c>
      <c r="CD19" s="178">
        <v>290</v>
      </c>
      <c r="CE19" s="178">
        <v>0</v>
      </c>
      <c r="CF19" s="178">
        <v>0</v>
      </c>
      <c r="CG19" s="178">
        <v>0</v>
      </c>
      <c r="CH19" s="178">
        <v>0</v>
      </c>
      <c r="CI19" s="178">
        <v>0</v>
      </c>
      <c r="CJ19" s="178">
        <v>0</v>
      </c>
      <c r="CK19" s="178">
        <v>0</v>
      </c>
      <c r="CL19" s="178">
        <v>0</v>
      </c>
      <c r="CM19" s="178">
        <v>0</v>
      </c>
      <c r="CN19" s="178">
        <v>290</v>
      </c>
      <c r="CO19" s="178">
        <v>290</v>
      </c>
      <c r="CP19" s="178">
        <v>291</v>
      </c>
      <c r="CQ19" s="178">
        <v>290</v>
      </c>
      <c r="CR19" s="178">
        <v>291</v>
      </c>
      <c r="CS19" s="178">
        <v>290</v>
      </c>
      <c r="CT19" s="178">
        <v>0</v>
      </c>
      <c r="CU19" s="178">
        <v>291</v>
      </c>
      <c r="CV19" s="178">
        <v>290</v>
      </c>
      <c r="CW19" s="178">
        <v>291</v>
      </c>
      <c r="CX19" s="178">
        <v>290</v>
      </c>
      <c r="CY19" s="178">
        <v>0</v>
      </c>
      <c r="CZ19" s="178">
        <v>5224</v>
      </c>
      <c r="DA19" s="178">
        <v>0</v>
      </c>
      <c r="DB19" s="178">
        <v>0</v>
      </c>
      <c r="DC19" s="178">
        <v>0</v>
      </c>
      <c r="DD19" s="178">
        <v>0</v>
      </c>
      <c r="DE19" s="178">
        <v>396</v>
      </c>
      <c r="DF19" s="178">
        <v>396</v>
      </c>
      <c r="DG19" s="178">
        <v>396</v>
      </c>
      <c r="DH19" s="178">
        <v>396</v>
      </c>
      <c r="DI19" s="178">
        <v>396</v>
      </c>
      <c r="DJ19" s="178">
        <v>0</v>
      </c>
      <c r="DK19" s="178">
        <v>395</v>
      </c>
      <c r="DL19" s="178">
        <v>396</v>
      </c>
      <c r="DM19" s="178">
        <v>395</v>
      </c>
      <c r="DN19" s="178">
        <v>396</v>
      </c>
      <c r="DO19" s="178">
        <v>395</v>
      </c>
      <c r="DP19" s="178">
        <v>0</v>
      </c>
      <c r="DQ19" s="178">
        <v>0</v>
      </c>
      <c r="DR19" s="178">
        <v>396</v>
      </c>
      <c r="DS19" s="178">
        <v>395</v>
      </c>
      <c r="DT19" s="178">
        <v>396</v>
      </c>
      <c r="DU19" s="178">
        <v>395</v>
      </c>
      <c r="DV19" s="178">
        <v>396</v>
      </c>
      <c r="DW19" s="178">
        <v>0</v>
      </c>
      <c r="DX19" s="178">
        <v>0</v>
      </c>
      <c r="DY19" s="178">
        <v>395</v>
      </c>
      <c r="DZ19" s="178">
        <v>396</v>
      </c>
      <c r="EA19" s="178">
        <v>395</v>
      </c>
      <c r="EB19" s="178">
        <v>396</v>
      </c>
      <c r="EC19" s="178">
        <v>395</v>
      </c>
      <c r="ED19" s="178">
        <v>0</v>
      </c>
      <c r="EE19" s="178">
        <v>0</v>
      </c>
      <c r="EF19" s="178">
        <v>7912</v>
      </c>
      <c r="EH19" s="2"/>
      <c r="EI19" s="136" t="b">
        <f t="shared" si="0"/>
        <v>1</v>
      </c>
    </row>
    <row r="20" ht="14.25" customHeight="1" spans="1:200" x14ac:dyDescent="0.25" outlineLevel="1" collapsed="1">
      <c r="A20" s="177" t="s">
        <v>256</v>
      </c>
      <c r="B20" s="177" t="s">
        <v>257</v>
      </c>
      <c r="C20" s="177" t="s">
        <v>173</v>
      </c>
      <c r="D20" s="177" t="s">
        <v>332</v>
      </c>
      <c r="E20" s="177" t="s">
        <v>343</v>
      </c>
      <c r="F20" s="177" t="s">
        <v>239</v>
      </c>
      <c r="G20" s="177" t="s">
        <v>253</v>
      </c>
      <c r="H20" s="178">
        <v>8</v>
      </c>
      <c r="I20" s="178">
        <v>0</v>
      </c>
      <c r="J20" s="178">
        <v>34</v>
      </c>
      <c r="K20" s="178">
        <v>36</v>
      </c>
      <c r="L20" s="178">
        <v>35</v>
      </c>
      <c r="M20" s="178">
        <v>36</v>
      </c>
      <c r="N20" s="178">
        <v>36</v>
      </c>
      <c r="O20" s="178">
        <v>0</v>
      </c>
      <c r="P20" s="178">
        <v>0</v>
      </c>
      <c r="Q20" s="178">
        <v>33</v>
      </c>
      <c r="R20" s="178">
        <v>35</v>
      </c>
      <c r="S20" s="178">
        <v>36</v>
      </c>
      <c r="T20" s="178">
        <v>34</v>
      </c>
      <c r="U20" s="178">
        <v>38</v>
      </c>
      <c r="V20" s="178">
        <v>35</v>
      </c>
      <c r="W20" s="178">
        <v>0</v>
      </c>
      <c r="X20" s="178">
        <v>35</v>
      </c>
      <c r="Y20" s="178">
        <v>34</v>
      </c>
      <c r="Z20" s="178">
        <v>35</v>
      </c>
      <c r="AA20" s="178">
        <v>35</v>
      </c>
      <c r="AB20" s="178">
        <v>35</v>
      </c>
      <c r="AC20" s="178">
        <v>0</v>
      </c>
      <c r="AD20" s="178">
        <v>0</v>
      </c>
      <c r="AE20" s="178">
        <v>36</v>
      </c>
      <c r="AF20" s="178">
        <v>35</v>
      </c>
      <c r="AG20" s="178">
        <v>34</v>
      </c>
      <c r="AH20" s="178">
        <v>35</v>
      </c>
      <c r="AI20" s="178">
        <v>35</v>
      </c>
      <c r="AJ20" s="178">
        <v>35</v>
      </c>
      <c r="AK20" s="178">
        <v>0</v>
      </c>
      <c r="AL20" s="178">
        <v>0</v>
      </c>
      <c r="AM20" s="178">
        <v>0</v>
      </c>
      <c r="AN20" s="178">
        <v>772</v>
      </c>
      <c r="AO20" s="178">
        <v>0</v>
      </c>
      <c r="AP20" s="178">
        <v>0</v>
      </c>
      <c r="AQ20" s="178">
        <v>0</v>
      </c>
      <c r="AR20" s="178">
        <v>64</v>
      </c>
      <c r="AS20" s="178">
        <v>63</v>
      </c>
      <c r="AT20" s="178">
        <v>64</v>
      </c>
      <c r="AU20" s="178">
        <v>0</v>
      </c>
      <c r="AV20" s="178">
        <v>0</v>
      </c>
      <c r="AW20" s="178">
        <v>64</v>
      </c>
      <c r="AX20" s="178">
        <v>67</v>
      </c>
      <c r="AY20" s="178">
        <v>64</v>
      </c>
      <c r="AZ20" s="178">
        <v>67</v>
      </c>
      <c r="BA20" s="178">
        <v>64</v>
      </c>
      <c r="BB20" s="178">
        <v>57</v>
      </c>
      <c r="BC20" s="178">
        <v>0</v>
      </c>
      <c r="BD20" s="178">
        <v>64</v>
      </c>
      <c r="BE20" s="178">
        <v>67</v>
      </c>
      <c r="BF20" s="178">
        <v>64</v>
      </c>
      <c r="BG20" s="178">
        <v>64</v>
      </c>
      <c r="BH20" s="178">
        <v>64</v>
      </c>
      <c r="BI20" s="178">
        <v>0</v>
      </c>
      <c r="BJ20" s="178">
        <v>0</v>
      </c>
      <c r="BK20" s="178">
        <v>63</v>
      </c>
      <c r="BL20" s="178">
        <v>68</v>
      </c>
      <c r="BM20" s="178">
        <v>55</v>
      </c>
      <c r="BN20" s="178">
        <v>65</v>
      </c>
      <c r="BO20" s="178">
        <v>63</v>
      </c>
      <c r="BP20" s="178">
        <v>57</v>
      </c>
      <c r="BQ20" s="178">
        <v>0</v>
      </c>
      <c r="BR20" s="178">
        <v>64</v>
      </c>
      <c r="BS20" s="178">
        <v>56</v>
      </c>
      <c r="BT20" s="178">
        <v>1388</v>
      </c>
      <c r="BU20" s="178">
        <v>41</v>
      </c>
      <c r="BV20" s="178">
        <v>41</v>
      </c>
      <c r="BW20" s="178">
        <v>41</v>
      </c>
      <c r="BX20" s="178">
        <v>0</v>
      </c>
      <c r="BY20" s="178">
        <v>0</v>
      </c>
      <c r="BZ20" s="178">
        <v>41</v>
      </c>
      <c r="CA20" s="178">
        <v>41</v>
      </c>
      <c r="CB20" s="178">
        <v>41</v>
      </c>
      <c r="CC20" s="178">
        <v>41</v>
      </c>
      <c r="CD20" s="178">
        <v>41</v>
      </c>
      <c r="CE20" s="178">
        <v>0</v>
      </c>
      <c r="CF20" s="178">
        <v>0</v>
      </c>
      <c r="CG20" s="178">
        <v>0</v>
      </c>
      <c r="CH20" s="178">
        <v>0</v>
      </c>
      <c r="CI20" s="178">
        <v>0</v>
      </c>
      <c r="CJ20" s="178">
        <v>0</v>
      </c>
      <c r="CK20" s="178">
        <v>0</v>
      </c>
      <c r="CL20" s="178">
        <v>0</v>
      </c>
      <c r="CM20" s="178">
        <v>0</v>
      </c>
      <c r="CN20" s="178">
        <v>41</v>
      </c>
      <c r="CO20" s="178">
        <v>40</v>
      </c>
      <c r="CP20" s="178">
        <v>41</v>
      </c>
      <c r="CQ20" s="178">
        <v>40</v>
      </c>
      <c r="CR20" s="178">
        <v>41</v>
      </c>
      <c r="CS20" s="178">
        <v>40</v>
      </c>
      <c r="CT20" s="178">
        <v>0</v>
      </c>
      <c r="CU20" s="178">
        <v>41</v>
      </c>
      <c r="CV20" s="178">
        <v>40</v>
      </c>
      <c r="CW20" s="178">
        <v>41</v>
      </c>
      <c r="CX20" s="178">
        <v>40</v>
      </c>
      <c r="CY20" s="178">
        <v>0</v>
      </c>
      <c r="CZ20" s="178">
        <v>733</v>
      </c>
      <c r="DA20" s="178">
        <v>0</v>
      </c>
      <c r="DB20" s="178">
        <v>0</v>
      </c>
      <c r="DC20" s="178">
        <v>0</v>
      </c>
      <c r="DD20" s="178">
        <v>0</v>
      </c>
      <c r="DE20" s="178">
        <v>68</v>
      </c>
      <c r="DF20" s="178">
        <v>68</v>
      </c>
      <c r="DG20" s="178">
        <v>68</v>
      </c>
      <c r="DH20" s="178">
        <v>68</v>
      </c>
      <c r="DI20" s="178">
        <v>68</v>
      </c>
      <c r="DJ20" s="178">
        <v>0</v>
      </c>
      <c r="DK20" s="178">
        <v>68</v>
      </c>
      <c r="DL20" s="178">
        <v>68</v>
      </c>
      <c r="DM20" s="178">
        <v>67</v>
      </c>
      <c r="DN20" s="178">
        <v>68</v>
      </c>
      <c r="DO20" s="178">
        <v>67</v>
      </c>
      <c r="DP20" s="178">
        <v>0</v>
      </c>
      <c r="DQ20" s="178">
        <v>0</v>
      </c>
      <c r="DR20" s="178">
        <v>68</v>
      </c>
      <c r="DS20" s="178">
        <v>67</v>
      </c>
      <c r="DT20" s="178">
        <v>68</v>
      </c>
      <c r="DU20" s="178">
        <v>67</v>
      </c>
      <c r="DV20" s="178">
        <v>68</v>
      </c>
      <c r="DW20" s="178">
        <v>0</v>
      </c>
      <c r="DX20" s="178">
        <v>0</v>
      </c>
      <c r="DY20" s="178">
        <v>67</v>
      </c>
      <c r="DZ20" s="178">
        <v>68</v>
      </c>
      <c r="EA20" s="178">
        <v>67</v>
      </c>
      <c r="EB20" s="178">
        <v>68</v>
      </c>
      <c r="EC20" s="178">
        <v>67</v>
      </c>
      <c r="ED20" s="178">
        <v>0</v>
      </c>
      <c r="EE20" s="178">
        <v>0</v>
      </c>
      <c r="EF20" s="178">
        <v>1353</v>
      </c>
      <c r="EG20" s="185"/>
      <c r="EH20" s="2"/>
      <c r="EI20" s="136" t="b">
        <f t="shared" si="0"/>
        <v>0</v>
      </c>
    </row>
    <row r="21" ht="14.25" customHeight="1" spans="1:200" x14ac:dyDescent="0.25">
      <c r="A21" s="177" t="s">
        <v>265</v>
      </c>
      <c r="B21" s="177" t="s">
        <v>266</v>
      </c>
      <c r="C21" s="177" t="s">
        <v>173</v>
      </c>
      <c r="D21" s="177" t="s">
        <v>332</v>
      </c>
      <c r="E21" s="177" t="s">
        <v>343</v>
      </c>
      <c r="F21" s="177" t="s">
        <v>239</v>
      </c>
      <c r="G21" s="177" t="s">
        <v>253</v>
      </c>
      <c r="H21" s="178">
        <v>8</v>
      </c>
      <c r="I21" s="178">
        <v>0</v>
      </c>
      <c r="J21" s="178">
        <v>43</v>
      </c>
      <c r="K21" s="178">
        <v>37</v>
      </c>
      <c r="L21" s="178">
        <v>40</v>
      </c>
      <c r="M21" s="178">
        <v>44</v>
      </c>
      <c r="N21" s="178">
        <v>41</v>
      </c>
      <c r="O21" s="178">
        <v>0</v>
      </c>
      <c r="P21" s="178">
        <v>0</v>
      </c>
      <c r="Q21" s="178">
        <v>37</v>
      </c>
      <c r="R21" s="178">
        <v>39</v>
      </c>
      <c r="S21" s="178">
        <v>39</v>
      </c>
      <c r="T21" s="178">
        <v>37</v>
      </c>
      <c r="U21" s="178">
        <v>43</v>
      </c>
      <c r="V21" s="178">
        <v>41</v>
      </c>
      <c r="W21" s="178">
        <v>0</v>
      </c>
      <c r="X21" s="178">
        <v>39</v>
      </c>
      <c r="Y21" s="178">
        <v>39</v>
      </c>
      <c r="Z21" s="178">
        <v>39</v>
      </c>
      <c r="AA21" s="178">
        <v>39</v>
      </c>
      <c r="AB21" s="178">
        <v>39</v>
      </c>
      <c r="AC21" s="178">
        <v>0</v>
      </c>
      <c r="AD21" s="178">
        <v>0</v>
      </c>
      <c r="AE21" s="178">
        <v>41</v>
      </c>
      <c r="AF21" s="178">
        <v>38</v>
      </c>
      <c r="AG21" s="178">
        <v>41</v>
      </c>
      <c r="AH21" s="178">
        <v>38</v>
      </c>
      <c r="AI21" s="178">
        <v>39</v>
      </c>
      <c r="AJ21" s="178">
        <v>40</v>
      </c>
      <c r="AK21" s="178">
        <v>0</v>
      </c>
      <c r="AL21" s="178">
        <v>0</v>
      </c>
      <c r="AM21" s="178">
        <v>0</v>
      </c>
      <c r="AN21" s="178">
        <v>873</v>
      </c>
      <c r="AO21" s="178">
        <v>0</v>
      </c>
      <c r="AP21" s="178">
        <v>0</v>
      </c>
      <c r="AQ21" s="178">
        <v>0</v>
      </c>
      <c r="AR21" s="178">
        <v>51</v>
      </c>
      <c r="AS21" s="178">
        <v>52</v>
      </c>
      <c r="AT21" s="178">
        <v>50</v>
      </c>
      <c r="AU21" s="178">
        <v>0</v>
      </c>
      <c r="AV21" s="178">
        <v>0</v>
      </c>
      <c r="AW21" s="178">
        <v>54</v>
      </c>
      <c r="AX21" s="178">
        <v>54</v>
      </c>
      <c r="AY21" s="178">
        <v>53</v>
      </c>
      <c r="AZ21" s="178">
        <v>54</v>
      </c>
      <c r="BA21" s="178">
        <v>53</v>
      </c>
      <c r="BB21" s="178">
        <v>47</v>
      </c>
      <c r="BC21" s="178">
        <v>0</v>
      </c>
      <c r="BD21" s="178">
        <v>52</v>
      </c>
      <c r="BE21" s="178">
        <v>55</v>
      </c>
      <c r="BF21" s="178">
        <v>51</v>
      </c>
      <c r="BG21" s="178">
        <v>52</v>
      </c>
      <c r="BH21" s="178">
        <v>53</v>
      </c>
      <c r="BI21" s="178">
        <v>0</v>
      </c>
      <c r="BJ21" s="178">
        <v>0</v>
      </c>
      <c r="BK21" s="178">
        <v>52</v>
      </c>
      <c r="BL21" s="178">
        <v>55</v>
      </c>
      <c r="BM21" s="178">
        <v>45</v>
      </c>
      <c r="BN21" s="178">
        <v>51</v>
      </c>
      <c r="BO21" s="178">
        <v>53</v>
      </c>
      <c r="BP21" s="178">
        <v>48</v>
      </c>
      <c r="BQ21" s="178">
        <v>0</v>
      </c>
      <c r="BR21" s="178">
        <v>52</v>
      </c>
      <c r="BS21" s="178">
        <v>47</v>
      </c>
      <c r="BT21" s="178">
        <v>1134</v>
      </c>
      <c r="BU21" s="178">
        <v>75</v>
      </c>
      <c r="BV21" s="178">
        <v>75</v>
      </c>
      <c r="BW21" s="178">
        <v>75</v>
      </c>
      <c r="BX21" s="178">
        <v>0</v>
      </c>
      <c r="BY21" s="178">
        <v>0</v>
      </c>
      <c r="BZ21" s="178">
        <v>75</v>
      </c>
      <c r="CA21" s="178">
        <v>75</v>
      </c>
      <c r="CB21" s="178">
        <v>75</v>
      </c>
      <c r="CC21" s="178">
        <v>76</v>
      </c>
      <c r="CD21" s="178">
        <v>75</v>
      </c>
      <c r="CE21" s="178">
        <v>0</v>
      </c>
      <c r="CF21" s="178">
        <v>0</v>
      </c>
      <c r="CG21" s="178">
        <v>0</v>
      </c>
      <c r="CH21" s="178">
        <v>0</v>
      </c>
      <c r="CI21" s="178">
        <v>0</v>
      </c>
      <c r="CJ21" s="178">
        <v>0</v>
      </c>
      <c r="CK21" s="178">
        <v>0</v>
      </c>
      <c r="CL21" s="178">
        <v>0</v>
      </c>
      <c r="CM21" s="178">
        <v>0</v>
      </c>
      <c r="CN21" s="178">
        <v>76</v>
      </c>
      <c r="CO21" s="178">
        <v>75</v>
      </c>
      <c r="CP21" s="178">
        <v>76</v>
      </c>
      <c r="CQ21" s="178">
        <v>75</v>
      </c>
      <c r="CR21" s="178">
        <v>76</v>
      </c>
      <c r="CS21" s="178">
        <v>75</v>
      </c>
      <c r="CT21" s="178">
        <v>0</v>
      </c>
      <c r="CU21" s="178">
        <v>76</v>
      </c>
      <c r="CV21" s="178">
        <v>75</v>
      </c>
      <c r="CW21" s="178">
        <v>76</v>
      </c>
      <c r="CX21" s="178">
        <v>75</v>
      </c>
      <c r="CY21" s="178">
        <v>0</v>
      </c>
      <c r="CZ21" s="178">
        <v>1356</v>
      </c>
      <c r="DA21" s="178">
        <v>0</v>
      </c>
      <c r="DB21" s="178">
        <v>0</v>
      </c>
      <c r="DC21" s="178">
        <v>0</v>
      </c>
      <c r="DD21" s="178">
        <v>0</v>
      </c>
      <c r="DE21" s="178">
        <v>73</v>
      </c>
      <c r="DF21" s="178">
        <v>73</v>
      </c>
      <c r="DG21" s="178">
        <v>73</v>
      </c>
      <c r="DH21" s="178">
        <v>73</v>
      </c>
      <c r="DI21" s="178">
        <v>74</v>
      </c>
      <c r="DJ21" s="178">
        <v>0</v>
      </c>
      <c r="DK21" s="178">
        <v>73</v>
      </c>
      <c r="DL21" s="178">
        <v>74</v>
      </c>
      <c r="DM21" s="178">
        <v>73</v>
      </c>
      <c r="DN21" s="178">
        <v>74</v>
      </c>
      <c r="DO21" s="178">
        <v>73</v>
      </c>
      <c r="DP21" s="178">
        <v>0</v>
      </c>
      <c r="DQ21" s="178">
        <v>0</v>
      </c>
      <c r="DR21" s="178">
        <v>74</v>
      </c>
      <c r="DS21" s="178">
        <v>73</v>
      </c>
      <c r="DT21" s="178">
        <v>74</v>
      </c>
      <c r="DU21" s="178">
        <v>73</v>
      </c>
      <c r="DV21" s="178">
        <v>74</v>
      </c>
      <c r="DW21" s="178">
        <v>0</v>
      </c>
      <c r="DX21" s="178">
        <v>0</v>
      </c>
      <c r="DY21" s="178">
        <v>73</v>
      </c>
      <c r="DZ21" s="178">
        <v>74</v>
      </c>
      <c r="EA21" s="178">
        <v>73</v>
      </c>
      <c r="EB21" s="178">
        <v>74</v>
      </c>
      <c r="EC21" s="178">
        <v>73</v>
      </c>
      <c r="ED21" s="178">
        <v>0</v>
      </c>
      <c r="EE21" s="178">
        <v>0</v>
      </c>
      <c r="EF21" s="178">
        <v>1468</v>
      </c>
      <c r="EG21" s="185"/>
      <c r="EH21" s="2"/>
      <c r="EI21" s="136" t="b">
        <f t="shared" si="0"/>
        <v>1</v>
      </c>
    </row>
    <row r="22" ht="14.25" customHeight="1" spans="1:200" x14ac:dyDescent="0.25">
      <c r="A22" s="187"/>
      <c r="B22" s="135"/>
      <c r="C22" s="135"/>
      <c r="D22" s="135"/>
      <c r="E22" s="135"/>
      <c r="F22" s="135"/>
      <c r="G22" s="135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  <c r="BC22" s="183"/>
      <c r="BD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183"/>
      <c r="BU22" s="183"/>
      <c r="BV22" s="183"/>
      <c r="BW22" s="183"/>
      <c r="BX22" s="183"/>
      <c r="BY22" s="183"/>
      <c r="BZ22" s="183"/>
      <c r="CA22" s="183"/>
      <c r="CB22" s="183"/>
      <c r="CC22" s="183"/>
      <c r="CD22" s="183"/>
      <c r="CE22" s="183"/>
      <c r="CF22" s="183"/>
      <c r="CG22" s="183"/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183"/>
      <c r="CV22" s="183"/>
      <c r="CW22" s="183"/>
      <c r="CX22" s="183"/>
      <c r="CY22" s="183"/>
      <c r="CZ22" s="183"/>
      <c r="DA22" s="183"/>
      <c r="DB22" s="183"/>
      <c r="DC22" s="183"/>
      <c r="DD22" s="183"/>
      <c r="DE22" s="183"/>
      <c r="DF22" s="183"/>
      <c r="DG22" s="183"/>
      <c r="DH22" s="183"/>
      <c r="DI22" s="183"/>
      <c r="DJ22" s="183"/>
      <c r="DK22" s="183"/>
      <c r="DL22" s="183"/>
      <c r="DM22" s="183"/>
      <c r="DN22" s="183"/>
      <c r="DO22" s="183"/>
      <c r="DP22" s="183"/>
      <c r="DQ22" s="183"/>
      <c r="DR22" s="183"/>
      <c r="DS22" s="183"/>
      <c r="DT22" s="183"/>
      <c r="DU22" s="183"/>
      <c r="DV22" s="183"/>
      <c r="DW22" s="183"/>
      <c r="DX22" s="183"/>
      <c r="DY22" s="183"/>
      <c r="DZ22" s="183"/>
      <c r="EA22" s="183"/>
      <c r="EB22" s="183"/>
      <c r="EC22" s="183"/>
      <c r="ED22" s="183"/>
      <c r="EE22" s="183"/>
      <c r="EF22" s="183"/>
      <c r="EG22" s="186"/>
    </row>
    <row r="23" ht="14.25" customHeight="1" spans="1:200" x14ac:dyDescent="0.25">
      <c r="AN23" s="185">
        <f t="shared" ref="AN23:EF23" si="1">SUM(AN15:AN22)</f>
        <v>26676</v>
      </c>
      <c r="AO23" s="185">
        <f t="shared" si="1"/>
        <v>0</v>
      </c>
      <c r="AP23" s="185">
        <f t="shared" si="1"/>
        <v>1084</v>
      </c>
      <c r="AQ23" s="185">
        <f t="shared" si="1"/>
        <v>1189</v>
      </c>
      <c r="AR23" s="185">
        <f t="shared" si="1"/>
        <v>1116</v>
      </c>
      <c r="AS23" s="185">
        <f t="shared" si="1"/>
        <v>1143</v>
      </c>
      <c r="AT23" s="185">
        <f t="shared" si="1"/>
        <v>1095</v>
      </c>
      <c r="AU23" s="185">
        <f t="shared" si="1"/>
        <v>0</v>
      </c>
      <c r="AV23" s="185">
        <f t="shared" si="1"/>
        <v>0</v>
      </c>
      <c r="AW23" s="185">
        <f t="shared" si="1"/>
        <v>1237</v>
      </c>
      <c r="AX23" s="185">
        <f t="shared" si="1"/>
        <v>1092</v>
      </c>
      <c r="AY23" s="185">
        <f t="shared" si="1"/>
        <v>1169</v>
      </c>
      <c r="AZ23" s="185">
        <f t="shared" si="1"/>
        <v>1140</v>
      </c>
      <c r="BA23" s="185">
        <f t="shared" si="1"/>
        <v>1113</v>
      </c>
      <c r="BB23" s="185">
        <f t="shared" si="1"/>
        <v>1104</v>
      </c>
      <c r="BC23" s="185">
        <f t="shared" si="1"/>
        <v>0</v>
      </c>
      <c r="BD23" s="185">
        <f t="shared" si="1"/>
        <v>1208</v>
      </c>
      <c r="BE23" s="185">
        <f t="shared" si="1"/>
        <v>1090</v>
      </c>
      <c r="BF23" s="185">
        <f t="shared" si="1"/>
        <v>1115</v>
      </c>
      <c r="BG23" s="185">
        <f t="shared" si="1"/>
        <v>1070</v>
      </c>
      <c r="BH23" s="185">
        <f t="shared" si="1"/>
        <v>1046</v>
      </c>
      <c r="BI23" s="185">
        <f t="shared" si="1"/>
        <v>0</v>
      </c>
      <c r="BJ23" s="185">
        <f t="shared" si="1"/>
        <v>0</v>
      </c>
      <c r="BK23" s="185">
        <f t="shared" si="1"/>
        <v>1133</v>
      </c>
      <c r="BL23" s="185">
        <f t="shared" si="1"/>
        <v>1107</v>
      </c>
      <c r="BM23" s="185">
        <f t="shared" si="1"/>
        <v>1038</v>
      </c>
      <c r="BN23" s="185">
        <f t="shared" si="1"/>
        <v>1059</v>
      </c>
      <c r="BO23" s="185">
        <f t="shared" si="1"/>
        <v>1083</v>
      </c>
      <c r="BP23" s="185">
        <f t="shared" si="1"/>
        <v>997</v>
      </c>
      <c r="BQ23" s="185">
        <f t="shared" si="1"/>
        <v>0</v>
      </c>
      <c r="BR23" s="185">
        <f t="shared" si="1"/>
        <v>0</v>
      </c>
      <c r="BS23" s="185">
        <f t="shared" si="1"/>
        <v>0</v>
      </c>
      <c r="BT23" s="185">
        <f t="shared" si="1"/>
        <v>24428</v>
      </c>
      <c r="BU23" s="185">
        <f t="shared" si="1"/>
        <v>0</v>
      </c>
      <c r="BV23" s="185">
        <f t="shared" si="1"/>
        <v>0</v>
      </c>
      <c r="BW23" s="185">
        <f t="shared" si="1"/>
        <v>0</v>
      </c>
      <c r="BX23" s="185">
        <f t="shared" si="1"/>
        <v>1063</v>
      </c>
      <c r="BY23" s="185">
        <f t="shared" si="1"/>
        <v>1061</v>
      </c>
      <c r="BZ23" s="185">
        <f t="shared" si="1"/>
        <v>1063</v>
      </c>
      <c r="CA23" s="185">
        <f t="shared" si="1"/>
        <v>218</v>
      </c>
      <c r="CB23" s="185">
        <f t="shared" si="1"/>
        <v>0</v>
      </c>
      <c r="CC23" s="185">
        <f t="shared" si="1"/>
        <v>1062</v>
      </c>
      <c r="CD23" s="185">
        <f t="shared" si="1"/>
        <v>1064</v>
      </c>
      <c r="CE23" s="185">
        <f t="shared" si="1"/>
        <v>1061</v>
      </c>
      <c r="CF23" s="185">
        <f t="shared" si="1"/>
        <v>1064</v>
      </c>
      <c r="CG23" s="185">
        <f t="shared" si="1"/>
        <v>1060</v>
      </c>
      <c r="CH23" s="185">
        <f t="shared" si="1"/>
        <v>1064</v>
      </c>
      <c r="CI23" s="185">
        <f t="shared" si="1"/>
        <v>0</v>
      </c>
      <c r="CJ23" s="185">
        <f t="shared" si="1"/>
        <v>1059</v>
      </c>
      <c r="CK23" s="185">
        <f t="shared" si="1"/>
        <v>1064</v>
      </c>
      <c r="CL23" s="185">
        <f t="shared" si="1"/>
        <v>1059</v>
      </c>
      <c r="CM23" s="185">
        <f t="shared" si="1"/>
        <v>1064</v>
      </c>
      <c r="CN23" s="185">
        <f t="shared" si="1"/>
        <v>1059</v>
      </c>
      <c r="CO23" s="185">
        <f t="shared" si="1"/>
        <v>0</v>
      </c>
      <c r="CP23" s="185">
        <f t="shared" si="1"/>
        <v>0</v>
      </c>
      <c r="CQ23" s="185">
        <f t="shared" si="1"/>
        <v>1064</v>
      </c>
      <c r="CR23" s="185">
        <f t="shared" si="1"/>
        <v>1059</v>
      </c>
      <c r="CS23" s="185">
        <f t="shared" si="1"/>
        <v>1064</v>
      </c>
      <c r="CT23" s="185">
        <f t="shared" si="1"/>
        <v>1059</v>
      </c>
      <c r="CU23" s="185">
        <f t="shared" si="1"/>
        <v>1064</v>
      </c>
      <c r="CV23" s="185">
        <f t="shared" si="1"/>
        <v>1059</v>
      </c>
      <c r="CW23" s="185">
        <f t="shared" si="1"/>
        <v>0</v>
      </c>
      <c r="CX23" s="185">
        <f t="shared" si="1"/>
        <v>1065</v>
      </c>
      <c r="CY23" s="185">
        <f t="shared" si="1"/>
        <v>1058</v>
      </c>
      <c r="CZ23" s="185">
        <f t="shared" si="1"/>
        <v>23577</v>
      </c>
      <c r="DA23" s="185">
        <f t="shared" si="1"/>
        <v>1261</v>
      </c>
      <c r="DB23" s="185">
        <f t="shared" si="1"/>
        <v>1261</v>
      </c>
      <c r="DC23" s="185">
        <f t="shared" si="1"/>
        <v>1261</v>
      </c>
      <c r="DD23" s="185">
        <f t="shared" si="1"/>
        <v>292</v>
      </c>
      <c r="DE23" s="185">
        <f t="shared" si="1"/>
        <v>0</v>
      </c>
      <c r="DF23" s="185">
        <f t="shared" si="1"/>
        <v>1260</v>
      </c>
      <c r="DG23" s="185">
        <f t="shared" si="1"/>
        <v>1261</v>
      </c>
      <c r="DH23" s="185">
        <f t="shared" si="1"/>
        <v>1259</v>
      </c>
      <c r="DI23" s="185">
        <f t="shared" si="1"/>
        <v>1261</v>
      </c>
      <c r="DJ23" s="185">
        <f t="shared" si="1"/>
        <v>1259</v>
      </c>
      <c r="DK23" s="185">
        <f t="shared" si="1"/>
        <v>0</v>
      </c>
      <c r="DL23" s="185">
        <f t="shared" si="1"/>
        <v>0</v>
      </c>
      <c r="DM23" s="185">
        <f t="shared" si="1"/>
        <v>0</v>
      </c>
      <c r="DN23" s="185">
        <f t="shared" si="1"/>
        <v>0</v>
      </c>
      <c r="DO23" s="185">
        <f t="shared" si="1"/>
        <v>0</v>
      </c>
      <c r="DP23" s="185">
        <f t="shared" si="1"/>
        <v>0</v>
      </c>
      <c r="DQ23" s="185">
        <f t="shared" si="1"/>
        <v>0</v>
      </c>
      <c r="DR23" s="185">
        <f t="shared" si="1"/>
        <v>0</v>
      </c>
      <c r="DS23" s="185">
        <f t="shared" si="1"/>
        <v>0</v>
      </c>
      <c r="DT23" s="185">
        <f t="shared" si="1"/>
        <v>1262</v>
      </c>
      <c r="DU23" s="185">
        <f t="shared" si="1"/>
        <v>1259</v>
      </c>
      <c r="DV23" s="185">
        <f t="shared" si="1"/>
        <v>1262</v>
      </c>
      <c r="DW23" s="185">
        <f t="shared" si="1"/>
        <v>1258</v>
      </c>
      <c r="DX23" s="185">
        <f t="shared" si="1"/>
        <v>1262</v>
      </c>
      <c r="DY23" s="185">
        <f t="shared" si="1"/>
        <v>1256</v>
      </c>
      <c r="DZ23" s="185">
        <f t="shared" si="1"/>
        <v>0</v>
      </c>
      <c r="EA23" s="185">
        <f t="shared" si="1"/>
        <v>1262</v>
      </c>
      <c r="EB23" s="185">
        <f t="shared" si="1"/>
        <v>1256</v>
      </c>
      <c r="EC23" s="185">
        <f t="shared" si="1"/>
        <v>1263</v>
      </c>
      <c r="ED23" s="185">
        <f t="shared" si="1"/>
        <v>1255</v>
      </c>
      <c r="EE23" s="185">
        <f t="shared" si="1"/>
        <v>0</v>
      </c>
      <c r="EF23" s="185">
        <f t="shared" si="1"/>
        <v>22970</v>
      </c>
      <c r="EG23" s="186">
        <f>SUM(AN23,BT23,CZ23,EF233,EF23)</f>
        <v>97651</v>
      </c>
    </row>
    <row r="24" ht="14.25" customHeight="1" spans="1:200" x14ac:dyDescent="0.25">
      <c r="I24" s="188"/>
      <c r="AN24" s="189"/>
    </row>
    <row r="25" ht="14.25" customHeight="1" spans="1:200" x14ac:dyDescent="0.25">
      <c r="I25" s="185">
        <f>I24-G25</f>
        <v>1641</v>
      </c>
    </row>
    <row r="26" ht="14.25" customHeight="1" spans="1:200" x14ac:dyDescent="0.25">
      <c r="I26" s="190">
        <f>I25-I21</f>
        <v>1641</v>
      </c>
      <c r="J26" s="185">
        <f t="shared" ref="J26:AM26" si="2">I26-J21</f>
        <v>1641</v>
      </c>
      <c r="K26" s="185">
        <f t="shared" si="2"/>
        <v>1641</v>
      </c>
      <c r="L26" s="185">
        <f t="shared" si="2"/>
        <v>1641</v>
      </c>
      <c r="M26" s="185">
        <f t="shared" si="2"/>
        <v>1608</v>
      </c>
      <c r="N26" s="185">
        <f t="shared" si="2"/>
        <v>1569</v>
      </c>
      <c r="O26" s="185">
        <f t="shared" si="2"/>
        <v>1529</v>
      </c>
      <c r="P26" s="185">
        <f t="shared" si="2"/>
        <v>1492</v>
      </c>
      <c r="Q26" s="185">
        <f t="shared" si="2"/>
        <v>1454</v>
      </c>
      <c r="R26" s="185">
        <f t="shared" si="2"/>
        <v>1454</v>
      </c>
      <c r="S26" s="185">
        <f t="shared" si="2"/>
        <v>1454</v>
      </c>
      <c r="T26" s="185">
        <f t="shared" si="2"/>
        <v>1414</v>
      </c>
      <c r="U26" s="185">
        <f t="shared" si="2"/>
        <v>1376</v>
      </c>
      <c r="V26" s="185">
        <f t="shared" si="2"/>
        <v>1337</v>
      </c>
      <c r="W26" s="185">
        <f t="shared" si="2"/>
        <v>1298</v>
      </c>
      <c r="X26" s="185">
        <f t="shared" si="2"/>
        <v>1260</v>
      </c>
      <c r="Y26" s="185">
        <f t="shared" si="2"/>
        <v>1224</v>
      </c>
      <c r="Z26" s="185">
        <f t="shared" si="2"/>
        <v>1224</v>
      </c>
      <c r="AA26" s="185">
        <f t="shared" si="2"/>
        <v>1184</v>
      </c>
      <c r="AB26" s="185">
        <f t="shared" si="2"/>
        <v>1147</v>
      </c>
      <c r="AC26" s="185">
        <f t="shared" si="2"/>
        <v>1106</v>
      </c>
      <c r="AD26" s="185">
        <f t="shared" si="2"/>
        <v>1068</v>
      </c>
      <c r="AE26" s="185">
        <f t="shared" si="2"/>
        <v>1032</v>
      </c>
      <c r="AF26" s="185">
        <f t="shared" si="2"/>
        <v>1032</v>
      </c>
      <c r="AG26" s="185">
        <f t="shared" si="2"/>
        <v>1032</v>
      </c>
      <c r="AH26" s="185">
        <f t="shared" si="2"/>
        <v>993</v>
      </c>
      <c r="AI26" s="185">
        <f t="shared" si="2"/>
        <v>956</v>
      </c>
      <c r="AJ26" s="185">
        <f t="shared" si="2"/>
        <v>916</v>
      </c>
      <c r="AK26" s="185">
        <f t="shared" si="2"/>
        <v>878</v>
      </c>
      <c r="AL26" s="185">
        <f t="shared" si="2"/>
        <v>842</v>
      </c>
      <c r="AM26" s="185">
        <f t="shared" si="2"/>
        <v>806</v>
      </c>
    </row>
    <row r="27" ht="14.25" customHeight="1" spans="1:200" x14ac:dyDescent="0.25">
      <c r="I27" s="191"/>
    </row>
    <row r="28" ht="14.25" customHeight="1" spans="1:200" x14ac:dyDescent="0.25">
      <c r="AB28" s="191"/>
    </row>
    <row r="29" ht="14.25" customHeight="1" spans="1:200" x14ac:dyDescent="0.25">
      <c r="AB29" s="191"/>
    </row>
    <row r="30" ht="14.25" customHeight="1" spans="1:200" x14ac:dyDescent="0.25"/>
    <row r="31" ht="14.25" customHeight="1" spans="1:200" x14ac:dyDescent="0.25"/>
    <row r="32" ht="14.25" customHeight="1" spans="1:200" x14ac:dyDescent="0.25">
      <c r="I32" s="185">
        <f t="shared" ref="I32:AM32" si="3">H32-I16</f>
        <v>0</v>
      </c>
      <c r="J32" s="185">
        <f t="shared" si="3"/>
        <v>0</v>
      </c>
      <c r="K32" s="185">
        <f t="shared" si="3"/>
        <v>0</v>
      </c>
      <c r="L32" s="185">
        <f t="shared" si="3"/>
        <v>0</v>
      </c>
      <c r="M32" s="185">
        <f t="shared" si="3"/>
        <v>-390</v>
      </c>
      <c r="N32" s="185">
        <f t="shared" si="3"/>
        <v>-790</v>
      </c>
      <c r="O32" s="185">
        <f t="shared" si="3"/>
        <v>-1190</v>
      </c>
      <c r="P32" s="185">
        <f t="shared" si="3"/>
        <v>-1580</v>
      </c>
      <c r="Q32" s="185">
        <f t="shared" si="3"/>
        <v>-1980</v>
      </c>
      <c r="R32" s="185">
        <f t="shared" si="3"/>
        <v>-1980</v>
      </c>
      <c r="S32" s="185">
        <f t="shared" si="3"/>
        <v>-1980</v>
      </c>
      <c r="T32" s="185">
        <f t="shared" si="3"/>
        <v>-2420</v>
      </c>
      <c r="U32" s="185">
        <f t="shared" si="3"/>
        <v>-2870</v>
      </c>
      <c r="V32" s="185">
        <f t="shared" si="3"/>
        <v>-3320</v>
      </c>
      <c r="W32" s="185">
        <f t="shared" si="3"/>
        <v>-3770</v>
      </c>
      <c r="X32" s="185">
        <f t="shared" si="3"/>
        <v>-4020</v>
      </c>
      <c r="Y32" s="185">
        <f t="shared" si="3"/>
        <v>-4270</v>
      </c>
      <c r="Z32" s="185">
        <f t="shared" si="3"/>
        <v>-4270</v>
      </c>
      <c r="AA32" s="185">
        <f t="shared" si="3"/>
        <v>-4520</v>
      </c>
      <c r="AB32" s="185">
        <f t="shared" si="3"/>
        <v>-4770</v>
      </c>
      <c r="AC32" s="185">
        <f t="shared" si="3"/>
        <v>-4970</v>
      </c>
      <c r="AD32" s="185">
        <f t="shared" si="3"/>
        <v>-5170</v>
      </c>
      <c r="AE32" s="185">
        <f t="shared" si="3"/>
        <v>-5360</v>
      </c>
      <c r="AF32" s="185">
        <f t="shared" si="3"/>
        <v>-5360</v>
      </c>
      <c r="AG32" s="185">
        <f t="shared" si="3"/>
        <v>-5360</v>
      </c>
      <c r="AH32" s="185">
        <f t="shared" si="3"/>
        <v>-5610</v>
      </c>
      <c r="AI32" s="185">
        <f t="shared" si="3"/>
        <v>-5830</v>
      </c>
      <c r="AJ32" s="185">
        <f t="shared" si="3"/>
        <v>-6040</v>
      </c>
      <c r="AK32" s="185">
        <f t="shared" si="3"/>
        <v>-6280</v>
      </c>
      <c r="AL32" s="185">
        <f t="shared" si="3"/>
        <v>-6520</v>
      </c>
      <c r="AM32" s="185">
        <f t="shared" si="3"/>
        <v>-6770</v>
      </c>
    </row>
    <row r="33" ht="14.25" customHeight="1" spans="1:200" x14ac:dyDescent="0.25"/>
    <row r="34" ht="14.25" customHeight="1" spans="1:200" x14ac:dyDescent="0.25"/>
    <row r="35" ht="14.25" customHeight="1" spans="1:200" x14ac:dyDescent="0.25"/>
    <row r="36" ht="14.25" customHeight="1" spans="1:200" x14ac:dyDescent="0.25"/>
    <row r="37" ht="14.25" customHeight="1" spans="1:200" x14ac:dyDescent="0.25"/>
    <row r="38" ht="14.25" customHeight="1" spans="1:200" x14ac:dyDescent="0.25"/>
    <row r="39" ht="14.25" customHeight="1" spans="1:200" x14ac:dyDescent="0.25"/>
    <row r="40" ht="14.25" customHeight="1" spans="1:200" x14ac:dyDescent="0.25"/>
    <row r="41" ht="14.25" customHeight="1" spans="1:200" x14ac:dyDescent="0.25"/>
    <row r="42" ht="14.25" customHeight="1" spans="1:200" x14ac:dyDescent="0.25"/>
    <row r="43" ht="14.25" customHeight="1" spans="1:200" x14ac:dyDescent="0.25"/>
    <row r="44" ht="14.25" customHeight="1" spans="1:200" x14ac:dyDescent="0.25"/>
    <row r="45" ht="14.25" customHeight="1" spans="1:200" x14ac:dyDescent="0.25"/>
    <row r="46" ht="14.25" customHeight="1" spans="1:200" x14ac:dyDescent="0.25"/>
    <row r="47" ht="14.25" customHeight="1" spans="1:200" x14ac:dyDescent="0.25"/>
    <row r="48" ht="14.25" customHeight="1" spans="1:200" x14ac:dyDescent="0.25"/>
    <row r="49" ht="14.25" customHeight="1" spans="1:200" x14ac:dyDescent="0.25"/>
    <row r="50" ht="14.25" customHeight="1" spans="1:200" x14ac:dyDescent="0.25"/>
    <row r="51" ht="14.25" customHeight="1" spans="1:200" x14ac:dyDescent="0.25"/>
    <row r="52" ht="14.25" customHeight="1" spans="1:200" x14ac:dyDescent="0.25"/>
    <row r="53" ht="14.25" customHeight="1" spans="1:200" x14ac:dyDescent="0.25"/>
    <row r="54" ht="14.25" customHeight="1" spans="1:200" x14ac:dyDescent="0.25"/>
    <row r="55" ht="14.25" customHeight="1" spans="1:200" x14ac:dyDescent="0.25"/>
    <row r="56" ht="14.25" customHeight="1" spans="1:200" x14ac:dyDescent="0.25"/>
    <row r="57" ht="14.25" customHeight="1" spans="1:200" x14ac:dyDescent="0.25"/>
    <row r="58" ht="14.25" customHeight="1" spans="1:200" x14ac:dyDescent="0.25"/>
    <row r="59" ht="14.25" customHeight="1" spans="1:200" x14ac:dyDescent="0.25"/>
    <row r="60" ht="14.25" customHeight="1" spans="1:200" x14ac:dyDescent="0.25"/>
    <row r="61" ht="14.25" customHeight="1" spans="1:200" x14ac:dyDescent="0.25"/>
    <row r="62" ht="14.25" customHeight="1" spans="1:200" x14ac:dyDescent="0.25"/>
    <row r="63" ht="14.25" customHeight="1" spans="1:200" x14ac:dyDescent="0.25"/>
    <row r="64" ht="14.25" customHeight="1" spans="1:200" x14ac:dyDescent="0.25"/>
    <row r="65" ht="14.25" customHeight="1" spans="1:200" x14ac:dyDescent="0.25"/>
    <row r="66" ht="14.25" customHeight="1" spans="1:200" x14ac:dyDescent="0.25"/>
    <row r="67" ht="14.25" customHeight="1" spans="1:200" x14ac:dyDescent="0.25"/>
    <row r="68" ht="14.25" customHeight="1" spans="1:200" x14ac:dyDescent="0.25"/>
    <row r="69" ht="14.25" customHeight="1" spans="1:200" x14ac:dyDescent="0.25"/>
    <row r="70" ht="14.25" customHeight="1" spans="1:200" x14ac:dyDescent="0.25"/>
    <row r="71" ht="14.25" customHeight="1" spans="1:200" x14ac:dyDescent="0.25"/>
    <row r="72" ht="14.25" customHeight="1" spans="1:200" x14ac:dyDescent="0.25"/>
    <row r="73" ht="14.25" customHeight="1" spans="1:200" x14ac:dyDescent="0.25"/>
    <row r="74" ht="14.25" customHeight="1" spans="1:200" x14ac:dyDescent="0.25"/>
    <row r="75" ht="14.25" customHeight="1" spans="1:200" x14ac:dyDescent="0.25"/>
    <row r="76" ht="14.25" customHeight="1" spans="1:200" x14ac:dyDescent="0.25"/>
    <row r="77" ht="14.25" customHeight="1" spans="1:200" x14ac:dyDescent="0.25"/>
    <row r="78" ht="14.25" customHeight="1" spans="1:200" x14ac:dyDescent="0.25"/>
    <row r="79" ht="14.25" customHeight="1" spans="1:200" x14ac:dyDescent="0.25"/>
    <row r="80" ht="14.25" customHeight="1" spans="1:200" x14ac:dyDescent="0.25"/>
    <row r="81" ht="14.25" customHeight="1" spans="1:200" x14ac:dyDescent="0.25"/>
    <row r="82" ht="14.25" customHeight="1" spans="1:200" x14ac:dyDescent="0.25"/>
    <row r="83" ht="14.25" customHeight="1" spans="1:200" x14ac:dyDescent="0.25"/>
    <row r="84" ht="14.25" customHeight="1" spans="1:200" x14ac:dyDescent="0.25"/>
    <row r="85" ht="14.25" customHeight="1" spans="1:200" x14ac:dyDescent="0.25"/>
    <row r="86" ht="14.25" customHeight="1" spans="1:200" x14ac:dyDescent="0.25"/>
    <row r="87" ht="14.25" customHeight="1" spans="1:200" x14ac:dyDescent="0.25"/>
    <row r="88" ht="14.25" customHeight="1" spans="1:200" x14ac:dyDescent="0.25"/>
    <row r="89" ht="14.25" customHeight="1" spans="1:200" x14ac:dyDescent="0.25"/>
    <row r="90" ht="14.25" customHeight="1" spans="1:200" x14ac:dyDescent="0.25"/>
    <row r="91" ht="14.25" customHeight="1" spans="1:200" x14ac:dyDescent="0.25"/>
    <row r="92" ht="14.25" customHeight="1" spans="1:200" x14ac:dyDescent="0.25"/>
    <row r="93" ht="14.25" customHeight="1" spans="1:200" x14ac:dyDescent="0.25"/>
    <row r="94" ht="14.25" customHeight="1" spans="1:200" x14ac:dyDescent="0.25"/>
    <row r="95" ht="14.25" customHeight="1" spans="1:200" x14ac:dyDescent="0.25"/>
    <row r="96" ht="14.25" customHeight="1" spans="1:200" x14ac:dyDescent="0.25"/>
    <row r="97" ht="14.25" customHeight="1" spans="1:200" x14ac:dyDescent="0.25"/>
    <row r="98" ht="14.25" customHeight="1" spans="1:200" x14ac:dyDescent="0.25"/>
    <row r="99" ht="14.25" customHeight="1" spans="1:200" x14ac:dyDescent="0.25"/>
    <row r="100" ht="14.25" customHeight="1" spans="1:200" x14ac:dyDescent="0.25"/>
    <row r="101" ht="14.25" customHeight="1" spans="1:200" x14ac:dyDescent="0.25"/>
    <row r="102" ht="14.25" customHeight="1" spans="1:200" x14ac:dyDescent="0.25"/>
    <row r="103" ht="14.25" customHeight="1" spans="1:200" x14ac:dyDescent="0.25"/>
    <row r="104" ht="14.25" customHeight="1" spans="1:200" x14ac:dyDescent="0.25"/>
    <row r="105" ht="14.25" customHeight="1" spans="1:200" x14ac:dyDescent="0.25"/>
    <row r="106" ht="14.25" customHeight="1" spans="1:200" x14ac:dyDescent="0.25"/>
    <row r="107" ht="14.25" customHeight="1" spans="1:200" x14ac:dyDescent="0.25"/>
    <row r="108" ht="14.25" customHeight="1" spans="1:200" x14ac:dyDescent="0.25"/>
    <row r="109" ht="14.25" customHeight="1" spans="1:200" x14ac:dyDescent="0.25"/>
    <row r="110" ht="14.25" customHeight="1" spans="1:200" x14ac:dyDescent="0.25"/>
    <row r="111" ht="14.25" customHeight="1" spans="1:200" x14ac:dyDescent="0.25"/>
    <row r="112" ht="14.25" customHeight="1" spans="1:200" x14ac:dyDescent="0.25"/>
    <row r="113" ht="14.25" customHeight="1" spans="1:200" x14ac:dyDescent="0.25"/>
    <row r="114" ht="14.25" customHeight="1" spans="1:200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000"/>
  <sheetViews>
    <sheetView workbookViewId="0" zoomScale="100" zoomScaleNormal="100"/>
  </sheetViews>
  <sheetFormatPr defaultRowHeight="15" outlineLevelRow="0" outlineLevelCol="1" x14ac:dyDescent="0" defaultColWidth="14.43"/>
  <cols>
    <col min="1" max="1" width="16.86" customWidth="1"/>
    <col min="2" max="2" width="11.29" customWidth="1"/>
    <col min="3" max="3" width="8.57" customWidth="1"/>
    <col min="4" max="4" width="6.29" customWidth="1"/>
    <col min="5" max="6" width="7" customWidth="1"/>
    <col min="7" max="7" width="7.43" customWidth="1"/>
    <col min="8" max="8" width="12.86" customWidth="1"/>
    <col min="9" max="10" width="5" outlineLevel="1" collapsed="1" customWidth="1"/>
    <col min="11" max="11" width="10.29" outlineLevel="1" collapsed="1" customWidth="1"/>
    <col min="12" max="12" width="8" outlineLevel="1" collapsed="1" customWidth="1"/>
    <col min="13" max="13" width="7.71" outlineLevel="1" collapsed="1" customWidth="1"/>
    <col min="14" max="14" width="8.14" outlineLevel="1" collapsed="1" customWidth="1"/>
    <col min="15" max="16" width="5" outlineLevel="1" collapsed="1" customWidth="1"/>
    <col min="17" max="17" width="4.29" outlineLevel="1" collapsed="1" customWidth="1"/>
    <col min="18" max="23" width="5.29" outlineLevel="1" collapsed="1" customWidth="1"/>
    <col min="24" max="39" width="5" outlineLevel="1" collapsed="1" customWidth="1"/>
    <col min="40" max="40" width="8.43" customWidth="1"/>
    <col min="41" max="71" width="5.71" hidden="1" outlineLevel="1" collapsed="1" customWidth="1"/>
    <col min="72" max="72" width="7.57" customWidth="1"/>
    <col min="73" max="103" width="5.71" hidden="1" outlineLevel="1" collapsed="1" customWidth="1"/>
    <col min="104" max="104" width="8.43" customWidth="1"/>
    <col min="105" max="135" width="5" hidden="1" outlineLevel="1" collapsed="1" customWidth="1"/>
    <col min="136" max="136" width="9.29" customWidth="1"/>
    <col min="137" max="138" width="8.71" customWidth="1"/>
  </cols>
  <sheetData>
    <row r="1" ht="14.25" customHeight="1" spans="1:136" x14ac:dyDescent="0.25">
      <c r="A1" s="159" t="s">
        <v>267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</row>
    <row r="2" ht="14.25" customHeight="1" spans="1:136" x14ac:dyDescent="0.25">
      <c r="A2" s="168" t="s">
        <v>274</v>
      </c>
      <c r="B2" s="133" t="s">
        <v>344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U2" s="167"/>
      <c r="DV2" s="167"/>
      <c r="DW2" s="167"/>
      <c r="DX2" s="167"/>
      <c r="DY2" s="167"/>
      <c r="DZ2" s="167"/>
      <c r="EA2" s="167"/>
      <c r="EB2" s="167"/>
      <c r="EC2" s="167"/>
      <c r="ED2" s="167"/>
      <c r="EE2" s="167"/>
      <c r="EF2" s="167"/>
    </row>
    <row r="3" ht="14.25" customHeight="1" spans="1:136" x14ac:dyDescent="0.25">
      <c r="A3" s="168" t="s">
        <v>276</v>
      </c>
      <c r="B3" s="133" t="s">
        <v>345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</row>
    <row r="4" ht="54" customHeight="1" spans="1:136" x14ac:dyDescent="0.25">
      <c r="A4" s="168" t="s">
        <v>278</v>
      </c>
      <c r="B4" s="192" t="s">
        <v>346</v>
      </c>
      <c r="C4" s="192" t="s">
        <v>347</v>
      </c>
      <c r="D4" s="192" t="s">
        <v>348</v>
      </c>
      <c r="E4" s="192" t="s">
        <v>349</v>
      </c>
      <c r="F4" s="192" t="s">
        <v>350</v>
      </c>
      <c r="G4" s="192" t="s">
        <v>351</v>
      </c>
      <c r="H4" s="193" t="s">
        <v>352</v>
      </c>
      <c r="I4" s="194" t="s">
        <v>353</v>
      </c>
      <c r="J4" s="192" t="s">
        <v>268</v>
      </c>
      <c r="K4" s="192" t="s">
        <v>354</v>
      </c>
      <c r="L4" s="192" t="s">
        <v>355</v>
      </c>
      <c r="M4" s="164" t="s">
        <v>272</v>
      </c>
      <c r="N4" s="165" t="s">
        <v>273</v>
      </c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167"/>
      <c r="DA4" s="167"/>
      <c r="DB4" s="167"/>
      <c r="DC4" s="167"/>
      <c r="DD4" s="167"/>
      <c r="DE4" s="167"/>
      <c r="DF4" s="167"/>
      <c r="DG4" s="167"/>
      <c r="DH4" s="167"/>
      <c r="DI4" s="167"/>
      <c r="DJ4" s="167"/>
      <c r="DK4" s="167"/>
      <c r="DL4" s="167"/>
      <c r="DM4" s="167"/>
      <c r="DN4" s="167"/>
      <c r="DO4" s="167"/>
      <c r="DP4" s="167"/>
      <c r="DQ4" s="167"/>
      <c r="DR4" s="167"/>
      <c r="DS4" s="167"/>
      <c r="DT4" s="167"/>
      <c r="DU4" s="167"/>
      <c r="DV4" s="167"/>
      <c r="DW4" s="167"/>
      <c r="DX4" s="167"/>
      <c r="DY4" s="167"/>
      <c r="DZ4" s="167"/>
      <c r="EA4" s="167"/>
      <c r="EB4" s="167"/>
      <c r="EC4" s="167"/>
      <c r="ED4" s="167"/>
      <c r="EE4" s="167"/>
      <c r="EF4" s="167"/>
    </row>
    <row r="5" ht="14.25" customHeight="1" spans="1:136" x14ac:dyDescent="0.25">
      <c r="A5" s="168" t="s">
        <v>280</v>
      </c>
      <c r="B5" s="195" t="s">
        <v>356</v>
      </c>
      <c r="C5" s="195" t="s">
        <v>357</v>
      </c>
      <c r="D5" s="195" t="s">
        <v>153</v>
      </c>
      <c r="E5" s="195" t="s">
        <v>358</v>
      </c>
      <c r="F5" s="195" t="s">
        <v>359</v>
      </c>
      <c r="G5" s="196" t="s">
        <v>360</v>
      </c>
      <c r="H5" s="196" t="s">
        <v>151</v>
      </c>
      <c r="I5" s="196" t="s">
        <v>325</v>
      </c>
      <c r="J5" s="197" t="s">
        <v>152</v>
      </c>
      <c r="K5" s="195">
        <v>2025122301</v>
      </c>
      <c r="L5" s="198">
        <v>6427</v>
      </c>
      <c r="M5" s="167">
        <v>52</v>
      </c>
      <c r="N5" s="199">
        <f t="shared" ref="N5:N7" si="0">L5-M5</f>
        <v>6375</v>
      </c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7"/>
      <c r="CB5" s="167"/>
      <c r="CC5" s="167"/>
      <c r="CD5" s="167"/>
      <c r="CE5" s="167"/>
      <c r="CF5" s="167"/>
      <c r="CG5" s="167"/>
      <c r="CH5" s="167"/>
      <c r="CI5" s="167"/>
      <c r="CJ5" s="167"/>
      <c r="CK5" s="167"/>
      <c r="CL5" s="167"/>
      <c r="CM5" s="167"/>
      <c r="CN5" s="167"/>
      <c r="CO5" s="167"/>
      <c r="CP5" s="167"/>
      <c r="CQ5" s="167"/>
      <c r="CR5" s="167"/>
      <c r="CS5" s="167"/>
      <c r="CT5" s="167"/>
      <c r="CU5" s="167"/>
      <c r="CV5" s="167"/>
      <c r="CW5" s="167"/>
      <c r="CX5" s="167"/>
      <c r="CY5" s="167"/>
      <c r="CZ5" s="167"/>
      <c r="DA5" s="167"/>
      <c r="DB5" s="167"/>
      <c r="DC5" s="167"/>
      <c r="DD5" s="167"/>
      <c r="DE5" s="167"/>
      <c r="DF5" s="167"/>
      <c r="DG5" s="167"/>
      <c r="DH5" s="167"/>
      <c r="DI5" s="167"/>
      <c r="DJ5" s="167"/>
      <c r="DK5" s="167"/>
      <c r="DL5" s="167"/>
      <c r="DM5" s="167"/>
      <c r="DN5" s="167"/>
      <c r="DO5" s="167"/>
      <c r="DP5" s="167"/>
      <c r="DQ5" s="167"/>
      <c r="DR5" s="167"/>
      <c r="DS5" s="167"/>
      <c r="DT5" s="167"/>
      <c r="DU5" s="167"/>
      <c r="DV5" s="167"/>
      <c r="DW5" s="167"/>
      <c r="DX5" s="167"/>
      <c r="DY5" s="167"/>
      <c r="DZ5" s="167"/>
      <c r="EA5" s="167"/>
      <c r="EB5" s="167"/>
      <c r="EC5" s="167"/>
      <c r="ED5" s="167"/>
      <c r="EE5" s="167"/>
      <c r="EF5" s="167"/>
    </row>
    <row r="6" ht="14.25" customHeight="1" spans="1:136" x14ac:dyDescent="0.25">
      <c r="A6" s="168" t="s">
        <v>282</v>
      </c>
      <c r="B6" s="195" t="s">
        <v>361</v>
      </c>
      <c r="C6" s="195" t="s">
        <v>357</v>
      </c>
      <c r="D6" s="195" t="s">
        <v>153</v>
      </c>
      <c r="E6" s="195" t="s">
        <v>358</v>
      </c>
      <c r="F6" s="195" t="s">
        <v>359</v>
      </c>
      <c r="G6" s="196" t="s">
        <v>360</v>
      </c>
      <c r="H6" s="196" t="s">
        <v>162</v>
      </c>
      <c r="I6" s="196" t="s">
        <v>308</v>
      </c>
      <c r="J6" s="197" t="s">
        <v>152</v>
      </c>
      <c r="K6" s="195">
        <v>2025122301</v>
      </c>
      <c r="L6" s="198">
        <v>61</v>
      </c>
      <c r="M6" s="167">
        <v>12</v>
      </c>
      <c r="N6" s="199">
        <f t="shared" si="0"/>
        <v>49</v>
      </c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67"/>
      <c r="DF6" s="167"/>
      <c r="DG6" s="167"/>
      <c r="DH6" s="167"/>
      <c r="DI6" s="167"/>
      <c r="DJ6" s="167"/>
      <c r="DK6" s="167"/>
      <c r="DL6" s="167"/>
      <c r="DM6" s="167"/>
      <c r="DN6" s="167"/>
      <c r="DO6" s="167"/>
      <c r="DP6" s="167"/>
      <c r="DQ6" s="167"/>
      <c r="DR6" s="167"/>
      <c r="DS6" s="167"/>
      <c r="DT6" s="167"/>
      <c r="DU6" s="167"/>
      <c r="DV6" s="167"/>
      <c r="DW6" s="167"/>
      <c r="DX6" s="167"/>
      <c r="DY6" s="167"/>
      <c r="DZ6" s="167"/>
      <c r="EA6" s="167"/>
      <c r="EB6" s="167"/>
      <c r="EC6" s="167"/>
      <c r="ED6" s="167"/>
      <c r="EE6" s="167"/>
      <c r="EF6" s="167"/>
    </row>
    <row r="7" ht="14.25" customHeight="1" spans="1:136" x14ac:dyDescent="0.25">
      <c r="A7" s="168" t="s">
        <v>284</v>
      </c>
      <c r="B7" s="195" t="s">
        <v>362</v>
      </c>
      <c r="C7" s="195" t="s">
        <v>357</v>
      </c>
      <c r="D7" s="195" t="s">
        <v>153</v>
      </c>
      <c r="E7" s="195" t="s">
        <v>358</v>
      </c>
      <c r="F7" s="195" t="s">
        <v>359</v>
      </c>
      <c r="G7" s="196" t="s">
        <v>360</v>
      </c>
      <c r="H7" s="196" t="s">
        <v>164</v>
      </c>
      <c r="I7" s="196" t="s">
        <v>308</v>
      </c>
      <c r="J7" s="197" t="s">
        <v>152</v>
      </c>
      <c r="K7" s="195">
        <v>2025122301</v>
      </c>
      <c r="L7" s="198">
        <v>1084</v>
      </c>
      <c r="M7" s="167">
        <v>17</v>
      </c>
      <c r="N7" s="199">
        <f t="shared" si="0"/>
        <v>1067</v>
      </c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  <c r="DX7" s="167"/>
      <c r="DY7" s="167"/>
      <c r="DZ7" s="167"/>
      <c r="EA7" s="167"/>
      <c r="EB7" s="167"/>
      <c r="EC7" s="167"/>
      <c r="ED7" s="167"/>
      <c r="EE7" s="167"/>
      <c r="EF7" s="167"/>
    </row>
    <row r="8" ht="14.25" customHeight="1" spans="1:136" x14ac:dyDescent="0.25">
      <c r="A8" s="168" t="s">
        <v>286</v>
      </c>
      <c r="B8" s="133" t="s">
        <v>287</v>
      </c>
      <c r="C8" s="167"/>
      <c r="D8" s="167"/>
      <c r="E8" s="167"/>
      <c r="F8" s="200"/>
      <c r="G8" s="200"/>
      <c r="H8" s="200"/>
      <c r="I8" s="200"/>
      <c r="J8" s="200"/>
      <c r="K8" s="200"/>
      <c r="L8" s="200"/>
      <c r="M8" s="201"/>
      <c r="N8" s="201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67"/>
      <c r="DF8" s="167"/>
      <c r="DG8" s="167"/>
      <c r="DH8" s="167"/>
      <c r="DI8" s="167"/>
      <c r="DJ8" s="167"/>
      <c r="DK8" s="167"/>
      <c r="DL8" s="167"/>
      <c r="DM8" s="167"/>
      <c r="DN8" s="167"/>
      <c r="DO8" s="167"/>
      <c r="DP8" s="167"/>
      <c r="DQ8" s="167"/>
      <c r="DR8" s="167"/>
      <c r="DS8" s="167"/>
      <c r="DT8" s="167"/>
      <c r="DU8" s="167"/>
      <c r="DV8" s="167"/>
      <c r="DW8" s="167"/>
      <c r="DX8" s="167"/>
      <c r="DY8" s="167"/>
      <c r="DZ8" s="167"/>
      <c r="EA8" s="167"/>
      <c r="EB8" s="167"/>
      <c r="EC8" s="167"/>
      <c r="ED8" s="167"/>
      <c r="EE8" s="167"/>
      <c r="EF8" s="167"/>
    </row>
    <row r="9" ht="14.25" customHeight="1" spans="1:136" x14ac:dyDescent="0.25">
      <c r="A9" s="168" t="s">
        <v>288</v>
      </c>
      <c r="B9" s="133" t="s">
        <v>289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  <c r="CO9" s="167"/>
      <c r="CP9" s="167"/>
      <c r="CQ9" s="167"/>
      <c r="CR9" s="167"/>
      <c r="CS9" s="167"/>
      <c r="CT9" s="167"/>
      <c r="CU9" s="167"/>
      <c r="CV9" s="167"/>
      <c r="CW9" s="167"/>
      <c r="CX9" s="167"/>
      <c r="CY9" s="167"/>
      <c r="CZ9" s="167"/>
      <c r="DA9" s="167"/>
      <c r="DB9" s="167"/>
      <c r="DC9" s="167"/>
      <c r="DD9" s="167"/>
      <c r="DE9" s="167"/>
      <c r="DF9" s="167"/>
      <c r="DG9" s="167"/>
      <c r="DH9" s="167"/>
      <c r="DI9" s="167"/>
      <c r="DJ9" s="167"/>
      <c r="DK9" s="167"/>
      <c r="DL9" s="167"/>
      <c r="DM9" s="167"/>
      <c r="DN9" s="167"/>
      <c r="DO9" s="167"/>
      <c r="DP9" s="167"/>
      <c r="DQ9" s="167"/>
      <c r="DR9" s="167"/>
      <c r="DS9" s="167"/>
      <c r="DT9" s="167"/>
      <c r="DU9" s="167"/>
      <c r="DV9" s="167"/>
      <c r="DW9" s="167"/>
      <c r="DX9" s="167"/>
      <c r="DY9" s="167"/>
      <c r="DZ9" s="167"/>
      <c r="EA9" s="167"/>
      <c r="EB9" s="167"/>
      <c r="EC9" s="167"/>
      <c r="ED9" s="167"/>
      <c r="EE9" s="167"/>
      <c r="EF9" s="167"/>
    </row>
    <row r="10" ht="14.25" customHeight="1" spans="1:136" x14ac:dyDescent="0.25">
      <c r="A10" s="168" t="s">
        <v>290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</row>
    <row r="11" ht="14.25" customHeight="1" spans="1:136" x14ac:dyDescent="0.25">
      <c r="A11" s="159" t="s">
        <v>291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</row>
    <row r="12" ht="14.25" customHeight="1" spans="3:136" x14ac:dyDescent="0.25"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33" t="s">
        <v>292</v>
      </c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33" t="s">
        <v>141</v>
      </c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33" t="s">
        <v>142</v>
      </c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33" t="s">
        <v>143</v>
      </c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</row>
    <row r="13" ht="13.5" customHeight="1" spans="1:136" x14ac:dyDescent="0.25">
      <c r="A13" s="176" t="s">
        <v>293</v>
      </c>
      <c r="B13" s="176" t="s">
        <v>294</v>
      </c>
      <c r="C13" s="176" t="s">
        <v>295</v>
      </c>
      <c r="D13" s="176" t="s">
        <v>296</v>
      </c>
      <c r="E13" s="176" t="s">
        <v>297</v>
      </c>
      <c r="F13" s="176" t="s">
        <v>298</v>
      </c>
      <c r="G13" s="176" t="s">
        <v>299</v>
      </c>
      <c r="H13" s="176" t="s">
        <v>300</v>
      </c>
      <c r="I13" s="176" t="s">
        <v>301</v>
      </c>
      <c r="J13" s="176" t="s">
        <v>302</v>
      </c>
      <c r="K13" s="176" t="s">
        <v>303</v>
      </c>
      <c r="L13" s="176" t="s">
        <v>304</v>
      </c>
      <c r="M13" s="176" t="s">
        <v>305</v>
      </c>
      <c r="N13" s="176" t="s">
        <v>306</v>
      </c>
      <c r="O13" s="176" t="s">
        <v>307</v>
      </c>
      <c r="P13" s="176" t="s">
        <v>308</v>
      </c>
      <c r="Q13" s="176" t="s">
        <v>309</v>
      </c>
      <c r="R13" s="176" t="s">
        <v>310</v>
      </c>
      <c r="S13" s="176" t="s">
        <v>311</v>
      </c>
      <c r="T13" s="176" t="s">
        <v>312</v>
      </c>
      <c r="U13" s="176" t="s">
        <v>313</v>
      </c>
      <c r="V13" s="176" t="s">
        <v>314</v>
      </c>
      <c r="W13" s="176" t="s">
        <v>315</v>
      </c>
      <c r="X13" s="176" t="s">
        <v>316</v>
      </c>
      <c r="Y13" s="176" t="s">
        <v>317</v>
      </c>
      <c r="Z13" s="176" t="s">
        <v>318</v>
      </c>
      <c r="AA13" s="176" t="s">
        <v>319</v>
      </c>
      <c r="AB13" s="176" t="s">
        <v>320</v>
      </c>
      <c r="AC13" s="176" t="s">
        <v>321</v>
      </c>
      <c r="AD13" s="176" t="s">
        <v>322</v>
      </c>
      <c r="AE13" s="176" t="s">
        <v>323</v>
      </c>
      <c r="AF13" s="176" t="s">
        <v>324</v>
      </c>
      <c r="AG13" s="176" t="s">
        <v>325</v>
      </c>
      <c r="AH13" s="176" t="s">
        <v>326</v>
      </c>
      <c r="AI13" s="176" t="s">
        <v>327</v>
      </c>
      <c r="AJ13" s="176" t="s">
        <v>328</v>
      </c>
      <c r="AK13" s="176" t="s">
        <v>329</v>
      </c>
      <c r="AL13" s="176" t="s">
        <v>330</v>
      </c>
      <c r="AM13" s="176" t="s">
        <v>331</v>
      </c>
      <c r="AN13" s="176" t="s">
        <v>292</v>
      </c>
      <c r="AO13" s="176" t="s">
        <v>301</v>
      </c>
      <c r="AP13" s="176" t="s">
        <v>302</v>
      </c>
      <c r="AQ13" s="176" t="s">
        <v>303</v>
      </c>
      <c r="AR13" s="176" t="s">
        <v>304</v>
      </c>
      <c r="AS13" s="176" t="s">
        <v>305</v>
      </c>
      <c r="AT13" s="176" t="s">
        <v>306</v>
      </c>
      <c r="AU13" s="176" t="s">
        <v>307</v>
      </c>
      <c r="AV13" s="176" t="s">
        <v>308</v>
      </c>
      <c r="AW13" s="176" t="s">
        <v>309</v>
      </c>
      <c r="AX13" s="176" t="s">
        <v>310</v>
      </c>
      <c r="AY13" s="176" t="s">
        <v>311</v>
      </c>
      <c r="AZ13" s="176" t="s">
        <v>312</v>
      </c>
      <c r="BA13" s="176" t="s">
        <v>313</v>
      </c>
      <c r="BB13" s="176" t="s">
        <v>314</v>
      </c>
      <c r="BC13" s="176" t="s">
        <v>315</v>
      </c>
      <c r="BD13" s="176" t="s">
        <v>316</v>
      </c>
      <c r="BE13" s="176" t="s">
        <v>317</v>
      </c>
      <c r="BF13" s="176" t="s">
        <v>318</v>
      </c>
      <c r="BG13" s="176" t="s">
        <v>319</v>
      </c>
      <c r="BH13" s="176" t="s">
        <v>320</v>
      </c>
      <c r="BI13" s="176" t="s">
        <v>321</v>
      </c>
      <c r="BJ13" s="176" t="s">
        <v>322</v>
      </c>
      <c r="BK13" s="176" t="s">
        <v>323</v>
      </c>
      <c r="BL13" s="176" t="s">
        <v>324</v>
      </c>
      <c r="BM13" s="176" t="s">
        <v>325</v>
      </c>
      <c r="BN13" s="176" t="s">
        <v>326</v>
      </c>
      <c r="BO13" s="176" t="s">
        <v>327</v>
      </c>
      <c r="BP13" s="176" t="s">
        <v>328</v>
      </c>
      <c r="BQ13" s="176" t="s">
        <v>329</v>
      </c>
      <c r="BR13" s="176" t="s">
        <v>330</v>
      </c>
      <c r="BS13" s="176" t="s">
        <v>331</v>
      </c>
      <c r="BT13" s="176" t="s">
        <v>141</v>
      </c>
      <c r="BU13" s="176" t="s">
        <v>301</v>
      </c>
      <c r="BV13" s="176" t="s">
        <v>302</v>
      </c>
      <c r="BW13" s="176" t="s">
        <v>303</v>
      </c>
      <c r="BX13" s="176" t="s">
        <v>304</v>
      </c>
      <c r="BY13" s="176" t="s">
        <v>305</v>
      </c>
      <c r="BZ13" s="176" t="s">
        <v>306</v>
      </c>
      <c r="CA13" s="176" t="s">
        <v>307</v>
      </c>
      <c r="CB13" s="176" t="s">
        <v>308</v>
      </c>
      <c r="CC13" s="176" t="s">
        <v>309</v>
      </c>
      <c r="CD13" s="176" t="s">
        <v>310</v>
      </c>
      <c r="CE13" s="176" t="s">
        <v>311</v>
      </c>
      <c r="CF13" s="176" t="s">
        <v>312</v>
      </c>
      <c r="CG13" s="176" t="s">
        <v>313</v>
      </c>
      <c r="CH13" s="176" t="s">
        <v>314</v>
      </c>
      <c r="CI13" s="176" t="s">
        <v>315</v>
      </c>
      <c r="CJ13" s="176" t="s">
        <v>316</v>
      </c>
      <c r="CK13" s="176" t="s">
        <v>317</v>
      </c>
      <c r="CL13" s="176" t="s">
        <v>318</v>
      </c>
      <c r="CM13" s="176" t="s">
        <v>319</v>
      </c>
      <c r="CN13" s="176" t="s">
        <v>320</v>
      </c>
      <c r="CO13" s="176" t="s">
        <v>321</v>
      </c>
      <c r="CP13" s="176" t="s">
        <v>322</v>
      </c>
      <c r="CQ13" s="176" t="s">
        <v>323</v>
      </c>
      <c r="CR13" s="176" t="s">
        <v>324</v>
      </c>
      <c r="CS13" s="176" t="s">
        <v>325</v>
      </c>
      <c r="CT13" s="176" t="s">
        <v>326</v>
      </c>
      <c r="CU13" s="176" t="s">
        <v>327</v>
      </c>
      <c r="CV13" s="176" t="s">
        <v>328</v>
      </c>
      <c r="CW13" s="176" t="s">
        <v>329</v>
      </c>
      <c r="CX13" s="176" t="s">
        <v>330</v>
      </c>
      <c r="CY13" s="176" t="s">
        <v>331</v>
      </c>
      <c r="CZ13" s="176" t="s">
        <v>142</v>
      </c>
      <c r="DA13" s="176" t="s">
        <v>301</v>
      </c>
      <c r="DB13" s="176" t="s">
        <v>302</v>
      </c>
      <c r="DC13" s="176" t="s">
        <v>303</v>
      </c>
      <c r="DD13" s="176" t="s">
        <v>304</v>
      </c>
      <c r="DE13" s="176" t="s">
        <v>305</v>
      </c>
      <c r="DF13" s="176" t="s">
        <v>306</v>
      </c>
      <c r="DG13" s="176" t="s">
        <v>307</v>
      </c>
      <c r="DH13" s="176" t="s">
        <v>308</v>
      </c>
      <c r="DI13" s="176" t="s">
        <v>309</v>
      </c>
      <c r="DJ13" s="176" t="s">
        <v>310</v>
      </c>
      <c r="DK13" s="176" t="s">
        <v>311</v>
      </c>
      <c r="DL13" s="176" t="s">
        <v>312</v>
      </c>
      <c r="DM13" s="176" t="s">
        <v>313</v>
      </c>
      <c r="DN13" s="176" t="s">
        <v>314</v>
      </c>
      <c r="DO13" s="176" t="s">
        <v>315</v>
      </c>
      <c r="DP13" s="176" t="s">
        <v>316</v>
      </c>
      <c r="DQ13" s="176" t="s">
        <v>317</v>
      </c>
      <c r="DR13" s="176" t="s">
        <v>318</v>
      </c>
      <c r="DS13" s="176" t="s">
        <v>319</v>
      </c>
      <c r="DT13" s="176" t="s">
        <v>320</v>
      </c>
      <c r="DU13" s="176" t="s">
        <v>321</v>
      </c>
      <c r="DV13" s="176" t="s">
        <v>322</v>
      </c>
      <c r="DW13" s="176" t="s">
        <v>323</v>
      </c>
      <c r="DX13" s="176" t="s">
        <v>324</v>
      </c>
      <c r="DY13" s="176" t="s">
        <v>325</v>
      </c>
      <c r="DZ13" s="176" t="s">
        <v>326</v>
      </c>
      <c r="EA13" s="176" t="s">
        <v>327</v>
      </c>
      <c r="EB13" s="176" t="s">
        <v>328</v>
      </c>
      <c r="EC13" s="176" t="s">
        <v>329</v>
      </c>
      <c r="ED13" s="176" t="s">
        <v>330</v>
      </c>
      <c r="EE13" s="176" t="s">
        <v>331</v>
      </c>
      <c r="EF13" s="176" t="s">
        <v>143</v>
      </c>
    </row>
    <row r="14" ht="14.25" customHeight="1" spans="1:200" x14ac:dyDescent="0.25">
      <c r="A14" s="177" t="s">
        <v>150</v>
      </c>
      <c r="B14" s="177" t="s">
        <v>151</v>
      </c>
      <c r="C14" s="177" t="s">
        <v>152</v>
      </c>
      <c r="D14" s="177" t="s">
        <v>332</v>
      </c>
      <c r="E14" s="177" t="s">
        <v>360</v>
      </c>
      <c r="F14" s="177" t="s">
        <v>153</v>
      </c>
      <c r="G14" s="177" t="s">
        <v>154</v>
      </c>
      <c r="H14" s="178">
        <v>25</v>
      </c>
      <c r="I14" s="178">
        <v>0</v>
      </c>
      <c r="J14" s="178">
        <v>59</v>
      </c>
      <c r="K14" s="178">
        <v>54</v>
      </c>
      <c r="L14" s="178">
        <v>60</v>
      </c>
      <c r="M14" s="178">
        <v>65</v>
      </c>
      <c r="N14" s="178">
        <v>58</v>
      </c>
      <c r="O14" s="178">
        <v>0</v>
      </c>
      <c r="P14" s="178">
        <v>0</v>
      </c>
      <c r="Q14" s="178">
        <v>57</v>
      </c>
      <c r="R14" s="178">
        <v>60</v>
      </c>
      <c r="S14" s="178">
        <v>58</v>
      </c>
      <c r="T14" s="178">
        <v>59</v>
      </c>
      <c r="U14" s="178">
        <v>57</v>
      </c>
      <c r="V14" s="178">
        <v>59</v>
      </c>
      <c r="W14" s="178">
        <v>0</v>
      </c>
      <c r="X14" s="178">
        <v>64</v>
      </c>
      <c r="Y14" s="178">
        <v>62</v>
      </c>
      <c r="Z14" s="178">
        <v>56</v>
      </c>
      <c r="AA14" s="178">
        <v>63</v>
      </c>
      <c r="AB14" s="178">
        <v>52</v>
      </c>
      <c r="AC14" s="178">
        <v>0</v>
      </c>
      <c r="AD14" s="178">
        <v>0</v>
      </c>
      <c r="AE14" s="178">
        <v>64</v>
      </c>
      <c r="AF14" s="178">
        <v>73</v>
      </c>
      <c r="AG14" s="178">
        <v>70</v>
      </c>
      <c r="AH14" s="178">
        <v>70</v>
      </c>
      <c r="AI14" s="178">
        <v>68</v>
      </c>
      <c r="AJ14" s="178">
        <v>64</v>
      </c>
      <c r="AK14" s="178">
        <v>0</v>
      </c>
      <c r="AL14" s="178">
        <v>0</v>
      </c>
      <c r="AM14" s="178">
        <v>0</v>
      </c>
      <c r="AN14" s="178">
        <v>1352</v>
      </c>
      <c r="AO14" s="178">
        <v>0</v>
      </c>
      <c r="AP14" s="178">
        <v>0</v>
      </c>
      <c r="AQ14" s="178">
        <v>0</v>
      </c>
      <c r="AR14" s="178">
        <v>72</v>
      </c>
      <c r="AS14" s="178">
        <v>69</v>
      </c>
      <c r="AT14" s="178">
        <v>74</v>
      </c>
      <c r="AU14" s="178">
        <v>38</v>
      </c>
      <c r="AV14" s="178">
        <v>0</v>
      </c>
      <c r="AW14" s="178">
        <v>76</v>
      </c>
      <c r="AX14" s="178">
        <v>78</v>
      </c>
      <c r="AY14" s="178">
        <v>77</v>
      </c>
      <c r="AZ14" s="178">
        <v>82</v>
      </c>
      <c r="BA14" s="178">
        <v>82</v>
      </c>
      <c r="BB14" s="178">
        <v>77</v>
      </c>
      <c r="BC14" s="178">
        <v>0</v>
      </c>
      <c r="BD14" s="178">
        <v>83</v>
      </c>
      <c r="BE14" s="178">
        <v>82</v>
      </c>
      <c r="BF14" s="178">
        <v>86</v>
      </c>
      <c r="BG14" s="178">
        <v>85</v>
      </c>
      <c r="BH14" s="178">
        <v>83</v>
      </c>
      <c r="BI14" s="178">
        <v>0</v>
      </c>
      <c r="BJ14" s="178">
        <v>0</v>
      </c>
      <c r="BK14" s="178">
        <v>82</v>
      </c>
      <c r="BL14" s="178">
        <v>82</v>
      </c>
      <c r="BM14" s="178">
        <v>74</v>
      </c>
      <c r="BN14" s="178">
        <v>87</v>
      </c>
      <c r="BO14" s="178">
        <v>78</v>
      </c>
      <c r="BP14" s="178">
        <v>80</v>
      </c>
      <c r="BQ14" s="178">
        <v>0</v>
      </c>
      <c r="BR14" s="178">
        <v>83</v>
      </c>
      <c r="BS14" s="178">
        <v>77</v>
      </c>
      <c r="BT14" s="178">
        <v>1787</v>
      </c>
      <c r="BU14" s="178">
        <v>110</v>
      </c>
      <c r="BV14" s="178">
        <v>110</v>
      </c>
      <c r="BW14" s="178">
        <v>110</v>
      </c>
      <c r="BX14" s="178">
        <v>55</v>
      </c>
      <c r="BY14" s="178">
        <v>0</v>
      </c>
      <c r="BZ14" s="178">
        <v>110</v>
      </c>
      <c r="CA14" s="178">
        <v>110</v>
      </c>
      <c r="CB14" s="178">
        <v>110</v>
      </c>
      <c r="CC14" s="178">
        <v>110</v>
      </c>
      <c r="CD14" s="178">
        <v>110</v>
      </c>
      <c r="CE14" s="178">
        <v>0</v>
      </c>
      <c r="CF14" s="178">
        <v>0</v>
      </c>
      <c r="CG14" s="178">
        <v>0</v>
      </c>
      <c r="CH14" s="178">
        <v>0</v>
      </c>
      <c r="CI14" s="178">
        <v>0</v>
      </c>
      <c r="CJ14" s="178">
        <v>0</v>
      </c>
      <c r="CK14" s="178">
        <v>0</v>
      </c>
      <c r="CL14" s="178">
        <v>0</v>
      </c>
      <c r="CM14" s="178">
        <v>0</v>
      </c>
      <c r="CN14" s="178">
        <v>110</v>
      </c>
      <c r="CO14" s="178">
        <v>110</v>
      </c>
      <c r="CP14" s="178">
        <v>110</v>
      </c>
      <c r="CQ14" s="178">
        <v>110</v>
      </c>
      <c r="CR14" s="178">
        <v>110</v>
      </c>
      <c r="CS14" s="178">
        <v>110</v>
      </c>
      <c r="CT14" s="178">
        <v>0</v>
      </c>
      <c r="CU14" s="178">
        <v>111</v>
      </c>
      <c r="CV14" s="178">
        <v>110</v>
      </c>
      <c r="CW14" s="178">
        <v>111</v>
      </c>
      <c r="CX14" s="178">
        <v>110</v>
      </c>
      <c r="CY14" s="178">
        <v>0</v>
      </c>
      <c r="CZ14" s="178">
        <v>2037</v>
      </c>
      <c r="DA14" s="178">
        <v>0</v>
      </c>
      <c r="DB14" s="178">
        <v>0</v>
      </c>
      <c r="DC14" s="178">
        <v>0</v>
      </c>
      <c r="DD14" s="178">
        <v>0</v>
      </c>
      <c r="DE14" s="178">
        <v>0</v>
      </c>
      <c r="DF14" s="178">
        <v>0</v>
      </c>
      <c r="DG14" s="178">
        <v>0</v>
      </c>
      <c r="DH14" s="178">
        <v>0</v>
      </c>
      <c r="DI14" s="178">
        <v>0</v>
      </c>
      <c r="DJ14" s="178">
        <v>0</v>
      </c>
      <c r="DK14" s="178">
        <v>0</v>
      </c>
      <c r="DL14" s="178">
        <v>0</v>
      </c>
      <c r="DM14" s="178">
        <v>0</v>
      </c>
      <c r="DN14" s="178">
        <v>0</v>
      </c>
      <c r="DO14" s="178">
        <v>0</v>
      </c>
      <c r="DP14" s="178">
        <v>0</v>
      </c>
      <c r="DQ14" s="178">
        <v>0</v>
      </c>
      <c r="DR14" s="178">
        <v>0</v>
      </c>
      <c r="DS14" s="178">
        <v>0</v>
      </c>
      <c r="DT14" s="178">
        <v>0</v>
      </c>
      <c r="DU14" s="178">
        <v>0</v>
      </c>
      <c r="DV14" s="178">
        <v>0</v>
      </c>
      <c r="DW14" s="178">
        <v>0</v>
      </c>
      <c r="DX14" s="178">
        <v>0</v>
      </c>
      <c r="DY14" s="178">
        <v>0</v>
      </c>
      <c r="DZ14" s="178">
        <v>0</v>
      </c>
      <c r="EA14" s="178">
        <v>0</v>
      </c>
      <c r="EB14" s="178">
        <v>0</v>
      </c>
      <c r="EC14" s="178">
        <v>0</v>
      </c>
      <c r="ED14" s="178">
        <v>0</v>
      </c>
      <c r="EE14" s="178">
        <v>0</v>
      </c>
      <c r="EF14" s="178">
        <v>0</v>
      </c>
    </row>
    <row r="15" ht="14.25" customHeight="1" spans="1:200" x14ac:dyDescent="0.25">
      <c r="A15" s="177" t="s">
        <v>22</v>
      </c>
      <c r="B15" s="177" t="s">
        <v>159</v>
      </c>
      <c r="C15" s="177" t="s">
        <v>152</v>
      </c>
      <c r="D15" s="177" t="s">
        <v>332</v>
      </c>
      <c r="E15" s="177" t="s">
        <v>360</v>
      </c>
      <c r="F15" s="177" t="s">
        <v>153</v>
      </c>
      <c r="G15" s="177" t="s">
        <v>154</v>
      </c>
      <c r="H15" s="178">
        <v>42</v>
      </c>
      <c r="I15" s="178">
        <v>0</v>
      </c>
      <c r="J15" s="178">
        <v>29</v>
      </c>
      <c r="K15" s="178">
        <v>28</v>
      </c>
      <c r="L15" s="178">
        <v>29</v>
      </c>
      <c r="M15" s="178">
        <v>32</v>
      </c>
      <c r="N15" s="178">
        <v>27</v>
      </c>
      <c r="O15" s="178">
        <v>0</v>
      </c>
      <c r="P15" s="178">
        <v>0</v>
      </c>
      <c r="Q15" s="178">
        <v>33</v>
      </c>
      <c r="R15" s="178">
        <v>27</v>
      </c>
      <c r="S15" s="178">
        <v>29</v>
      </c>
      <c r="T15" s="178">
        <v>30</v>
      </c>
      <c r="U15" s="178">
        <v>28</v>
      </c>
      <c r="V15" s="178">
        <v>28</v>
      </c>
      <c r="W15" s="178">
        <v>0</v>
      </c>
      <c r="X15" s="178">
        <v>38</v>
      </c>
      <c r="Y15" s="178">
        <v>27</v>
      </c>
      <c r="Z15" s="178">
        <v>32</v>
      </c>
      <c r="AA15" s="178">
        <v>28</v>
      </c>
      <c r="AB15" s="178">
        <v>27</v>
      </c>
      <c r="AC15" s="178">
        <v>0</v>
      </c>
      <c r="AD15" s="178">
        <v>0</v>
      </c>
      <c r="AE15" s="178">
        <v>28</v>
      </c>
      <c r="AF15" s="178">
        <v>39</v>
      </c>
      <c r="AG15" s="178">
        <v>36</v>
      </c>
      <c r="AH15" s="178">
        <v>37</v>
      </c>
      <c r="AI15" s="178">
        <v>32</v>
      </c>
      <c r="AJ15" s="178">
        <v>32</v>
      </c>
      <c r="AK15" s="178">
        <v>0</v>
      </c>
      <c r="AL15" s="178">
        <v>0</v>
      </c>
      <c r="AM15" s="178">
        <v>0</v>
      </c>
      <c r="AN15" s="178">
        <v>676</v>
      </c>
      <c r="AO15" s="178">
        <v>0</v>
      </c>
      <c r="AP15" s="178">
        <v>0</v>
      </c>
      <c r="AQ15" s="178">
        <v>0</v>
      </c>
      <c r="AR15" s="178">
        <v>46</v>
      </c>
      <c r="AS15" s="178">
        <v>50</v>
      </c>
      <c r="AT15" s="178">
        <v>45</v>
      </c>
      <c r="AU15" s="178">
        <v>23</v>
      </c>
      <c r="AV15" s="178">
        <v>0</v>
      </c>
      <c r="AW15" s="178">
        <v>53</v>
      </c>
      <c r="AX15" s="178">
        <v>49</v>
      </c>
      <c r="AY15" s="178">
        <v>54</v>
      </c>
      <c r="AZ15" s="178">
        <v>52</v>
      </c>
      <c r="BA15" s="178">
        <v>54</v>
      </c>
      <c r="BB15" s="178">
        <v>51</v>
      </c>
      <c r="BC15" s="178">
        <v>0</v>
      </c>
      <c r="BD15" s="178">
        <v>53</v>
      </c>
      <c r="BE15" s="178">
        <v>55</v>
      </c>
      <c r="BF15" s="178">
        <v>51</v>
      </c>
      <c r="BG15" s="178">
        <v>56</v>
      </c>
      <c r="BH15" s="178">
        <v>53</v>
      </c>
      <c r="BI15" s="178">
        <v>0</v>
      </c>
      <c r="BJ15" s="178">
        <v>0</v>
      </c>
      <c r="BK15" s="178">
        <v>55</v>
      </c>
      <c r="BL15" s="178">
        <v>55</v>
      </c>
      <c r="BM15" s="178">
        <v>51</v>
      </c>
      <c r="BN15" s="178">
        <v>55</v>
      </c>
      <c r="BO15" s="178">
        <v>56</v>
      </c>
      <c r="BP15" s="178">
        <v>49</v>
      </c>
      <c r="BQ15" s="178">
        <v>0</v>
      </c>
      <c r="BR15" s="178">
        <v>54</v>
      </c>
      <c r="BS15" s="178">
        <v>50</v>
      </c>
      <c r="BT15" s="178">
        <v>1170</v>
      </c>
      <c r="BU15" s="178">
        <v>59</v>
      </c>
      <c r="BV15" s="178">
        <v>59</v>
      </c>
      <c r="BW15" s="178">
        <v>59</v>
      </c>
      <c r="BX15" s="178">
        <v>29</v>
      </c>
      <c r="BY15" s="178">
        <v>0</v>
      </c>
      <c r="BZ15" s="178">
        <v>59</v>
      </c>
      <c r="CA15" s="178">
        <v>59</v>
      </c>
      <c r="CB15" s="178">
        <v>58</v>
      </c>
      <c r="CC15" s="178">
        <v>59</v>
      </c>
      <c r="CD15" s="178">
        <v>58</v>
      </c>
      <c r="CE15" s="178">
        <v>0</v>
      </c>
      <c r="CF15" s="178">
        <v>0</v>
      </c>
      <c r="CG15" s="178">
        <v>0</v>
      </c>
      <c r="CH15" s="178">
        <v>0</v>
      </c>
      <c r="CI15" s="178">
        <v>0</v>
      </c>
      <c r="CJ15" s="178">
        <v>0</v>
      </c>
      <c r="CK15" s="178">
        <v>0</v>
      </c>
      <c r="CL15" s="178">
        <v>0</v>
      </c>
      <c r="CM15" s="178">
        <v>0</v>
      </c>
      <c r="CN15" s="178">
        <v>59</v>
      </c>
      <c r="CO15" s="178">
        <v>58</v>
      </c>
      <c r="CP15" s="178">
        <v>59</v>
      </c>
      <c r="CQ15" s="178">
        <v>58</v>
      </c>
      <c r="CR15" s="178">
        <v>59</v>
      </c>
      <c r="CS15" s="178">
        <v>58</v>
      </c>
      <c r="CT15" s="178">
        <v>0</v>
      </c>
      <c r="CU15" s="178">
        <v>59</v>
      </c>
      <c r="CV15" s="178">
        <v>58</v>
      </c>
      <c r="CW15" s="178">
        <v>59</v>
      </c>
      <c r="CX15" s="178">
        <v>58</v>
      </c>
      <c r="CY15" s="178">
        <v>0</v>
      </c>
      <c r="CZ15" s="178">
        <v>1084</v>
      </c>
      <c r="DA15" s="178">
        <v>0</v>
      </c>
      <c r="DB15" s="178">
        <v>0</v>
      </c>
      <c r="DC15" s="178">
        <v>0</v>
      </c>
      <c r="DD15" s="178">
        <v>20</v>
      </c>
      <c r="DE15" s="178">
        <v>20</v>
      </c>
      <c r="DF15" s="178">
        <v>20</v>
      </c>
      <c r="DG15" s="178">
        <v>20</v>
      </c>
      <c r="DH15" s="178">
        <v>20</v>
      </c>
      <c r="DI15" s="178">
        <v>20</v>
      </c>
      <c r="DJ15" s="178">
        <v>0</v>
      </c>
      <c r="DK15" s="178">
        <v>20</v>
      </c>
      <c r="DL15" s="178">
        <v>20</v>
      </c>
      <c r="DM15" s="178">
        <v>20</v>
      </c>
      <c r="DN15" s="178">
        <v>20</v>
      </c>
      <c r="DO15" s="178">
        <v>20</v>
      </c>
      <c r="DP15" s="178">
        <v>10</v>
      </c>
      <c r="DQ15" s="178">
        <v>0</v>
      </c>
      <c r="DR15" s="178">
        <v>20</v>
      </c>
      <c r="DS15" s="178">
        <v>20</v>
      </c>
      <c r="DT15" s="178">
        <v>20</v>
      </c>
      <c r="DU15" s="178">
        <v>20</v>
      </c>
      <c r="DV15" s="178">
        <v>20</v>
      </c>
      <c r="DW15" s="178">
        <v>20</v>
      </c>
      <c r="DX15" s="178">
        <v>0</v>
      </c>
      <c r="DY15" s="178">
        <v>20</v>
      </c>
      <c r="DZ15" s="178">
        <v>20</v>
      </c>
      <c r="EA15" s="178">
        <v>20</v>
      </c>
      <c r="EB15" s="178">
        <v>21</v>
      </c>
      <c r="EC15" s="178">
        <v>20</v>
      </c>
      <c r="ED15" s="178">
        <v>0</v>
      </c>
      <c r="EE15" s="178">
        <v>0</v>
      </c>
      <c r="EF15" s="178">
        <v>451</v>
      </c>
    </row>
    <row r="16" ht="14.25" customHeight="1" spans="1:200" x14ac:dyDescent="0.25">
      <c r="A16" s="177" t="s">
        <v>161</v>
      </c>
      <c r="B16" s="177" t="s">
        <v>162</v>
      </c>
      <c r="C16" s="177" t="s">
        <v>152</v>
      </c>
      <c r="D16" s="177" t="s">
        <v>332</v>
      </c>
      <c r="E16" s="177" t="s">
        <v>360</v>
      </c>
      <c r="F16" s="177" t="s">
        <v>153</v>
      </c>
      <c r="G16" s="177" t="s">
        <v>154</v>
      </c>
      <c r="H16" s="178">
        <v>8</v>
      </c>
      <c r="I16" s="178">
        <v>0</v>
      </c>
      <c r="J16" s="178">
        <v>0</v>
      </c>
      <c r="K16" s="178">
        <v>0</v>
      </c>
      <c r="L16" s="178">
        <v>0</v>
      </c>
      <c r="M16" s="178">
        <v>0</v>
      </c>
      <c r="N16" s="178">
        <v>0</v>
      </c>
      <c r="O16" s="178">
        <v>0</v>
      </c>
      <c r="P16" s="178">
        <v>0</v>
      </c>
      <c r="Q16" s="178">
        <v>0</v>
      </c>
      <c r="R16" s="178">
        <v>1</v>
      </c>
      <c r="S16" s="178">
        <v>0</v>
      </c>
      <c r="T16" s="178">
        <v>0</v>
      </c>
      <c r="U16" s="178">
        <v>0</v>
      </c>
      <c r="V16" s="178">
        <v>0</v>
      </c>
      <c r="W16" s="178">
        <v>0</v>
      </c>
      <c r="X16" s="178">
        <v>0</v>
      </c>
      <c r="Y16" s="178">
        <v>0</v>
      </c>
      <c r="Z16" s="178">
        <v>0</v>
      </c>
      <c r="AA16" s="178">
        <v>0</v>
      </c>
      <c r="AB16" s="178">
        <v>1</v>
      </c>
      <c r="AC16" s="178">
        <v>0</v>
      </c>
      <c r="AD16" s="178">
        <v>0</v>
      </c>
      <c r="AE16" s="178">
        <v>0</v>
      </c>
      <c r="AF16" s="178">
        <v>0</v>
      </c>
      <c r="AG16" s="178">
        <v>0</v>
      </c>
      <c r="AH16" s="178">
        <v>0</v>
      </c>
      <c r="AI16" s="178">
        <v>0</v>
      </c>
      <c r="AJ16" s="178">
        <v>0</v>
      </c>
      <c r="AK16" s="178">
        <v>0</v>
      </c>
      <c r="AL16" s="178">
        <v>0</v>
      </c>
      <c r="AM16" s="178">
        <v>0</v>
      </c>
      <c r="AN16" s="178">
        <v>2</v>
      </c>
      <c r="AO16" s="178">
        <v>0</v>
      </c>
      <c r="AP16" s="178">
        <v>0</v>
      </c>
      <c r="AQ16" s="178">
        <v>0</v>
      </c>
      <c r="AR16" s="178">
        <v>0</v>
      </c>
      <c r="AS16" s="178">
        <v>0</v>
      </c>
      <c r="AT16" s="178">
        <v>0</v>
      </c>
      <c r="AU16" s="178">
        <v>0</v>
      </c>
      <c r="AV16" s="178">
        <v>0</v>
      </c>
      <c r="AW16" s="178">
        <v>1</v>
      </c>
      <c r="AX16" s="178">
        <v>0</v>
      </c>
      <c r="AY16" s="178">
        <v>1</v>
      </c>
      <c r="AZ16" s="178">
        <v>0</v>
      </c>
      <c r="BA16" s="178">
        <v>0</v>
      </c>
      <c r="BB16" s="178">
        <v>0</v>
      </c>
      <c r="BC16" s="178">
        <v>0</v>
      </c>
      <c r="BD16" s="178">
        <v>0</v>
      </c>
      <c r="BE16" s="178">
        <v>0</v>
      </c>
      <c r="BF16" s="178">
        <v>0</v>
      </c>
      <c r="BG16" s="178">
        <v>0</v>
      </c>
      <c r="BH16" s="178">
        <v>0</v>
      </c>
      <c r="BI16" s="178">
        <v>0</v>
      </c>
      <c r="BJ16" s="178">
        <v>0</v>
      </c>
      <c r="BK16" s="178">
        <v>0</v>
      </c>
      <c r="BL16" s="178">
        <v>0</v>
      </c>
      <c r="BM16" s="178">
        <v>1</v>
      </c>
      <c r="BN16" s="178">
        <v>0</v>
      </c>
      <c r="BO16" s="178">
        <v>1</v>
      </c>
      <c r="BP16" s="178">
        <v>0</v>
      </c>
      <c r="BQ16" s="178">
        <v>0</v>
      </c>
      <c r="BR16" s="178">
        <v>0</v>
      </c>
      <c r="BS16" s="178">
        <v>0</v>
      </c>
      <c r="BT16" s="178">
        <v>4</v>
      </c>
      <c r="BU16" s="178">
        <v>0</v>
      </c>
      <c r="BV16" s="178">
        <v>0</v>
      </c>
      <c r="BW16" s="178">
        <v>0</v>
      </c>
      <c r="BX16" s="178">
        <v>0</v>
      </c>
      <c r="BY16" s="178">
        <v>0</v>
      </c>
      <c r="BZ16" s="178">
        <v>0</v>
      </c>
      <c r="CA16" s="178">
        <v>0</v>
      </c>
      <c r="CB16" s="178">
        <v>0</v>
      </c>
      <c r="CC16" s="178">
        <v>0</v>
      </c>
      <c r="CD16" s="178">
        <v>0</v>
      </c>
      <c r="CE16" s="178">
        <v>0</v>
      </c>
      <c r="CF16" s="178">
        <v>0</v>
      </c>
      <c r="CG16" s="178">
        <v>0</v>
      </c>
      <c r="CH16" s="178">
        <v>0</v>
      </c>
      <c r="CI16" s="178">
        <v>0</v>
      </c>
      <c r="CJ16" s="178">
        <v>0</v>
      </c>
      <c r="CK16" s="178">
        <v>0</v>
      </c>
      <c r="CL16" s="178">
        <v>0</v>
      </c>
      <c r="CM16" s="178">
        <v>0</v>
      </c>
      <c r="CN16" s="178">
        <v>0</v>
      </c>
      <c r="CO16" s="178">
        <v>0</v>
      </c>
      <c r="CP16" s="178">
        <v>0</v>
      </c>
      <c r="CQ16" s="178">
        <v>0</v>
      </c>
      <c r="CR16" s="178">
        <v>0</v>
      </c>
      <c r="CS16" s="178">
        <v>0</v>
      </c>
      <c r="CT16" s="178">
        <v>0</v>
      </c>
      <c r="CU16" s="178">
        <v>0</v>
      </c>
      <c r="CV16" s="178">
        <v>0</v>
      </c>
      <c r="CW16" s="178">
        <v>0</v>
      </c>
      <c r="CX16" s="178">
        <v>0</v>
      </c>
      <c r="CY16" s="178">
        <v>0</v>
      </c>
      <c r="CZ16" s="178">
        <v>0</v>
      </c>
      <c r="DA16" s="178">
        <v>0</v>
      </c>
      <c r="DB16" s="178">
        <v>0</v>
      </c>
      <c r="DC16" s="178">
        <v>0</v>
      </c>
      <c r="DD16" s="178">
        <v>0</v>
      </c>
      <c r="DE16" s="178">
        <v>0</v>
      </c>
      <c r="DF16" s="178">
        <v>0</v>
      </c>
      <c r="DG16" s="178">
        <v>0</v>
      </c>
      <c r="DH16" s="178">
        <v>0</v>
      </c>
      <c r="DI16" s="178">
        <v>0</v>
      </c>
      <c r="DJ16" s="178">
        <v>0</v>
      </c>
      <c r="DK16" s="178">
        <v>0</v>
      </c>
      <c r="DL16" s="178">
        <v>0</v>
      </c>
      <c r="DM16" s="178">
        <v>0</v>
      </c>
      <c r="DN16" s="178">
        <v>0</v>
      </c>
      <c r="DO16" s="178">
        <v>0</v>
      </c>
      <c r="DP16" s="178">
        <v>0</v>
      </c>
      <c r="DQ16" s="178">
        <v>0</v>
      </c>
      <c r="DR16" s="178">
        <v>0</v>
      </c>
      <c r="DS16" s="178">
        <v>0</v>
      </c>
      <c r="DT16" s="178">
        <v>0</v>
      </c>
      <c r="DU16" s="178">
        <v>0</v>
      </c>
      <c r="DV16" s="178">
        <v>0</v>
      </c>
      <c r="DW16" s="178">
        <v>0</v>
      </c>
      <c r="DX16" s="178">
        <v>0</v>
      </c>
      <c r="DY16" s="178">
        <v>0</v>
      </c>
      <c r="DZ16" s="178">
        <v>0</v>
      </c>
      <c r="EA16" s="178">
        <v>0</v>
      </c>
      <c r="EB16" s="178">
        <v>0</v>
      </c>
      <c r="EC16" s="178">
        <v>0</v>
      </c>
      <c r="ED16" s="178">
        <v>0</v>
      </c>
      <c r="EE16" s="178">
        <v>0</v>
      </c>
      <c r="EF16" s="178">
        <v>0</v>
      </c>
    </row>
    <row r="17" ht="14.25" customHeight="1" spans="1:200" x14ac:dyDescent="0.25">
      <c r="A17" s="177" t="s">
        <v>163</v>
      </c>
      <c r="B17" s="177" t="s">
        <v>164</v>
      </c>
      <c r="C17" s="177" t="s">
        <v>152</v>
      </c>
      <c r="D17" s="177" t="s">
        <v>332</v>
      </c>
      <c r="E17" s="177" t="s">
        <v>360</v>
      </c>
      <c r="F17" s="177" t="s">
        <v>153</v>
      </c>
      <c r="G17" s="177" t="s">
        <v>154</v>
      </c>
      <c r="H17" s="178">
        <v>8</v>
      </c>
      <c r="I17" s="178">
        <v>0</v>
      </c>
      <c r="J17" s="178">
        <v>12</v>
      </c>
      <c r="K17" s="178">
        <v>8</v>
      </c>
      <c r="L17" s="178">
        <v>10</v>
      </c>
      <c r="M17" s="178">
        <v>16</v>
      </c>
      <c r="N17" s="178">
        <v>10</v>
      </c>
      <c r="O17" s="178">
        <v>0</v>
      </c>
      <c r="P17" s="178">
        <v>0</v>
      </c>
      <c r="Q17" s="178">
        <v>10</v>
      </c>
      <c r="R17" s="178">
        <v>11</v>
      </c>
      <c r="S17" s="178">
        <v>10</v>
      </c>
      <c r="T17" s="178">
        <v>10</v>
      </c>
      <c r="U17" s="178">
        <v>10</v>
      </c>
      <c r="V17" s="178">
        <v>11</v>
      </c>
      <c r="W17" s="178">
        <v>0</v>
      </c>
      <c r="X17" s="178">
        <v>13</v>
      </c>
      <c r="Y17" s="178">
        <v>14</v>
      </c>
      <c r="Z17" s="178">
        <v>9</v>
      </c>
      <c r="AA17" s="178">
        <v>12</v>
      </c>
      <c r="AB17" s="178">
        <v>8</v>
      </c>
      <c r="AC17" s="178">
        <v>0</v>
      </c>
      <c r="AD17" s="178">
        <v>0</v>
      </c>
      <c r="AE17" s="178">
        <v>12</v>
      </c>
      <c r="AF17" s="178">
        <v>13</v>
      </c>
      <c r="AG17" s="178">
        <v>16</v>
      </c>
      <c r="AH17" s="178">
        <v>12</v>
      </c>
      <c r="AI17" s="178">
        <v>10</v>
      </c>
      <c r="AJ17" s="178">
        <v>14</v>
      </c>
      <c r="AK17" s="178">
        <v>0</v>
      </c>
      <c r="AL17" s="178">
        <v>0</v>
      </c>
      <c r="AM17" s="178">
        <v>0</v>
      </c>
      <c r="AN17" s="178">
        <v>251</v>
      </c>
      <c r="AO17" s="178">
        <v>0</v>
      </c>
      <c r="AP17" s="178">
        <v>0</v>
      </c>
      <c r="AQ17" s="178">
        <v>0</v>
      </c>
      <c r="AR17" s="178">
        <v>12</v>
      </c>
      <c r="AS17" s="178">
        <v>10</v>
      </c>
      <c r="AT17" s="178">
        <v>13</v>
      </c>
      <c r="AU17" s="178">
        <v>8</v>
      </c>
      <c r="AV17" s="178">
        <v>0</v>
      </c>
      <c r="AW17" s="178">
        <v>9</v>
      </c>
      <c r="AX17" s="178">
        <v>15</v>
      </c>
      <c r="AY17" s="178">
        <v>10</v>
      </c>
      <c r="AZ17" s="178">
        <v>11</v>
      </c>
      <c r="BA17" s="178">
        <v>14</v>
      </c>
      <c r="BB17" s="178">
        <v>13</v>
      </c>
      <c r="BC17" s="178">
        <v>0</v>
      </c>
      <c r="BD17" s="178">
        <v>13</v>
      </c>
      <c r="BE17" s="178">
        <v>14</v>
      </c>
      <c r="BF17" s="178">
        <v>14</v>
      </c>
      <c r="BG17" s="178">
        <v>13</v>
      </c>
      <c r="BH17" s="178">
        <v>13</v>
      </c>
      <c r="BI17" s="178">
        <v>0</v>
      </c>
      <c r="BJ17" s="178">
        <v>0</v>
      </c>
      <c r="BK17" s="178">
        <v>16</v>
      </c>
      <c r="BL17" s="178">
        <v>12</v>
      </c>
      <c r="BM17" s="178">
        <v>8</v>
      </c>
      <c r="BN17" s="178">
        <v>14</v>
      </c>
      <c r="BO17" s="178">
        <v>11</v>
      </c>
      <c r="BP17" s="178">
        <v>18</v>
      </c>
      <c r="BQ17" s="178">
        <v>0</v>
      </c>
      <c r="BR17" s="178">
        <v>11</v>
      </c>
      <c r="BS17" s="178">
        <v>13</v>
      </c>
      <c r="BT17" s="178">
        <v>285</v>
      </c>
      <c r="BU17" s="178">
        <v>19</v>
      </c>
      <c r="BV17" s="178">
        <v>19</v>
      </c>
      <c r="BW17" s="178">
        <v>20</v>
      </c>
      <c r="BX17" s="178">
        <v>10</v>
      </c>
      <c r="BY17" s="178">
        <v>0</v>
      </c>
      <c r="BZ17" s="178">
        <v>19</v>
      </c>
      <c r="CA17" s="178">
        <v>20</v>
      </c>
      <c r="CB17" s="178">
        <v>19</v>
      </c>
      <c r="CC17" s="178">
        <v>20</v>
      </c>
      <c r="CD17" s="178">
        <v>19</v>
      </c>
      <c r="CE17" s="178">
        <v>0</v>
      </c>
      <c r="CF17" s="178">
        <v>0</v>
      </c>
      <c r="CG17" s="178">
        <v>0</v>
      </c>
      <c r="CH17" s="178">
        <v>0</v>
      </c>
      <c r="CI17" s="178">
        <v>0</v>
      </c>
      <c r="CJ17" s="178">
        <v>0</v>
      </c>
      <c r="CK17" s="178">
        <v>0</v>
      </c>
      <c r="CL17" s="178">
        <v>0</v>
      </c>
      <c r="CM17" s="178">
        <v>0</v>
      </c>
      <c r="CN17" s="178">
        <v>20</v>
      </c>
      <c r="CO17" s="178">
        <v>19</v>
      </c>
      <c r="CP17" s="178">
        <v>20</v>
      </c>
      <c r="CQ17" s="178">
        <v>19</v>
      </c>
      <c r="CR17" s="178">
        <v>20</v>
      </c>
      <c r="CS17" s="178">
        <v>19</v>
      </c>
      <c r="CT17" s="178">
        <v>0</v>
      </c>
      <c r="CU17" s="178">
        <v>20</v>
      </c>
      <c r="CV17" s="178">
        <v>19</v>
      </c>
      <c r="CW17" s="178">
        <v>20</v>
      </c>
      <c r="CX17" s="178">
        <v>19</v>
      </c>
      <c r="CY17" s="178">
        <v>0</v>
      </c>
      <c r="CZ17" s="178">
        <v>360</v>
      </c>
      <c r="DA17" s="178">
        <v>0</v>
      </c>
      <c r="DB17" s="178">
        <v>0</v>
      </c>
      <c r="DC17" s="178">
        <v>0</v>
      </c>
      <c r="DD17" s="178">
        <v>0</v>
      </c>
      <c r="DE17" s="178">
        <v>0</v>
      </c>
      <c r="DF17" s="178">
        <v>0</v>
      </c>
      <c r="DG17" s="178">
        <v>0</v>
      </c>
      <c r="DH17" s="178">
        <v>0</v>
      </c>
      <c r="DI17" s="178">
        <v>0</v>
      </c>
      <c r="DJ17" s="178">
        <v>0</v>
      </c>
      <c r="DK17" s="178">
        <v>0</v>
      </c>
      <c r="DL17" s="178">
        <v>0</v>
      </c>
      <c r="DM17" s="178">
        <v>0</v>
      </c>
      <c r="DN17" s="178">
        <v>0</v>
      </c>
      <c r="DO17" s="178">
        <v>0</v>
      </c>
      <c r="DP17" s="178">
        <v>0</v>
      </c>
      <c r="DQ17" s="178">
        <v>0</v>
      </c>
      <c r="DR17" s="178">
        <v>0</v>
      </c>
      <c r="DS17" s="178">
        <v>0</v>
      </c>
      <c r="DT17" s="178">
        <v>0</v>
      </c>
      <c r="DU17" s="178">
        <v>0</v>
      </c>
      <c r="DV17" s="178">
        <v>0</v>
      </c>
      <c r="DW17" s="178">
        <v>0</v>
      </c>
      <c r="DX17" s="178">
        <v>0</v>
      </c>
      <c r="DY17" s="178">
        <v>0</v>
      </c>
      <c r="DZ17" s="178">
        <v>0</v>
      </c>
      <c r="EA17" s="178">
        <v>0</v>
      </c>
      <c r="EB17" s="178">
        <v>0</v>
      </c>
      <c r="EC17" s="178">
        <v>0</v>
      </c>
      <c r="ED17" s="178">
        <v>0</v>
      </c>
      <c r="EE17" s="178">
        <v>0</v>
      </c>
      <c r="EF17" s="178">
        <v>0</v>
      </c>
    </row>
    <row r="18" ht="14.25" customHeight="1" spans="1:200" x14ac:dyDescent="0.25">
      <c r="A18" s="177" t="s">
        <v>167</v>
      </c>
      <c r="B18" s="177" t="s">
        <v>168</v>
      </c>
      <c r="C18" s="177" t="s">
        <v>152</v>
      </c>
      <c r="D18" s="177" t="s">
        <v>332</v>
      </c>
      <c r="E18" s="177" t="s">
        <v>360</v>
      </c>
      <c r="F18" s="177" t="s">
        <v>153</v>
      </c>
      <c r="G18" s="177" t="s">
        <v>192</v>
      </c>
      <c r="H18" s="178">
        <v>25</v>
      </c>
      <c r="I18" s="178">
        <v>0</v>
      </c>
      <c r="J18" s="178">
        <v>3</v>
      </c>
      <c r="K18" s="178">
        <v>3</v>
      </c>
      <c r="L18" s="178">
        <v>3</v>
      </c>
      <c r="M18" s="178">
        <v>3</v>
      </c>
      <c r="N18" s="178">
        <v>3</v>
      </c>
      <c r="O18" s="178">
        <v>0</v>
      </c>
      <c r="P18" s="178">
        <v>0</v>
      </c>
      <c r="Q18" s="178">
        <v>3</v>
      </c>
      <c r="R18" s="178">
        <v>3</v>
      </c>
      <c r="S18" s="178">
        <v>4</v>
      </c>
      <c r="T18" s="178">
        <v>3</v>
      </c>
      <c r="U18" s="178">
        <v>3</v>
      </c>
      <c r="V18" s="178">
        <v>3</v>
      </c>
      <c r="W18" s="178">
        <v>0</v>
      </c>
      <c r="X18" s="178">
        <v>3</v>
      </c>
      <c r="Y18" s="178">
        <v>3</v>
      </c>
      <c r="Z18" s="178">
        <v>3</v>
      </c>
      <c r="AA18" s="178">
        <v>3</v>
      </c>
      <c r="AB18" s="178">
        <v>3</v>
      </c>
      <c r="AC18" s="178">
        <v>0</v>
      </c>
      <c r="AD18" s="178">
        <v>0</v>
      </c>
      <c r="AE18" s="178">
        <v>3</v>
      </c>
      <c r="AF18" s="178">
        <v>4</v>
      </c>
      <c r="AG18" s="178">
        <v>3</v>
      </c>
      <c r="AH18" s="178">
        <v>4</v>
      </c>
      <c r="AI18" s="178">
        <v>4</v>
      </c>
      <c r="AJ18" s="178">
        <v>3</v>
      </c>
      <c r="AK18" s="178">
        <v>0</v>
      </c>
      <c r="AL18" s="178">
        <v>0</v>
      </c>
      <c r="AM18" s="178">
        <v>0</v>
      </c>
      <c r="AN18" s="178">
        <v>70</v>
      </c>
      <c r="AO18" s="178">
        <v>0</v>
      </c>
      <c r="AP18" s="178">
        <v>0</v>
      </c>
      <c r="AQ18" s="178">
        <v>0</v>
      </c>
      <c r="AR18" s="178">
        <v>4</v>
      </c>
      <c r="AS18" s="178">
        <v>4</v>
      </c>
      <c r="AT18" s="178">
        <v>5</v>
      </c>
      <c r="AU18" s="178">
        <v>2</v>
      </c>
      <c r="AV18" s="178">
        <v>0</v>
      </c>
      <c r="AW18" s="178">
        <v>4</v>
      </c>
      <c r="AX18" s="178">
        <v>5</v>
      </c>
      <c r="AY18" s="178">
        <v>4</v>
      </c>
      <c r="AZ18" s="178">
        <v>5</v>
      </c>
      <c r="BA18" s="178">
        <v>5</v>
      </c>
      <c r="BB18" s="178">
        <v>4</v>
      </c>
      <c r="BC18" s="178">
        <v>0</v>
      </c>
      <c r="BD18" s="178">
        <v>5</v>
      </c>
      <c r="BE18" s="178">
        <v>4</v>
      </c>
      <c r="BF18" s="178">
        <v>5</v>
      </c>
      <c r="BG18" s="178">
        <v>5</v>
      </c>
      <c r="BH18" s="178">
        <v>5</v>
      </c>
      <c r="BI18" s="178">
        <v>0</v>
      </c>
      <c r="BJ18" s="178">
        <v>0</v>
      </c>
      <c r="BK18" s="178">
        <v>4</v>
      </c>
      <c r="BL18" s="178">
        <v>5</v>
      </c>
      <c r="BM18" s="178">
        <v>5</v>
      </c>
      <c r="BN18" s="178">
        <v>5</v>
      </c>
      <c r="BO18" s="178">
        <v>4</v>
      </c>
      <c r="BP18" s="178">
        <v>5</v>
      </c>
      <c r="BQ18" s="178">
        <v>0</v>
      </c>
      <c r="BR18" s="178">
        <v>4</v>
      </c>
      <c r="BS18" s="178">
        <v>5</v>
      </c>
      <c r="BT18" s="178">
        <v>103</v>
      </c>
      <c r="BU18" s="178">
        <v>20</v>
      </c>
      <c r="BV18" s="178">
        <v>20</v>
      </c>
      <c r="BW18" s="178">
        <v>20</v>
      </c>
      <c r="BX18" s="178">
        <v>10</v>
      </c>
      <c r="BY18" s="178">
        <v>0</v>
      </c>
      <c r="BZ18" s="178">
        <v>20</v>
      </c>
      <c r="CA18" s="178">
        <v>20</v>
      </c>
      <c r="CB18" s="178">
        <v>19</v>
      </c>
      <c r="CC18" s="178">
        <v>20</v>
      </c>
      <c r="CD18" s="178">
        <v>19</v>
      </c>
      <c r="CE18" s="178">
        <v>0</v>
      </c>
      <c r="CF18" s="178">
        <v>0</v>
      </c>
      <c r="CG18" s="178">
        <v>0</v>
      </c>
      <c r="CH18" s="178">
        <v>0</v>
      </c>
      <c r="CI18" s="178">
        <v>0</v>
      </c>
      <c r="CJ18" s="178">
        <v>0</v>
      </c>
      <c r="CK18" s="178">
        <v>0</v>
      </c>
      <c r="CL18" s="178">
        <v>0</v>
      </c>
      <c r="CM18" s="178">
        <v>0</v>
      </c>
      <c r="CN18" s="178">
        <v>20</v>
      </c>
      <c r="CO18" s="178">
        <v>19</v>
      </c>
      <c r="CP18" s="178">
        <v>20</v>
      </c>
      <c r="CQ18" s="178">
        <v>19</v>
      </c>
      <c r="CR18" s="178">
        <v>20</v>
      </c>
      <c r="CS18" s="178">
        <v>19</v>
      </c>
      <c r="CT18" s="178">
        <v>0</v>
      </c>
      <c r="CU18" s="178">
        <v>20</v>
      </c>
      <c r="CV18" s="178">
        <v>19</v>
      </c>
      <c r="CW18" s="178">
        <v>20</v>
      </c>
      <c r="CX18" s="178">
        <v>19</v>
      </c>
      <c r="CY18" s="178">
        <v>0</v>
      </c>
      <c r="CZ18" s="178">
        <v>363</v>
      </c>
      <c r="DA18" s="178">
        <v>0</v>
      </c>
      <c r="DB18" s="178">
        <v>0</v>
      </c>
      <c r="DC18" s="178">
        <v>0</v>
      </c>
      <c r="DD18" s="178">
        <v>3</v>
      </c>
      <c r="DE18" s="178">
        <v>3</v>
      </c>
      <c r="DF18" s="178">
        <v>3</v>
      </c>
      <c r="DG18" s="178">
        <v>3</v>
      </c>
      <c r="DH18" s="178">
        <v>2</v>
      </c>
      <c r="DI18" s="178">
        <v>3</v>
      </c>
      <c r="DJ18" s="178">
        <v>0</v>
      </c>
      <c r="DK18" s="178">
        <v>2</v>
      </c>
      <c r="DL18" s="178">
        <v>3</v>
      </c>
      <c r="DM18" s="178">
        <v>2</v>
      </c>
      <c r="DN18" s="178">
        <v>3</v>
      </c>
      <c r="DO18" s="178">
        <v>2</v>
      </c>
      <c r="DP18" s="178">
        <v>1</v>
      </c>
      <c r="DQ18" s="178">
        <v>0</v>
      </c>
      <c r="DR18" s="178">
        <v>3</v>
      </c>
      <c r="DS18" s="178">
        <v>3</v>
      </c>
      <c r="DT18" s="178">
        <v>2</v>
      </c>
      <c r="DU18" s="178">
        <v>3</v>
      </c>
      <c r="DV18" s="178">
        <v>2</v>
      </c>
      <c r="DW18" s="178">
        <v>3</v>
      </c>
      <c r="DX18" s="178">
        <v>0</v>
      </c>
      <c r="DY18" s="178">
        <v>2</v>
      </c>
      <c r="DZ18" s="178">
        <v>3</v>
      </c>
      <c r="EA18" s="178">
        <v>2</v>
      </c>
      <c r="EB18" s="178">
        <v>3</v>
      </c>
      <c r="EC18" s="178">
        <v>2</v>
      </c>
      <c r="ED18" s="178">
        <v>0</v>
      </c>
      <c r="EE18" s="178">
        <v>0</v>
      </c>
      <c r="EF18" s="178">
        <v>58</v>
      </c>
    </row>
    <row r="19" ht="14.25" customHeight="1" spans="1:200" x14ac:dyDescent="0.25">
      <c r="A19" s="177" t="s">
        <v>169</v>
      </c>
      <c r="B19" s="177" t="s">
        <v>170</v>
      </c>
      <c r="C19" s="177" t="s">
        <v>152</v>
      </c>
      <c r="D19" s="177" t="s">
        <v>332</v>
      </c>
      <c r="E19" s="177" t="s">
        <v>360</v>
      </c>
      <c r="F19" s="177" t="s">
        <v>153</v>
      </c>
      <c r="G19" s="177" t="s">
        <v>192</v>
      </c>
      <c r="H19" s="178">
        <v>38</v>
      </c>
      <c r="I19" s="178">
        <v>0</v>
      </c>
      <c r="J19" s="178">
        <v>3</v>
      </c>
      <c r="K19" s="178">
        <v>3</v>
      </c>
      <c r="L19" s="178">
        <v>3</v>
      </c>
      <c r="M19" s="178">
        <v>3</v>
      </c>
      <c r="N19" s="178">
        <v>3</v>
      </c>
      <c r="O19" s="178">
        <v>0</v>
      </c>
      <c r="P19" s="178">
        <v>0</v>
      </c>
      <c r="Q19" s="178">
        <v>3</v>
      </c>
      <c r="R19" s="178">
        <v>3</v>
      </c>
      <c r="S19" s="178">
        <v>4</v>
      </c>
      <c r="T19" s="178">
        <v>3</v>
      </c>
      <c r="U19" s="178">
        <v>3</v>
      </c>
      <c r="V19" s="178">
        <v>3</v>
      </c>
      <c r="W19" s="178">
        <v>0</v>
      </c>
      <c r="X19" s="178">
        <v>3</v>
      </c>
      <c r="Y19" s="178">
        <v>3</v>
      </c>
      <c r="Z19" s="178">
        <v>3</v>
      </c>
      <c r="AA19" s="178">
        <v>3</v>
      </c>
      <c r="AB19" s="178">
        <v>3</v>
      </c>
      <c r="AC19" s="178">
        <v>0</v>
      </c>
      <c r="AD19" s="178">
        <v>0</v>
      </c>
      <c r="AE19" s="178">
        <v>3</v>
      </c>
      <c r="AF19" s="178">
        <v>4</v>
      </c>
      <c r="AG19" s="178">
        <v>3</v>
      </c>
      <c r="AH19" s="178">
        <v>4</v>
      </c>
      <c r="AI19" s="178">
        <v>4</v>
      </c>
      <c r="AJ19" s="178">
        <v>3</v>
      </c>
      <c r="AK19" s="178">
        <v>0</v>
      </c>
      <c r="AL19" s="178">
        <v>0</v>
      </c>
      <c r="AM19" s="178">
        <v>0</v>
      </c>
      <c r="AN19" s="178">
        <v>70</v>
      </c>
      <c r="AO19" s="178">
        <v>0</v>
      </c>
      <c r="AP19" s="178">
        <v>0</v>
      </c>
      <c r="AQ19" s="178">
        <v>0</v>
      </c>
      <c r="AR19" s="178">
        <v>4</v>
      </c>
      <c r="AS19" s="178">
        <v>4</v>
      </c>
      <c r="AT19" s="178">
        <v>5</v>
      </c>
      <c r="AU19" s="178">
        <v>2</v>
      </c>
      <c r="AV19" s="178">
        <v>0</v>
      </c>
      <c r="AW19" s="178">
        <v>4</v>
      </c>
      <c r="AX19" s="178">
        <v>5</v>
      </c>
      <c r="AY19" s="178">
        <v>4</v>
      </c>
      <c r="AZ19" s="178">
        <v>5</v>
      </c>
      <c r="BA19" s="178">
        <v>5</v>
      </c>
      <c r="BB19" s="178">
        <v>4</v>
      </c>
      <c r="BC19" s="178">
        <v>0</v>
      </c>
      <c r="BD19" s="178">
        <v>5</v>
      </c>
      <c r="BE19" s="178">
        <v>4</v>
      </c>
      <c r="BF19" s="178">
        <v>5</v>
      </c>
      <c r="BG19" s="178">
        <v>5</v>
      </c>
      <c r="BH19" s="178">
        <v>5</v>
      </c>
      <c r="BI19" s="178">
        <v>0</v>
      </c>
      <c r="BJ19" s="178">
        <v>0</v>
      </c>
      <c r="BK19" s="178">
        <v>4</v>
      </c>
      <c r="BL19" s="178">
        <v>5</v>
      </c>
      <c r="BM19" s="178">
        <v>5</v>
      </c>
      <c r="BN19" s="178">
        <v>5</v>
      </c>
      <c r="BO19" s="178">
        <v>4</v>
      </c>
      <c r="BP19" s="178">
        <v>5</v>
      </c>
      <c r="BQ19" s="178">
        <v>0</v>
      </c>
      <c r="BR19" s="178">
        <v>4</v>
      </c>
      <c r="BS19" s="178">
        <v>5</v>
      </c>
      <c r="BT19" s="178">
        <v>103</v>
      </c>
      <c r="BU19" s="178">
        <v>20</v>
      </c>
      <c r="BV19" s="178">
        <v>20</v>
      </c>
      <c r="BW19" s="178">
        <v>20</v>
      </c>
      <c r="BX19" s="178">
        <v>10</v>
      </c>
      <c r="BY19" s="178">
        <v>0</v>
      </c>
      <c r="BZ19" s="178">
        <v>20</v>
      </c>
      <c r="CA19" s="178">
        <v>20</v>
      </c>
      <c r="CB19" s="178">
        <v>19</v>
      </c>
      <c r="CC19" s="178">
        <v>20</v>
      </c>
      <c r="CD19" s="178">
        <v>19</v>
      </c>
      <c r="CE19" s="178">
        <v>0</v>
      </c>
      <c r="CF19" s="178">
        <v>0</v>
      </c>
      <c r="CG19" s="178">
        <v>0</v>
      </c>
      <c r="CH19" s="178">
        <v>0</v>
      </c>
      <c r="CI19" s="178">
        <v>0</v>
      </c>
      <c r="CJ19" s="178">
        <v>0</v>
      </c>
      <c r="CK19" s="178">
        <v>0</v>
      </c>
      <c r="CL19" s="178">
        <v>0</v>
      </c>
      <c r="CM19" s="178">
        <v>0</v>
      </c>
      <c r="CN19" s="178">
        <v>20</v>
      </c>
      <c r="CO19" s="178">
        <v>19</v>
      </c>
      <c r="CP19" s="178">
        <v>20</v>
      </c>
      <c r="CQ19" s="178">
        <v>19</v>
      </c>
      <c r="CR19" s="178">
        <v>20</v>
      </c>
      <c r="CS19" s="178">
        <v>19</v>
      </c>
      <c r="CT19" s="178">
        <v>0</v>
      </c>
      <c r="CU19" s="178">
        <v>20</v>
      </c>
      <c r="CV19" s="178">
        <v>19</v>
      </c>
      <c r="CW19" s="178">
        <v>20</v>
      </c>
      <c r="CX19" s="178">
        <v>19</v>
      </c>
      <c r="CY19" s="178">
        <v>0</v>
      </c>
      <c r="CZ19" s="178">
        <v>363</v>
      </c>
      <c r="DA19" s="178">
        <v>0</v>
      </c>
      <c r="DB19" s="178">
        <v>0</v>
      </c>
      <c r="DC19" s="178">
        <v>0</v>
      </c>
      <c r="DD19" s="178">
        <v>3</v>
      </c>
      <c r="DE19" s="178">
        <v>3</v>
      </c>
      <c r="DF19" s="178">
        <v>3</v>
      </c>
      <c r="DG19" s="178">
        <v>3</v>
      </c>
      <c r="DH19" s="178">
        <v>2</v>
      </c>
      <c r="DI19" s="178">
        <v>3</v>
      </c>
      <c r="DJ19" s="178">
        <v>0</v>
      </c>
      <c r="DK19" s="178">
        <v>2</v>
      </c>
      <c r="DL19" s="178">
        <v>3</v>
      </c>
      <c r="DM19" s="178">
        <v>2</v>
      </c>
      <c r="DN19" s="178">
        <v>3</v>
      </c>
      <c r="DO19" s="178">
        <v>2</v>
      </c>
      <c r="DP19" s="178">
        <v>1</v>
      </c>
      <c r="DQ19" s="178">
        <v>0</v>
      </c>
      <c r="DR19" s="178">
        <v>3</v>
      </c>
      <c r="DS19" s="178">
        <v>3</v>
      </c>
      <c r="DT19" s="178">
        <v>2</v>
      </c>
      <c r="DU19" s="178">
        <v>3</v>
      </c>
      <c r="DV19" s="178">
        <v>2</v>
      </c>
      <c r="DW19" s="178">
        <v>3</v>
      </c>
      <c r="DX19" s="178">
        <v>0</v>
      </c>
      <c r="DY19" s="178">
        <v>2</v>
      </c>
      <c r="DZ19" s="178">
        <v>3</v>
      </c>
      <c r="EA19" s="178">
        <v>2</v>
      </c>
      <c r="EB19" s="178">
        <v>3</v>
      </c>
      <c r="EC19" s="178">
        <v>2</v>
      </c>
      <c r="ED19" s="178">
        <v>0</v>
      </c>
      <c r="EE19" s="178">
        <v>0</v>
      </c>
      <c r="EF19" s="178">
        <v>58</v>
      </c>
    </row>
    <row r="20" ht="14.25" customHeight="1" spans="1:200" x14ac:dyDescent="0.25">
      <c r="A20" s="136"/>
      <c r="AN20" s="185">
        <f t="shared" ref="AN20:EF20" si="1">SUM(AN14:AN19)</f>
        <v>2200</v>
      </c>
      <c r="AO20" s="185">
        <f t="shared" si="1"/>
        <v>0</v>
      </c>
      <c r="AP20" s="185">
        <f t="shared" si="1"/>
        <v>110</v>
      </c>
      <c r="AQ20" s="185">
        <f t="shared" si="1"/>
        <v>107</v>
      </c>
      <c r="AR20" s="185">
        <f t="shared" si="1"/>
        <v>110</v>
      </c>
      <c r="AS20" s="185">
        <f t="shared" si="1"/>
        <v>124</v>
      </c>
      <c r="AT20" s="185">
        <f t="shared" si="1"/>
        <v>105</v>
      </c>
      <c r="AU20" s="185">
        <f t="shared" si="1"/>
        <v>0</v>
      </c>
      <c r="AV20" s="185">
        <f t="shared" si="1"/>
        <v>0</v>
      </c>
      <c r="AW20" s="185">
        <f t="shared" si="1"/>
        <v>111</v>
      </c>
      <c r="AX20" s="185">
        <f t="shared" si="1"/>
        <v>108</v>
      </c>
      <c r="AY20" s="185">
        <f t="shared" si="1"/>
        <v>110</v>
      </c>
      <c r="AZ20" s="185">
        <f t="shared" si="1"/>
        <v>113</v>
      </c>
      <c r="BA20" s="185">
        <f t="shared" si="1"/>
        <v>112</v>
      </c>
      <c r="BB20" s="185">
        <f t="shared" si="1"/>
        <v>116</v>
      </c>
      <c r="BC20" s="185">
        <f t="shared" si="1"/>
        <v>0</v>
      </c>
      <c r="BD20" s="185">
        <f t="shared" si="1"/>
        <v>111</v>
      </c>
      <c r="BE20" s="185">
        <f t="shared" si="1"/>
        <v>117</v>
      </c>
      <c r="BF20" s="185">
        <f t="shared" si="1"/>
        <v>106</v>
      </c>
      <c r="BG20" s="185">
        <f t="shared" si="1"/>
        <v>114</v>
      </c>
      <c r="BH20" s="185">
        <f t="shared" si="1"/>
        <v>105</v>
      </c>
      <c r="BI20" s="185">
        <f t="shared" si="1"/>
        <v>0</v>
      </c>
      <c r="BJ20" s="185">
        <f t="shared" si="1"/>
        <v>0</v>
      </c>
      <c r="BK20" s="185">
        <f t="shared" si="1"/>
        <v>114</v>
      </c>
      <c r="BL20" s="185">
        <f t="shared" si="1"/>
        <v>106</v>
      </c>
      <c r="BM20" s="185">
        <f t="shared" si="1"/>
        <v>116</v>
      </c>
      <c r="BN20" s="185">
        <f t="shared" si="1"/>
        <v>105</v>
      </c>
      <c r="BO20" s="185">
        <f t="shared" si="1"/>
        <v>98</v>
      </c>
      <c r="BP20" s="185">
        <f t="shared" si="1"/>
        <v>103</v>
      </c>
      <c r="BQ20" s="185">
        <f t="shared" si="1"/>
        <v>0</v>
      </c>
      <c r="BR20" s="185">
        <f t="shared" si="1"/>
        <v>0</v>
      </c>
      <c r="BS20" s="185">
        <f t="shared" si="1"/>
        <v>0</v>
      </c>
      <c r="BT20" s="185">
        <f t="shared" si="1"/>
        <v>2421</v>
      </c>
      <c r="BU20" s="185">
        <f t="shared" si="1"/>
        <v>0</v>
      </c>
      <c r="BV20" s="185">
        <f t="shared" si="1"/>
        <v>0</v>
      </c>
      <c r="BW20" s="185">
        <f t="shared" si="1"/>
        <v>139</v>
      </c>
      <c r="BX20" s="185">
        <f t="shared" si="1"/>
        <v>139</v>
      </c>
      <c r="BY20" s="185">
        <f t="shared" si="1"/>
        <v>139</v>
      </c>
      <c r="BZ20" s="185">
        <f t="shared" si="1"/>
        <v>140</v>
      </c>
      <c r="CA20" s="185">
        <f t="shared" si="1"/>
        <v>71</v>
      </c>
      <c r="CB20" s="185">
        <f t="shared" si="1"/>
        <v>0</v>
      </c>
      <c r="CC20" s="185">
        <f t="shared" si="1"/>
        <v>139</v>
      </c>
      <c r="CD20" s="185">
        <f t="shared" si="1"/>
        <v>140</v>
      </c>
      <c r="CE20" s="185">
        <f t="shared" si="1"/>
        <v>139</v>
      </c>
      <c r="CF20" s="185">
        <f t="shared" si="1"/>
        <v>140</v>
      </c>
      <c r="CG20" s="185">
        <f t="shared" si="1"/>
        <v>139</v>
      </c>
      <c r="CH20" s="185">
        <f t="shared" si="1"/>
        <v>140</v>
      </c>
      <c r="CI20" s="185">
        <f t="shared" si="1"/>
        <v>0</v>
      </c>
      <c r="CJ20" s="185">
        <f t="shared" si="1"/>
        <v>139</v>
      </c>
      <c r="CK20" s="185">
        <f t="shared" si="1"/>
        <v>140</v>
      </c>
      <c r="CL20" s="185">
        <f t="shared" si="1"/>
        <v>139</v>
      </c>
      <c r="CM20" s="185">
        <f t="shared" si="1"/>
        <v>142</v>
      </c>
      <c r="CN20" s="185">
        <f t="shared" si="1"/>
        <v>138</v>
      </c>
      <c r="CO20" s="185">
        <f t="shared" si="1"/>
        <v>0</v>
      </c>
      <c r="CP20" s="185">
        <f t="shared" si="1"/>
        <v>0</v>
      </c>
      <c r="CQ20" s="185">
        <f t="shared" si="1"/>
        <v>143</v>
      </c>
      <c r="CR20" s="185">
        <f t="shared" si="1"/>
        <v>138</v>
      </c>
      <c r="CS20" s="185">
        <f t="shared" si="1"/>
        <v>144</v>
      </c>
      <c r="CT20" s="185">
        <f t="shared" si="1"/>
        <v>138</v>
      </c>
      <c r="CU20" s="185">
        <f t="shared" si="1"/>
        <v>144</v>
      </c>
      <c r="CV20" s="185">
        <f t="shared" si="1"/>
        <v>138</v>
      </c>
      <c r="CW20" s="185">
        <f t="shared" si="1"/>
        <v>0</v>
      </c>
      <c r="CX20" s="185">
        <f t="shared" si="1"/>
        <v>144</v>
      </c>
      <c r="CY20" s="185">
        <f t="shared" si="1"/>
        <v>138</v>
      </c>
      <c r="CZ20" s="185">
        <f t="shared" si="1"/>
        <v>3290</v>
      </c>
      <c r="DA20" s="185">
        <f t="shared" si="1"/>
        <v>238</v>
      </c>
      <c r="DB20" s="185">
        <f t="shared" si="1"/>
        <v>238</v>
      </c>
      <c r="DC20" s="185">
        <f t="shared" si="1"/>
        <v>238</v>
      </c>
      <c r="DD20" s="185">
        <f t="shared" si="1"/>
        <v>120</v>
      </c>
      <c r="DE20" s="185">
        <f t="shared" si="1"/>
        <v>0</v>
      </c>
      <c r="DF20" s="185">
        <f t="shared" si="1"/>
        <v>238</v>
      </c>
      <c r="DG20" s="185">
        <f t="shared" si="1"/>
        <v>239</v>
      </c>
      <c r="DH20" s="185">
        <f t="shared" si="1"/>
        <v>238</v>
      </c>
      <c r="DI20" s="185">
        <f t="shared" si="1"/>
        <v>240</v>
      </c>
      <c r="DJ20" s="185">
        <f t="shared" si="1"/>
        <v>235</v>
      </c>
      <c r="DK20" s="185">
        <f t="shared" si="1"/>
        <v>0</v>
      </c>
      <c r="DL20" s="185">
        <f t="shared" si="1"/>
        <v>0</v>
      </c>
      <c r="DM20" s="185">
        <f t="shared" si="1"/>
        <v>0</v>
      </c>
      <c r="DN20" s="185">
        <f t="shared" si="1"/>
        <v>0</v>
      </c>
      <c r="DO20" s="185">
        <f t="shared" si="1"/>
        <v>0</v>
      </c>
      <c r="DP20" s="185">
        <f t="shared" si="1"/>
        <v>0</v>
      </c>
      <c r="DQ20" s="185">
        <f t="shared" si="1"/>
        <v>0</v>
      </c>
      <c r="DR20" s="185">
        <f t="shared" si="1"/>
        <v>0</v>
      </c>
      <c r="DS20" s="185">
        <f t="shared" si="1"/>
        <v>0</v>
      </c>
      <c r="DT20" s="185">
        <f t="shared" si="1"/>
        <v>240</v>
      </c>
      <c r="DU20" s="185">
        <f t="shared" si="1"/>
        <v>235</v>
      </c>
      <c r="DV20" s="185">
        <f t="shared" si="1"/>
        <v>240</v>
      </c>
      <c r="DW20" s="185">
        <f t="shared" si="1"/>
        <v>235</v>
      </c>
      <c r="DX20" s="185">
        <f t="shared" si="1"/>
        <v>240</v>
      </c>
      <c r="DY20" s="185">
        <f t="shared" si="1"/>
        <v>235</v>
      </c>
      <c r="DZ20" s="185">
        <f t="shared" si="1"/>
        <v>0</v>
      </c>
      <c r="EA20" s="185">
        <f t="shared" si="1"/>
        <v>240</v>
      </c>
      <c r="EB20" s="185">
        <f t="shared" si="1"/>
        <v>235</v>
      </c>
      <c r="EC20" s="185">
        <f t="shared" si="1"/>
        <v>241</v>
      </c>
      <c r="ED20" s="185">
        <f t="shared" si="1"/>
        <v>235</v>
      </c>
      <c r="EE20" s="185">
        <f t="shared" si="1"/>
        <v>0</v>
      </c>
      <c r="EF20" s="185">
        <f t="shared" si="1"/>
        <v>4400</v>
      </c>
      <c r="EG20" s="186">
        <f>AN20+BT20+CZ20+EF20</f>
        <v>12311</v>
      </c>
      <c r="EH20" s="185">
        <f>EG20+'GW Daily'!EG23+'BPK Daily'!EG39+'BP Daily'!EG26</f>
        <v>273657</v>
      </c>
    </row>
    <row r="21" ht="14.25" customHeight="1" spans="1:200" x14ac:dyDescent="0.25">
      <c r="EF21" s="185"/>
    </row>
    <row r="22" ht="14.25" customHeight="1" spans="1:200" x14ac:dyDescent="0.25">
      <c r="AN22" s="185">
        <f>AN20+'GW Daily'!AN23+'BPK Daily'!AN39+'BP Daily'!AN26</f>
        <v>64650</v>
      </c>
      <c r="BT22" s="185">
        <f>BT20+'GW Daily'!BT23+'BPK Daily'!BT39+'BP Daily'!BT26</f>
        <v>67859</v>
      </c>
      <c r="BU22" s="185"/>
      <c r="CZ22" s="185">
        <f>CZ20+'GW Daily'!CZ23+'BPK Daily'!CZ39+'BP Daily'!CZ26</f>
        <v>72308</v>
      </c>
      <c r="EF22" s="185">
        <f>EF20+'GW Daily'!EF23+'BPK Daily'!EF39+'BP Daily'!EF26</f>
        <v>68840</v>
      </c>
    </row>
    <row r="23" ht="14.25" customHeight="1" spans="1:200" x14ac:dyDescent="0.25"/>
    <row r="24" ht="14.25" customHeight="1" spans="1:200" x14ac:dyDescent="0.25"/>
    <row r="25" ht="14.25" customHeight="1" spans="1:200" x14ac:dyDescent="0.25"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</row>
    <row r="26" ht="14.25" customHeight="1" spans="1:200" x14ac:dyDescent="0.25"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</row>
    <row r="27" ht="14.25" customHeight="1" spans="1:200" x14ac:dyDescent="0.25"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</row>
    <row r="28" ht="14.25" customHeight="1" spans="1:200" x14ac:dyDescent="0.25"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</row>
    <row r="29" ht="14.25" customHeight="1" spans="1:200" x14ac:dyDescent="0.25">
      <c r="E29" s="203"/>
      <c r="F29" s="203"/>
      <c r="G29" s="203"/>
      <c r="H29" s="203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</row>
    <row r="30" ht="14.25" customHeight="1" spans="1:200" x14ac:dyDescent="0.25">
      <c r="E30" s="203"/>
      <c r="F30" s="203"/>
      <c r="G30" s="203"/>
      <c r="H30" s="203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</row>
    <row r="31" ht="14.25" customHeight="1" spans="1:200" x14ac:dyDescent="0.25">
      <c r="E31" s="203"/>
      <c r="F31" s="203"/>
      <c r="G31" s="203"/>
      <c r="H31" s="203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</row>
    <row r="32" ht="14.25" customHeight="1" spans="1:200" x14ac:dyDescent="0.25">
      <c r="E32" s="203"/>
      <c r="F32" s="203"/>
      <c r="G32" s="203"/>
      <c r="H32" s="203"/>
      <c r="K32" s="202"/>
      <c r="L32" s="202"/>
      <c r="M32" s="202"/>
      <c r="N32" s="202"/>
      <c r="O32" s="202"/>
      <c r="P32" s="204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</row>
    <row r="33" ht="14.25" customHeight="1" spans="1:200" x14ac:dyDescent="0.25">
      <c r="E33" s="203"/>
      <c r="F33" s="203"/>
      <c r="G33" s="203"/>
      <c r="H33" s="203"/>
      <c r="K33" s="202"/>
      <c r="L33" s="202"/>
      <c r="M33" s="202"/>
      <c r="N33" s="205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</row>
    <row r="34" ht="14.25" customHeight="1" spans="1:200" x14ac:dyDescent="0.25">
      <c r="E34" s="203"/>
      <c r="F34" s="203"/>
      <c r="G34" s="203"/>
      <c r="H34" s="203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</row>
    <row r="35" ht="14.25" customHeight="1" spans="1:200" x14ac:dyDescent="0.25">
      <c r="E35" s="203"/>
      <c r="F35" s="203"/>
      <c r="G35" s="203"/>
      <c r="H35" s="203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</row>
    <row r="36" ht="14.25" customHeight="1" spans="1:200" x14ac:dyDescent="0.25">
      <c r="E36" s="203"/>
      <c r="F36" s="203"/>
      <c r="G36" s="203"/>
      <c r="H36" s="203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</row>
    <row r="37" ht="14.25" customHeight="1" spans="1:200" x14ac:dyDescent="0.25"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</row>
    <row r="38" ht="14.25" customHeight="1" spans="1:200" x14ac:dyDescent="0.25"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</row>
    <row r="39" ht="14.25" customHeight="1" spans="1:200" x14ac:dyDescent="0.25"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</row>
    <row r="40" ht="14.25" customHeight="1" spans="1:200" x14ac:dyDescent="0.25"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</row>
    <row r="41" ht="14.25" customHeight="1" spans="1:200" x14ac:dyDescent="0.25"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</row>
    <row r="42" ht="14.25" customHeight="1" spans="1:200" x14ac:dyDescent="0.25"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</row>
    <row r="43" ht="14.25" customHeight="1" spans="1:200" x14ac:dyDescent="0.25"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</row>
    <row r="44" ht="14.25" customHeight="1" spans="1:200" x14ac:dyDescent="0.25"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</row>
    <row r="45" ht="14.25" customHeight="1" spans="1:200" x14ac:dyDescent="0.25"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</row>
    <row r="46" ht="14.25" customHeight="1" spans="1:200" x14ac:dyDescent="0.25"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</row>
    <row r="47" ht="14.25" customHeight="1" spans="1:200" x14ac:dyDescent="0.25"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</row>
    <row r="48" ht="14.25" customHeight="1" spans="1:200" x14ac:dyDescent="0.25"/>
    <row r="49" ht="14.25" customHeight="1" spans="1:200" x14ac:dyDescent="0.25"/>
    <row r="50" ht="14.25" customHeight="1" spans="1:200" x14ac:dyDescent="0.25"/>
    <row r="51" ht="14.25" customHeight="1" spans="1:200" x14ac:dyDescent="0.25"/>
    <row r="52" ht="14.25" customHeight="1" spans="1:200" x14ac:dyDescent="0.25"/>
    <row r="53" ht="14.25" customHeight="1" spans="1:200" x14ac:dyDescent="0.25"/>
    <row r="54" ht="14.25" customHeight="1" spans="1:200" x14ac:dyDescent="0.25"/>
    <row r="55" ht="14.25" customHeight="1" spans="1:200" x14ac:dyDescent="0.25"/>
    <row r="56" ht="14.25" customHeight="1" spans="1:200" x14ac:dyDescent="0.25"/>
    <row r="57" ht="14.25" customHeight="1" spans="1:200" x14ac:dyDescent="0.25"/>
    <row r="58" ht="14.25" customHeight="1" spans="1:200" x14ac:dyDescent="0.25"/>
    <row r="59" ht="14.25" customHeight="1" spans="1:200" x14ac:dyDescent="0.25"/>
    <row r="60" ht="14.25" customHeight="1" spans="1:200" x14ac:dyDescent="0.25"/>
    <row r="61" ht="14.25" customHeight="1" spans="1:200" x14ac:dyDescent="0.25"/>
    <row r="62" ht="14.25" customHeight="1" spans="1:200" x14ac:dyDescent="0.25"/>
    <row r="63" ht="14.25" customHeight="1" spans="1:200" x14ac:dyDescent="0.25"/>
    <row r="64" ht="14.25" customHeight="1" spans="1:200" x14ac:dyDescent="0.25"/>
    <row r="65" ht="14.25" customHeight="1" spans="1:200" x14ac:dyDescent="0.25"/>
    <row r="66" ht="14.25" customHeight="1" spans="1:200" x14ac:dyDescent="0.25"/>
    <row r="67" ht="14.25" customHeight="1" spans="1:200" x14ac:dyDescent="0.25"/>
    <row r="68" ht="14.25" customHeight="1" spans="1:200" x14ac:dyDescent="0.25"/>
    <row r="69" ht="14.25" customHeight="1" spans="1:200" x14ac:dyDescent="0.25"/>
    <row r="70" ht="14.25" customHeight="1" spans="1:200" x14ac:dyDescent="0.25"/>
    <row r="71" ht="14.25" customHeight="1" spans="1:200" x14ac:dyDescent="0.25"/>
    <row r="72" ht="14.25" customHeight="1" spans="1:200" x14ac:dyDescent="0.25"/>
    <row r="73" ht="14.25" customHeight="1" spans="1:200" x14ac:dyDescent="0.25"/>
    <row r="74" ht="14.25" customHeight="1" spans="1:200" x14ac:dyDescent="0.25"/>
    <row r="75" ht="14.25" customHeight="1" spans="1:200" x14ac:dyDescent="0.25"/>
    <row r="76" ht="14.25" customHeight="1" spans="1:200" x14ac:dyDescent="0.25"/>
    <row r="77" ht="14.25" customHeight="1" spans="1:200" x14ac:dyDescent="0.25"/>
    <row r="78" ht="14.25" customHeight="1" spans="1:200" x14ac:dyDescent="0.25"/>
    <row r="79" ht="14.25" customHeight="1" spans="1:200" x14ac:dyDescent="0.25"/>
    <row r="80" ht="14.25" customHeight="1" spans="1:200" x14ac:dyDescent="0.25"/>
    <row r="81" ht="14.25" customHeight="1" spans="1:200" x14ac:dyDescent="0.25"/>
    <row r="82" ht="14.25" customHeight="1" spans="1:200" x14ac:dyDescent="0.25"/>
    <row r="83" ht="14.25" customHeight="1" spans="1:200" x14ac:dyDescent="0.25"/>
    <row r="84" ht="14.25" customHeight="1" spans="1:200" x14ac:dyDescent="0.25"/>
    <row r="85" ht="14.25" customHeight="1" spans="1:200" x14ac:dyDescent="0.25"/>
    <row r="86" ht="14.25" customHeight="1" spans="1:200" x14ac:dyDescent="0.25"/>
    <row r="87" ht="14.25" customHeight="1" spans="1:200" x14ac:dyDescent="0.25"/>
    <row r="88" ht="14.25" customHeight="1" spans="1:200" x14ac:dyDescent="0.25"/>
    <row r="89" ht="14.25" customHeight="1" spans="1:200" x14ac:dyDescent="0.25"/>
    <row r="90" ht="14.25" customHeight="1" spans="1:200" x14ac:dyDescent="0.25"/>
    <row r="91" ht="14.25" customHeight="1" spans="1:200" x14ac:dyDescent="0.25"/>
    <row r="92" ht="14.25" customHeight="1" spans="1:200" x14ac:dyDescent="0.25"/>
    <row r="93" ht="14.25" customHeight="1" spans="1:200" x14ac:dyDescent="0.25"/>
    <row r="94" ht="14.25" customHeight="1" spans="1:200" x14ac:dyDescent="0.25"/>
    <row r="95" ht="14.25" customHeight="1" spans="1:200" x14ac:dyDescent="0.25"/>
    <row r="96" ht="14.25" customHeight="1" spans="1:200" x14ac:dyDescent="0.25"/>
    <row r="97" ht="14.25" customHeight="1" spans="1:200" x14ac:dyDescent="0.25"/>
    <row r="98" ht="14.25" customHeight="1" spans="1:200" x14ac:dyDescent="0.25"/>
    <row r="99" ht="14.25" customHeight="1" spans="1:200" x14ac:dyDescent="0.25"/>
    <row r="100" ht="14.25" customHeight="1" spans="1:200" x14ac:dyDescent="0.25"/>
    <row r="101" ht="14.25" customHeight="1" spans="1:200" x14ac:dyDescent="0.25"/>
    <row r="102" ht="14.25" customHeight="1" spans="1:200" x14ac:dyDescent="0.25"/>
    <row r="103" ht="14.25" customHeight="1" spans="1:200" x14ac:dyDescent="0.25"/>
    <row r="104" ht="14.25" customHeight="1" spans="1:200" x14ac:dyDescent="0.25"/>
    <row r="105" ht="14.25" customHeight="1" spans="1:200" x14ac:dyDescent="0.25"/>
    <row r="106" ht="14.25" customHeight="1" spans="1:200" x14ac:dyDescent="0.25"/>
    <row r="107" ht="14.25" customHeight="1" spans="1:200" x14ac:dyDescent="0.25"/>
    <row r="108" ht="14.25" customHeight="1" spans="1:200" x14ac:dyDescent="0.25"/>
    <row r="109" ht="14.25" customHeight="1" spans="1:200" x14ac:dyDescent="0.25"/>
    <row r="110" ht="14.25" customHeight="1" spans="1:200" x14ac:dyDescent="0.25"/>
    <row r="111" ht="14.25" customHeight="1" spans="1:200" x14ac:dyDescent="0.25"/>
    <row r="112" ht="14.25" customHeight="1" spans="1:200" x14ac:dyDescent="0.25"/>
    <row r="113" ht="14.25" customHeight="1" spans="1:200" x14ac:dyDescent="0.25"/>
    <row r="114" ht="14.25" customHeight="1" spans="1:200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$A$13:$EF$13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000"/>
  <sheetViews>
    <sheetView workbookViewId="0" zoomScale="100" zoomScaleNormal="100">
      <pane xSplit="2" ySplit="4" topLeftCell="C5" activePane="bottomRight" state="frozen"/>
      <selection pane="bottomRight" activeCell="C5" sqref="C5"/>
    </sheetView>
  </sheetViews>
  <sheetFormatPr defaultRowHeight="15" outlineLevelRow="1" outlineLevelCol="1" x14ac:dyDescent="0" defaultColWidth="14.43"/>
  <cols>
    <col min="1" max="1" width="14.57" customWidth="1"/>
    <col min="2" max="2" width="16.86" outlineLevel="1" collapsed="1" customWidth="1"/>
    <col min="3" max="3" width="21.29" customWidth="1"/>
    <col min="4" max="4" width="16.14" outlineLevel="1" collapsed="1" customWidth="1"/>
    <col min="5" max="5" width="16.57" outlineLevel="1" collapsed="1" customWidth="1"/>
    <col min="6" max="6" width="12.29" customWidth="1"/>
    <col min="7" max="7" width="4.86" customWidth="1"/>
    <col min="8" max="8" width="4.71" customWidth="1"/>
    <col min="9" max="9" width="3.71" customWidth="1"/>
    <col min="10" max="10" width="8.14" customWidth="1"/>
    <col min="11" max="11" width="9.71" customWidth="1"/>
    <col min="12" max="12" width="10.71" customWidth="1"/>
    <col min="13" max="13" width="9.71" customWidth="1"/>
    <col min="15" max="17" width="9.29" customWidth="1"/>
    <col min="18" max="18" width="6.71" customWidth="1"/>
    <col min="19" max="19" width="4.57" customWidth="1"/>
    <col min="20" max="22" width="9.29" customWidth="1"/>
    <col min="23" max="23" width="5.57" customWidth="1"/>
    <col min="24" max="24" width="5.29" customWidth="1"/>
    <col min="25" max="27" width="9.43" customWidth="1"/>
    <col min="28" max="28" width="6.29" customWidth="1"/>
    <col min="29" max="29" width="9.29" customWidth="1"/>
  </cols>
  <sheetData>
    <row r="1" ht="27.75" customHeight="1" spans="1:29" x14ac:dyDescent="0.25">
      <c r="A1" s="206" t="s">
        <v>44</v>
      </c>
      <c r="B1" s="53"/>
      <c r="C1" s="207">
        <f>'Monthly FC (Dont use)'!E1</f>
        <v>46010</v>
      </c>
      <c r="D1" s="2"/>
      <c r="E1" s="2"/>
      <c r="F1" s="2"/>
      <c r="G1" s="2"/>
      <c r="H1" s="2"/>
      <c r="I1" s="2"/>
      <c r="J1" s="2"/>
      <c r="K1" s="2"/>
      <c r="L1" s="2" t="s">
        <v>363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7.75" customHeight="1" spans="1:29" x14ac:dyDescent="0.25">
      <c r="A2" s="6" t="str">
        <f>'Monthly FC (Dont use)'!I1</f>
        <v>Production Month:Dec'25</v>
      </c>
      <c r="B2" s="2"/>
      <c r="C2" s="2"/>
      <c r="D2" s="2"/>
      <c r="E2" s="2"/>
      <c r="F2" s="2"/>
      <c r="G2" s="2"/>
      <c r="H2" s="2"/>
      <c r="I2" s="2"/>
      <c r="J2" s="208" t="str">
        <f>'By Plant'!C3&amp;" production"</f>
        <v>Dec'25 production</v>
      </c>
      <c r="K2" s="209"/>
      <c r="L2" s="209"/>
      <c r="M2" s="209"/>
      <c r="N2" s="2"/>
      <c r="O2" s="209" t="s">
        <v>364</v>
      </c>
      <c r="P2" s="209"/>
      <c r="Q2" s="209"/>
      <c r="R2" s="209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3.5" customHeight="1" spans="1:29" x14ac:dyDescent="0.25">
      <c r="A3" s="2"/>
      <c r="B3" s="2"/>
      <c r="C3" s="2"/>
      <c r="D3" s="2"/>
      <c r="E3" s="2"/>
      <c r="F3" s="2"/>
      <c r="G3" s="2"/>
      <c r="H3" s="2"/>
      <c r="I3" s="2"/>
      <c r="J3" s="101">
        <f>'Monthly FC (Dont use)'!I4</f>
      </c>
      <c r="K3" s="2"/>
      <c r="L3" s="2"/>
      <c r="M3" s="2"/>
      <c r="N3" s="2"/>
      <c r="O3" s="2" t="s">
        <v>46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6.75" customHeight="1" spans="1:29" x14ac:dyDescent="0.25">
      <c r="A4" s="210" t="s">
        <v>365</v>
      </c>
      <c r="B4" s="210"/>
      <c r="C4" s="211" t="s">
        <v>366</v>
      </c>
      <c r="D4" s="210"/>
      <c r="E4" s="210"/>
      <c r="F4" s="210" t="s">
        <v>367</v>
      </c>
      <c r="G4" s="212" t="s">
        <v>368</v>
      </c>
      <c r="H4" s="212" t="s">
        <v>369</v>
      </c>
      <c r="I4" s="213" t="s">
        <v>370</v>
      </c>
      <c r="J4" s="214" t="str">
        <f>'By Plant'!H6</f>
        <v>Jan</v>
      </c>
      <c r="K4" s="215" t="str">
        <f>'By Plant'!I6</f>
        <v>Feb</v>
      </c>
      <c r="L4" s="215" t="str">
        <f>'By Plant'!J6</f>
        <v>Mar</v>
      </c>
      <c r="M4" s="215" t="str">
        <f>'By Plant'!K6</f>
        <v>Apr</v>
      </c>
      <c r="N4" s="2"/>
      <c r="O4" s="210" t="str">
        <f t="shared" ref="O4:R4" si="0">J4</f>
        <v>Jan</v>
      </c>
      <c r="P4" s="210" t="str">
        <f t="shared" si="0"/>
        <v>Feb</v>
      </c>
      <c r="Q4" s="210" t="str">
        <f t="shared" si="0"/>
        <v>Mar</v>
      </c>
      <c r="R4" s="210" t="str">
        <f t="shared" si="0"/>
        <v>Apr</v>
      </c>
      <c r="S4" s="2"/>
      <c r="T4" s="210" t="str">
        <f t="shared" ref="T4:W4" si="1">O4</f>
        <v>Jan</v>
      </c>
      <c r="U4" s="210" t="str">
        <f t="shared" si="1"/>
        <v>Feb</v>
      </c>
      <c r="V4" s="210" t="str">
        <f t="shared" si="1"/>
        <v>Mar</v>
      </c>
      <c r="W4" s="210" t="str">
        <f t="shared" si="1"/>
        <v>Apr</v>
      </c>
      <c r="X4" s="2"/>
      <c r="Y4" s="210" t="str">
        <f t="shared" ref="Y4:AB4" si="2">T4</f>
        <v>Jan</v>
      </c>
      <c r="Z4" s="210" t="str">
        <f t="shared" si="2"/>
        <v>Feb</v>
      </c>
      <c r="AA4" s="210" t="str">
        <f t="shared" si="2"/>
        <v>Mar</v>
      </c>
      <c r="AB4" s="210" t="str">
        <f t="shared" si="2"/>
        <v>Apr</v>
      </c>
      <c r="AC4" s="2"/>
    </row>
    <row r="5" ht="13.5" customHeight="1" spans="1:29" x14ac:dyDescent="0.25">
      <c r="A5" s="112" t="s">
        <v>54</v>
      </c>
      <c r="B5" s="216" t="str">
        <f t="shared" ref="B5:B28" si="3">LEFT(A5,11)</f>
        <v>86790-0K050</v>
      </c>
      <c r="C5" s="217" t="s">
        <v>54</v>
      </c>
      <c r="D5" s="216" t="s">
        <v>371</v>
      </c>
      <c r="E5" s="216" t="s">
        <v>372</v>
      </c>
      <c r="F5" s="216" t="s">
        <v>65</v>
      </c>
      <c r="G5" s="216"/>
      <c r="H5" s="114"/>
      <c r="I5" s="114"/>
      <c r="J5" s="218">
        <v>0</v>
      </c>
      <c r="K5" s="218">
        <v>0</v>
      </c>
      <c r="L5" s="218">
        <v>0</v>
      </c>
      <c r="M5" s="218">
        <v>0</v>
      </c>
      <c r="N5" s="219"/>
      <c r="O5" s="218">
        <v>0</v>
      </c>
      <c r="P5" s="218">
        <v>0</v>
      </c>
      <c r="Q5" s="218">
        <v>0</v>
      </c>
      <c r="R5" s="220"/>
      <c r="S5" s="2"/>
      <c r="T5" s="221">
        <f t="shared" ref="T5:V5" si="4">J5-O5</f>
        <v>0</v>
      </c>
      <c r="U5" s="221">
        <f t="shared" si="4"/>
        <v>0</v>
      </c>
      <c r="V5" s="221">
        <f t="shared" si="4"/>
        <v>0</v>
      </c>
      <c r="W5" s="220"/>
      <c r="X5" s="72"/>
      <c r="Y5" s="222" t="str">
        <f t="shared" ref="Y5:AA5" si="5">T5/O5</f>
        <v>#DIV/0!</v>
      </c>
      <c r="Z5" s="222" t="str">
        <f t="shared" si="5"/>
        <v>#DIV/0!</v>
      </c>
      <c r="AA5" s="222" t="str">
        <f t="shared" si="5"/>
        <v>#DIV/0!</v>
      </c>
      <c r="AB5" s="223"/>
      <c r="AC5" s="2"/>
    </row>
    <row r="6" ht="13.5" customHeight="1" spans="1:29" x14ac:dyDescent="0.25">
      <c r="A6" s="216" t="s">
        <v>59</v>
      </c>
      <c r="B6" s="216" t="str">
        <f t="shared" si="3"/>
        <v>86790-0K080</v>
      </c>
      <c r="C6" s="224" t="s">
        <v>58</v>
      </c>
      <c r="D6" s="216" t="s">
        <v>373</v>
      </c>
      <c r="E6" s="216" t="s">
        <v>374</v>
      </c>
      <c r="F6" s="224" t="s">
        <v>56</v>
      </c>
      <c r="G6" s="224"/>
      <c r="H6" s="114"/>
      <c r="I6" s="114"/>
      <c r="J6" s="218">
        <f>VLOOKUP($B6,Analyze!$ES$25:$EW$45,2,0)</f>
        <v>1020</v>
      </c>
      <c r="K6" s="218">
        <f>VLOOKUP($B6,Analyze!$ES$25:$EW$45,3,0)</f>
        <v>975</v>
      </c>
      <c r="L6" s="218">
        <f>VLOOKUP($B6,Analyze!$ES$25:$EW$45,4,0)</f>
        <v>1244</v>
      </c>
      <c r="M6" s="218">
        <f>VLOOKUP($B6,Analyze!$ES$25:$EW$45,5,0)</f>
        <v>1093</v>
      </c>
      <c r="N6" s="2"/>
      <c r="O6" s="218">
        <v>1020</v>
      </c>
      <c r="P6" s="218">
        <v>1021</v>
      </c>
      <c r="Q6" s="218">
        <v>1453</v>
      </c>
      <c r="R6" s="220">
        <f t="shared" ref="R6:R7" si="6">Q6*0.8</f>
        <v>1162.4</v>
      </c>
      <c r="S6" s="2"/>
      <c r="T6" s="221">
        <f t="shared" ref="T6:W6" si="7">J6-O6</f>
        <v>0</v>
      </c>
      <c r="U6" s="221">
        <f t="shared" si="7"/>
        <v>-46</v>
      </c>
      <c r="V6" s="225">
        <f t="shared" si="7"/>
        <v>-209</v>
      </c>
      <c r="W6" s="220">
        <f t="shared" si="7"/>
        <v>-69.4</v>
      </c>
      <c r="X6" s="2"/>
      <c r="Y6" s="222">
        <f t="shared" ref="Y6:AB6" si="8">T6/O6</f>
        <v>0</v>
      </c>
      <c r="Z6" s="222">
        <f t="shared" si="8"/>
        <v>-0.04505386876</v>
      </c>
      <c r="AA6" s="222">
        <f t="shared" si="8"/>
        <v>-0.1438403304</v>
      </c>
      <c r="AB6" s="226">
        <f t="shared" si="8"/>
        <v>-0.05970406056</v>
      </c>
      <c r="AC6" s="2"/>
    </row>
    <row r="7" ht="13.5" customHeight="1" spans="1:29" x14ac:dyDescent="0.25">
      <c r="A7" s="216" t="s">
        <v>67</v>
      </c>
      <c r="B7" s="216" t="str">
        <f t="shared" si="3"/>
        <v>86790-0K110</v>
      </c>
      <c r="C7" s="224" t="s">
        <v>76</v>
      </c>
      <c r="D7" s="216" t="s">
        <v>371</v>
      </c>
      <c r="E7" s="216" t="s">
        <v>375</v>
      </c>
      <c r="F7" s="224" t="s">
        <v>62</v>
      </c>
      <c r="G7" s="224"/>
      <c r="H7" s="114"/>
      <c r="I7" s="114"/>
      <c r="J7" s="218">
        <f>VLOOKUP($B7,Analyze!$ES$25:$EW$45,2,0)</f>
        <v>6940</v>
      </c>
      <c r="K7" s="218">
        <f>VLOOKUP($B7,Analyze!$ES$25:$EW$45,3,0)</f>
        <v>8091</v>
      </c>
      <c r="L7" s="218">
        <f>VLOOKUP($B7,Analyze!$ES$25:$EW$45,4,0)</f>
        <v>6928</v>
      </c>
      <c r="M7" s="227">
        <f>VLOOKUP($B7,Analyze!$ES$25:$EW$45,5,0)</f>
        <v>6777</v>
      </c>
      <c r="N7" s="219"/>
      <c r="O7" s="218">
        <v>7340</v>
      </c>
      <c r="P7" s="218">
        <v>7620</v>
      </c>
      <c r="Q7" s="227">
        <v>7059</v>
      </c>
      <c r="R7" s="220">
        <f t="shared" si="6"/>
        <v>5647.2</v>
      </c>
      <c r="S7" s="2"/>
      <c r="T7" s="221">
        <f t="shared" ref="T7:W7" si="9">J7-O7</f>
        <v>-400</v>
      </c>
      <c r="U7" s="221">
        <f t="shared" si="9"/>
        <v>471</v>
      </c>
      <c r="V7" s="221">
        <f t="shared" si="9"/>
        <v>-131</v>
      </c>
      <c r="W7" s="220">
        <f t="shared" si="9"/>
        <v>1129.8</v>
      </c>
      <c r="X7" s="2"/>
      <c r="Y7" s="222">
        <f t="shared" ref="Y7:AB7" si="10">T7/O7</f>
        <v>-0.05449591281</v>
      </c>
      <c r="Z7" s="222">
        <f t="shared" si="10"/>
        <v>0.06181102362</v>
      </c>
      <c r="AA7" s="222">
        <f t="shared" si="10"/>
        <v>-0.01855786939</v>
      </c>
      <c r="AB7" s="226">
        <f t="shared" si="10"/>
        <v>0.2000637484</v>
      </c>
      <c r="AC7" s="2"/>
    </row>
    <row r="8" ht="13.5" customHeight="1" spans="1:29" x14ac:dyDescent="0.25">
      <c r="A8" s="228" t="s">
        <v>78</v>
      </c>
      <c r="B8" s="228" t="str">
        <f t="shared" si="3"/>
        <v>86790-0K130</v>
      </c>
      <c r="C8" s="217" t="s">
        <v>78</v>
      </c>
      <c r="D8" s="228" t="s">
        <v>376</v>
      </c>
      <c r="E8" s="228" t="s">
        <v>377</v>
      </c>
      <c r="F8" s="228" t="s">
        <v>65</v>
      </c>
      <c r="G8" s="228"/>
      <c r="H8" s="228"/>
      <c r="I8" s="228"/>
      <c r="J8" s="220"/>
      <c r="K8" s="220"/>
      <c r="L8" s="220"/>
      <c r="M8" s="220"/>
      <c r="N8" s="219"/>
      <c r="O8" s="220"/>
      <c r="P8" s="220"/>
      <c r="Q8" s="220"/>
      <c r="R8" s="220"/>
      <c r="S8" s="2"/>
      <c r="T8" s="220"/>
      <c r="U8" s="228"/>
      <c r="V8" s="228"/>
      <c r="W8" s="228"/>
      <c r="X8" s="2"/>
      <c r="Y8" s="223"/>
      <c r="Z8" s="223"/>
      <c r="AA8" s="223"/>
      <c r="AB8" s="223"/>
      <c r="AC8" s="2"/>
    </row>
    <row r="9" ht="13.5" customHeight="1" spans="1:29" x14ac:dyDescent="0.25" outlineLevel="1" collapsed="1">
      <c r="A9" s="228" t="s">
        <v>25</v>
      </c>
      <c r="B9" s="228" t="str">
        <f t="shared" si="3"/>
        <v>86790-0K140</v>
      </c>
      <c r="C9" s="217" t="s">
        <v>25</v>
      </c>
      <c r="D9" s="228" t="s">
        <v>371</v>
      </c>
      <c r="E9" s="228" t="s">
        <v>372</v>
      </c>
      <c r="F9" s="228" t="s">
        <v>65</v>
      </c>
      <c r="G9" s="228"/>
      <c r="H9" s="228"/>
      <c r="I9" s="228"/>
      <c r="J9" s="220"/>
      <c r="K9" s="220"/>
      <c r="L9" s="220"/>
      <c r="M9" s="220"/>
      <c r="N9" s="219"/>
      <c r="O9" s="220"/>
      <c r="P9" s="220"/>
      <c r="Q9" s="220"/>
      <c r="R9" s="220"/>
      <c r="S9" s="2"/>
      <c r="T9" s="228"/>
      <c r="U9" s="228"/>
      <c r="V9" s="228"/>
      <c r="W9" s="228"/>
      <c r="X9" s="2"/>
      <c r="Y9" s="223"/>
      <c r="Z9" s="223"/>
      <c r="AA9" s="223"/>
      <c r="AB9" s="223"/>
      <c r="AC9" s="2"/>
    </row>
    <row r="10" ht="13.5" customHeight="1" spans="1:29" x14ac:dyDescent="0.25" outlineLevel="1" collapsed="1">
      <c r="A10" s="228" t="s">
        <v>378</v>
      </c>
      <c r="B10" s="228" t="str">
        <f t="shared" si="3"/>
        <v>86790-0K170</v>
      </c>
      <c r="C10" s="217" t="s">
        <v>378</v>
      </c>
      <c r="D10" s="228"/>
      <c r="E10" s="228"/>
      <c r="F10" s="228" t="s">
        <v>65</v>
      </c>
      <c r="G10" s="228"/>
      <c r="H10" s="228"/>
      <c r="I10" s="228"/>
      <c r="J10" s="220"/>
      <c r="K10" s="220"/>
      <c r="L10" s="220"/>
      <c r="M10" s="220"/>
      <c r="N10" s="219"/>
      <c r="O10" s="220"/>
      <c r="P10" s="220"/>
      <c r="Q10" s="220"/>
      <c r="R10" s="220"/>
      <c r="S10" s="2"/>
      <c r="T10" s="228"/>
      <c r="U10" s="228"/>
      <c r="V10" s="228"/>
      <c r="W10" s="228"/>
      <c r="X10" s="2"/>
      <c r="Y10" s="223"/>
      <c r="Z10" s="223"/>
      <c r="AA10" s="223"/>
      <c r="AB10" s="223"/>
      <c r="AC10" s="2"/>
    </row>
    <row r="11" ht="13.5" customHeight="1" spans="1:29" x14ac:dyDescent="0.25" outlineLevel="1" collapsed="1">
      <c r="A11" s="228" t="s">
        <v>379</v>
      </c>
      <c r="B11" s="228" t="str">
        <f t="shared" si="3"/>
        <v>86790-0K180</v>
      </c>
      <c r="C11" s="217" t="s">
        <v>379</v>
      </c>
      <c r="D11" s="228"/>
      <c r="E11" s="228"/>
      <c r="F11" s="228" t="s">
        <v>65</v>
      </c>
      <c r="G11" s="228"/>
      <c r="H11" s="228"/>
      <c r="I11" s="228"/>
      <c r="J11" s="220"/>
      <c r="K11" s="220"/>
      <c r="L11" s="220"/>
      <c r="M11" s="220"/>
      <c r="N11" s="2"/>
      <c r="O11" s="220"/>
      <c r="P11" s="220"/>
      <c r="Q11" s="220"/>
      <c r="R11" s="220"/>
      <c r="S11" s="2"/>
      <c r="T11" s="228"/>
      <c r="U11" s="228"/>
      <c r="V11" s="228"/>
      <c r="W11" s="228"/>
      <c r="X11" s="2"/>
      <c r="Y11" s="223"/>
      <c r="Z11" s="223"/>
      <c r="AA11" s="223"/>
      <c r="AB11" s="223"/>
      <c r="AC11" s="2"/>
    </row>
    <row r="12" ht="13.5" customHeight="1" spans="1:29" x14ac:dyDescent="0.25">
      <c r="A12" s="216" t="s">
        <v>28</v>
      </c>
      <c r="B12" s="216" t="str">
        <f t="shared" si="3"/>
        <v>86790-0K190</v>
      </c>
      <c r="C12" s="229" t="s">
        <v>380</v>
      </c>
      <c r="D12" s="216" t="s">
        <v>376</v>
      </c>
      <c r="E12" s="216" t="s">
        <v>381</v>
      </c>
      <c r="F12" s="224" t="s">
        <v>62</v>
      </c>
      <c r="G12" s="224"/>
      <c r="H12" s="114"/>
      <c r="I12" s="114"/>
      <c r="J12" s="218">
        <f>VLOOKUP($B12,Analyze!$ES$25:$EW$45,2,0)</f>
        <v>4138</v>
      </c>
      <c r="K12" s="218">
        <f>VLOOKUP($B12,Analyze!$ES$25:$EW$45,3,0)</f>
        <v>4805</v>
      </c>
      <c r="L12" s="218">
        <f>VLOOKUP($B12,Analyze!$ES$25:$EW$45,4,0)</f>
        <v>4464</v>
      </c>
      <c r="M12" s="218">
        <f>VLOOKUP($B12,Analyze!$ES$25:$EW$45,5,0)</f>
        <v>4019</v>
      </c>
      <c r="N12" s="219"/>
      <c r="O12" s="218">
        <v>4474</v>
      </c>
      <c r="P12" s="218">
        <v>4466</v>
      </c>
      <c r="Q12" s="218">
        <v>4621</v>
      </c>
      <c r="R12" s="220">
        <f>Q12*0.8</f>
        <v>3696.8</v>
      </c>
      <c r="S12" s="2"/>
      <c r="T12" s="221">
        <f t="shared" ref="T12:W12" si="11">J12-O12</f>
        <v>-336</v>
      </c>
      <c r="U12" s="221">
        <f t="shared" si="11"/>
        <v>339</v>
      </c>
      <c r="V12" s="221">
        <f t="shared" si="11"/>
        <v>-157</v>
      </c>
      <c r="W12" s="220">
        <f t="shared" si="11"/>
        <v>322.2</v>
      </c>
      <c r="X12" s="2"/>
      <c r="Y12" s="222">
        <f t="shared" ref="Y12:AB12" si="12">T12/O12</f>
        <v>-0.07510058114</v>
      </c>
      <c r="Z12" s="222">
        <f t="shared" si="12"/>
        <v>0.07590685177</v>
      </c>
      <c r="AA12" s="222">
        <f t="shared" si="12"/>
        <v>-0.03397533002</v>
      </c>
      <c r="AB12" s="226">
        <f t="shared" si="12"/>
        <v>0.08715645964</v>
      </c>
      <c r="AC12" s="2"/>
    </row>
    <row r="13" ht="13.5" customHeight="1" spans="1:29" x14ac:dyDescent="0.25">
      <c r="A13" s="228" t="s">
        <v>33</v>
      </c>
      <c r="B13" s="228" t="str">
        <f t="shared" si="3"/>
        <v>86790-BZ270</v>
      </c>
      <c r="C13" s="228" t="s">
        <v>87</v>
      </c>
      <c r="D13" s="228" t="s">
        <v>382</v>
      </c>
      <c r="E13" s="228" t="s">
        <v>383</v>
      </c>
      <c r="F13" s="228" t="s">
        <v>89</v>
      </c>
      <c r="G13" s="228"/>
      <c r="H13" s="228"/>
      <c r="I13" s="228"/>
      <c r="J13" s="220">
        <v>0</v>
      </c>
      <c r="K13" s="220">
        <v>0</v>
      </c>
      <c r="L13" s="220">
        <v>0</v>
      </c>
      <c r="M13" s="220">
        <v>0</v>
      </c>
      <c r="N13" s="219"/>
      <c r="O13" s="220">
        <v>0</v>
      </c>
      <c r="P13" s="220">
        <v>0</v>
      </c>
      <c r="Q13" s="220">
        <v>0</v>
      </c>
      <c r="R13" s="220"/>
      <c r="S13" s="2"/>
      <c r="T13" s="220">
        <f t="shared" ref="T13:V13" si="13">J13-O13</f>
        <v>0</v>
      </c>
      <c r="U13" s="220">
        <f t="shared" si="13"/>
        <v>0</v>
      </c>
      <c r="V13" s="220">
        <f t="shared" si="13"/>
        <v>0</v>
      </c>
      <c r="W13" s="228"/>
      <c r="X13" s="2"/>
      <c r="Y13" s="223" t="str">
        <f t="shared" ref="Y13:AA13" si="14">T13/O13</f>
        <v>#DIV/0!</v>
      </c>
      <c r="Z13" s="223" t="str">
        <f t="shared" si="14"/>
        <v>#DIV/0!</v>
      </c>
      <c r="AA13" s="223" t="str">
        <f t="shared" si="14"/>
        <v>#DIV/0!</v>
      </c>
      <c r="AB13" s="223"/>
      <c r="AC13" s="2"/>
    </row>
    <row r="14" ht="13.5" customHeight="1" spans="1:29" x14ac:dyDescent="0.25">
      <c r="A14" s="112" t="s">
        <v>111</v>
      </c>
      <c r="B14" s="114" t="str">
        <f t="shared" si="3"/>
        <v>86790-BZ271</v>
      </c>
      <c r="C14" s="229" t="s">
        <v>110</v>
      </c>
      <c r="D14" s="114" t="s">
        <v>382</v>
      </c>
      <c r="E14" s="114" t="s">
        <v>383</v>
      </c>
      <c r="F14" s="114" t="s">
        <v>89</v>
      </c>
      <c r="G14" s="114"/>
      <c r="H14" s="114"/>
      <c r="I14" s="114"/>
      <c r="J14" s="218">
        <f>VLOOKUP($B14,Analyze!$ES$25:$EW$45,2,0)</f>
        <v>2232</v>
      </c>
      <c r="K14" s="218">
        <f>VLOOKUP($B14,Analyze!$ES$25:$EW$45,3,0)</f>
        <v>1944</v>
      </c>
      <c r="L14" s="218">
        <f>VLOOKUP($B14,Analyze!$ES$25:$EW$45,4,0)</f>
        <v>1620</v>
      </c>
      <c r="M14" s="218">
        <f>VLOOKUP($B14,Analyze!$ES$25:$EW$45,5,0)</f>
        <v>1620</v>
      </c>
      <c r="N14" s="219"/>
      <c r="O14" s="218">
        <v>1944</v>
      </c>
      <c r="P14" s="218">
        <v>1980</v>
      </c>
      <c r="Q14" s="218">
        <v>1764</v>
      </c>
      <c r="R14" s="220">
        <f t="shared" ref="R14:R26" si="15">Q14*0.8</f>
        <v>1411.2</v>
      </c>
      <c r="S14" s="2"/>
      <c r="T14" s="230">
        <f t="shared" ref="T14:W14" si="16">J14-O14</f>
        <v>288</v>
      </c>
      <c r="U14" s="221">
        <f t="shared" si="16"/>
        <v>-36</v>
      </c>
      <c r="V14" s="230">
        <f t="shared" si="16"/>
        <v>-144</v>
      </c>
      <c r="W14" s="220">
        <f t="shared" si="16"/>
        <v>208.8</v>
      </c>
      <c r="X14" s="2"/>
      <c r="Y14" s="222">
        <f t="shared" ref="Y14:AB14" si="17">T14/O14</f>
        <v>0.1481481481</v>
      </c>
      <c r="Z14" s="222">
        <f t="shared" si="17"/>
        <v>-0.01818181818</v>
      </c>
      <c r="AA14" s="222">
        <f t="shared" si="17"/>
        <v>-0.08163265306</v>
      </c>
      <c r="AB14" s="226">
        <f t="shared" si="17"/>
        <v>0.1479591837</v>
      </c>
      <c r="AC14" s="2"/>
    </row>
    <row r="15" ht="13.5" customHeight="1" spans="1:29" x14ac:dyDescent="0.25">
      <c r="A15" s="114" t="s">
        <v>35</v>
      </c>
      <c r="B15" s="114" t="str">
        <f t="shared" si="3"/>
        <v>86790-BZ280</v>
      </c>
      <c r="C15" s="229" t="s">
        <v>91</v>
      </c>
      <c r="D15" s="114" t="s">
        <v>382</v>
      </c>
      <c r="E15" s="114" t="s">
        <v>383</v>
      </c>
      <c r="F15" s="114" t="s">
        <v>89</v>
      </c>
      <c r="G15" s="114"/>
      <c r="H15" s="114"/>
      <c r="I15" s="114"/>
      <c r="J15" s="218">
        <f>VLOOKUP($B15,Analyze!$ES$25:$EW$45,2,0)</f>
        <v>6770</v>
      </c>
      <c r="K15" s="218">
        <f>VLOOKUP($B15,Analyze!$ES$25:$EW$45,3,0)</f>
        <v>8040</v>
      </c>
      <c r="L15" s="218">
        <f>VLOOKUP($B15,Analyze!$ES$25:$EW$45,4,0)</f>
        <v>5500</v>
      </c>
      <c r="M15" s="227">
        <f>VLOOKUP($B15,Analyze!$ES$25:$EW$45,5,0)</f>
        <v>5570</v>
      </c>
      <c r="N15" s="219"/>
      <c r="O15" s="218">
        <v>6620</v>
      </c>
      <c r="P15" s="218">
        <v>7740</v>
      </c>
      <c r="Q15" s="227">
        <v>5940</v>
      </c>
      <c r="R15" s="220">
        <f t="shared" si="15"/>
        <v>4752</v>
      </c>
      <c r="S15" s="2"/>
      <c r="T15" s="230">
        <f t="shared" ref="T15:W15" si="18">J15-O15</f>
        <v>150</v>
      </c>
      <c r="U15" s="225">
        <f t="shared" si="18"/>
        <v>300</v>
      </c>
      <c r="V15" s="221">
        <f t="shared" si="18"/>
        <v>-440</v>
      </c>
      <c r="W15" s="220">
        <f t="shared" si="18"/>
        <v>818</v>
      </c>
      <c r="X15" s="72"/>
      <c r="Y15" s="222">
        <f t="shared" ref="Y15:AB15" si="19">T15/O15</f>
        <v>0.02265861027</v>
      </c>
      <c r="Z15" s="222">
        <f t="shared" si="19"/>
        <v>0.03875968992</v>
      </c>
      <c r="AA15" s="222">
        <f t="shared" si="19"/>
        <v>-0.07407407407</v>
      </c>
      <c r="AB15" s="226">
        <f t="shared" si="19"/>
        <v>0.1721380471</v>
      </c>
      <c r="AC15" s="2"/>
    </row>
    <row r="16" ht="13.5" customHeight="1" spans="1:29" x14ac:dyDescent="0.25">
      <c r="A16" s="114" t="s">
        <v>29</v>
      </c>
      <c r="B16" s="114" t="str">
        <f t="shared" si="3"/>
        <v>86790-0K120</v>
      </c>
      <c r="C16" s="224" t="s">
        <v>82</v>
      </c>
      <c r="D16" s="114" t="s">
        <v>371</v>
      </c>
      <c r="E16" s="114" t="s">
        <v>384</v>
      </c>
      <c r="F16" s="114" t="s">
        <v>62</v>
      </c>
      <c r="G16" s="114"/>
      <c r="H16" s="114"/>
      <c r="I16" s="114"/>
      <c r="J16" s="218">
        <f>VLOOKUP($B16,Analyze!$ES$25:$EW$45,2,0)</f>
        <v>280</v>
      </c>
      <c r="K16" s="218">
        <f>VLOOKUP($B16,Analyze!$ES$25:$EW$45,3,0)</f>
        <v>240</v>
      </c>
      <c r="L16" s="218">
        <f>VLOOKUP($B16,Analyze!$ES$25:$EW$45,4,0)</f>
        <v>360</v>
      </c>
      <c r="M16" s="218">
        <f>VLOOKUP($B16,Analyze!$ES$25:$EW$45,5,0)</f>
        <v>360</v>
      </c>
      <c r="N16" s="219"/>
      <c r="O16" s="218">
        <v>280</v>
      </c>
      <c r="P16" s="218">
        <v>260</v>
      </c>
      <c r="Q16" s="218">
        <v>440</v>
      </c>
      <c r="R16" s="220">
        <f t="shared" si="15"/>
        <v>352</v>
      </c>
      <c r="S16" s="2"/>
      <c r="T16" s="221">
        <f t="shared" ref="T16:W16" si="20">J16-O16</f>
        <v>0</v>
      </c>
      <c r="U16" s="221">
        <f t="shared" si="20"/>
        <v>-20</v>
      </c>
      <c r="V16" s="221">
        <f t="shared" si="20"/>
        <v>-80</v>
      </c>
      <c r="W16" s="220">
        <f t="shared" si="20"/>
        <v>8</v>
      </c>
      <c r="X16" s="72"/>
      <c r="Y16" s="222">
        <f t="shared" ref="Y16:AB16" si="21">T16/O16</f>
        <v>0</v>
      </c>
      <c r="Z16" s="222">
        <f t="shared" si="21"/>
        <v>-0.07692307692</v>
      </c>
      <c r="AA16" s="222">
        <f t="shared" si="21"/>
        <v>-0.1818181818</v>
      </c>
      <c r="AB16" s="226">
        <f t="shared" si="21"/>
        <v>0.02272727273</v>
      </c>
      <c r="AC16" s="2"/>
    </row>
    <row r="17" ht="13.5" customHeight="1" spans="1:29" x14ac:dyDescent="0.25">
      <c r="A17" s="114" t="s">
        <v>31</v>
      </c>
      <c r="B17" s="114" t="str">
        <f t="shared" si="3"/>
        <v>86790-0K200</v>
      </c>
      <c r="C17" s="224" t="s">
        <v>385</v>
      </c>
      <c r="D17" s="114" t="s">
        <v>386</v>
      </c>
      <c r="E17" s="114" t="s">
        <v>384</v>
      </c>
      <c r="F17" s="114" t="s">
        <v>62</v>
      </c>
      <c r="G17" s="114"/>
      <c r="H17" s="114"/>
      <c r="I17" s="114"/>
      <c r="J17" s="218">
        <f>VLOOKUP($B17,Analyze!$ES$25:$EW$45,2,0)</f>
        <v>3280</v>
      </c>
      <c r="K17" s="218">
        <f>VLOOKUP($B17,Analyze!$ES$25:$EW$45,3,0)</f>
        <v>3020</v>
      </c>
      <c r="L17" s="218">
        <f>VLOOKUP($B17,Analyze!$ES$25:$EW$45,4,0)</f>
        <v>2720</v>
      </c>
      <c r="M17" s="227">
        <f>VLOOKUP($B17,Analyze!$ES$25:$EW$45,5,0)</f>
        <v>2400</v>
      </c>
      <c r="N17" s="219"/>
      <c r="O17" s="218">
        <v>3280</v>
      </c>
      <c r="P17" s="218">
        <v>3020</v>
      </c>
      <c r="Q17" s="227">
        <v>2820</v>
      </c>
      <c r="R17" s="220">
        <f t="shared" si="15"/>
        <v>2256</v>
      </c>
      <c r="S17" s="2"/>
      <c r="T17" s="225">
        <f t="shared" ref="T17:W17" si="22">J17-O17</f>
        <v>0</v>
      </c>
      <c r="U17" s="221">
        <f t="shared" si="22"/>
        <v>0</v>
      </c>
      <c r="V17" s="221">
        <f t="shared" si="22"/>
        <v>-100</v>
      </c>
      <c r="W17" s="220">
        <f t="shared" si="22"/>
        <v>144</v>
      </c>
      <c r="X17" s="72"/>
      <c r="Y17" s="222">
        <f t="shared" ref="Y17:AB17" si="23">T17/O17</f>
        <v>0</v>
      </c>
      <c r="Z17" s="222">
        <f t="shared" si="23"/>
        <v>0</v>
      </c>
      <c r="AA17" s="222">
        <f t="shared" si="23"/>
        <v>-0.03546099291</v>
      </c>
      <c r="AB17" s="226">
        <f t="shared" si="23"/>
        <v>0.06382978723</v>
      </c>
      <c r="AC17" s="2"/>
    </row>
    <row r="18" ht="13.5" customHeight="1" spans="1:29" x14ac:dyDescent="0.25">
      <c r="A18" s="114" t="s">
        <v>32</v>
      </c>
      <c r="B18" s="114" t="str">
        <f t="shared" si="3"/>
        <v>86790-0K220</v>
      </c>
      <c r="C18" s="224" t="s">
        <v>85</v>
      </c>
      <c r="D18" s="114" t="s">
        <v>376</v>
      </c>
      <c r="E18" s="114" t="s">
        <v>384</v>
      </c>
      <c r="F18" s="114" t="s">
        <v>62</v>
      </c>
      <c r="G18" s="114"/>
      <c r="H18" s="114"/>
      <c r="I18" s="114"/>
      <c r="J18" s="218">
        <f>VLOOKUP($B18,Analyze!$ES$25:$EW$45,2,0)</f>
        <v>960</v>
      </c>
      <c r="K18" s="218">
        <f>VLOOKUP($B18,Analyze!$ES$25:$EW$45,3,0)</f>
        <v>1300</v>
      </c>
      <c r="L18" s="218">
        <f>VLOOKUP($B18,Analyze!$ES$25:$EW$45,4,0)</f>
        <v>2160</v>
      </c>
      <c r="M18" s="227">
        <f>VLOOKUP($B18,Analyze!$ES$25:$EW$45,5,0)</f>
        <v>2220</v>
      </c>
      <c r="N18" s="2"/>
      <c r="O18" s="218">
        <v>1060</v>
      </c>
      <c r="P18" s="218">
        <v>1640</v>
      </c>
      <c r="Q18" s="227">
        <v>2340</v>
      </c>
      <c r="R18" s="220">
        <f t="shared" si="15"/>
        <v>1872</v>
      </c>
      <c r="S18" s="2"/>
      <c r="T18" s="230">
        <f t="shared" ref="T18:W18" si="24">J18-O18</f>
        <v>-100</v>
      </c>
      <c r="U18" s="230">
        <f t="shared" si="24"/>
        <v>-340</v>
      </c>
      <c r="V18" s="230">
        <f t="shared" si="24"/>
        <v>-180</v>
      </c>
      <c r="W18" s="220">
        <f t="shared" si="24"/>
        <v>348</v>
      </c>
      <c r="X18" s="72"/>
      <c r="Y18" s="222">
        <f t="shared" ref="Y18:AB18" si="25">T18/O18</f>
        <v>-0.09433962264</v>
      </c>
      <c r="Z18" s="222">
        <f t="shared" si="25"/>
        <v>-0.2073170732</v>
      </c>
      <c r="AA18" s="222">
        <f t="shared" si="25"/>
        <v>-0.07692307692</v>
      </c>
      <c r="AB18" s="226">
        <f t="shared" si="25"/>
        <v>0.1858974359</v>
      </c>
      <c r="AC18" s="2"/>
    </row>
    <row r="19" ht="13.5" customHeight="1" spans="1:29" x14ac:dyDescent="0.25">
      <c r="A19" s="114" t="s">
        <v>36</v>
      </c>
      <c r="B19" s="114" t="str">
        <f t="shared" si="3"/>
        <v>86790-BZ210</v>
      </c>
      <c r="C19" s="229" t="s">
        <v>93</v>
      </c>
      <c r="D19" s="114" t="s">
        <v>387</v>
      </c>
      <c r="E19" s="114" t="s">
        <v>388</v>
      </c>
      <c r="F19" s="114" t="s">
        <v>89</v>
      </c>
      <c r="G19" s="114"/>
      <c r="H19" s="114"/>
      <c r="I19" s="114"/>
      <c r="J19" s="218">
        <f>VLOOKUP($B19,Analyze!$ES$25:$EW$45,2,0)</f>
        <v>8327</v>
      </c>
      <c r="K19" s="218">
        <f>VLOOKUP($B19,Analyze!$ES$25:$EW$45,3,0)</f>
        <v>5661</v>
      </c>
      <c r="L19" s="218">
        <f>VLOOKUP($B19,Analyze!$ES$25:$EW$45,4,0)</f>
        <v>6900</v>
      </c>
      <c r="M19" s="218">
        <f>VLOOKUP($B19,Analyze!$ES$25:$EW$45,5,0)</f>
        <v>5595</v>
      </c>
      <c r="N19" s="2"/>
      <c r="O19" s="218">
        <v>8327</v>
      </c>
      <c r="P19" s="218">
        <v>6520</v>
      </c>
      <c r="Q19" s="218">
        <v>6814</v>
      </c>
      <c r="R19" s="220">
        <f t="shared" si="15"/>
        <v>5451.2</v>
      </c>
      <c r="S19" s="2"/>
      <c r="T19" s="221">
        <f t="shared" ref="T19:W19" si="26">J19-O19</f>
        <v>0</v>
      </c>
      <c r="U19" s="221">
        <f t="shared" si="26"/>
        <v>-859</v>
      </c>
      <c r="V19" s="221">
        <f t="shared" si="26"/>
        <v>86</v>
      </c>
      <c r="W19" s="220">
        <f t="shared" si="26"/>
        <v>143.8</v>
      </c>
      <c r="X19" s="72"/>
      <c r="Y19" s="222">
        <f t="shared" ref="Y19:AB19" si="27">T19/O19</f>
        <v>0</v>
      </c>
      <c r="Z19" s="222">
        <f t="shared" si="27"/>
        <v>-0.1317484663</v>
      </c>
      <c r="AA19" s="222">
        <f t="shared" si="27"/>
        <v>0.01262107426</v>
      </c>
      <c r="AB19" s="226">
        <f t="shared" si="27"/>
        <v>0.02637951277</v>
      </c>
      <c r="AC19" s="2"/>
    </row>
    <row r="20" ht="13.5" customHeight="1" spans="1:29" x14ac:dyDescent="0.25">
      <c r="A20" s="114" t="s">
        <v>38</v>
      </c>
      <c r="B20" s="114" t="str">
        <f t="shared" si="3"/>
        <v>86790-BZ220</v>
      </c>
      <c r="C20" s="229" t="s">
        <v>95</v>
      </c>
      <c r="D20" s="114" t="s">
        <v>387</v>
      </c>
      <c r="E20" s="114" t="s">
        <v>388</v>
      </c>
      <c r="F20" s="114" t="s">
        <v>89</v>
      </c>
      <c r="G20" s="114"/>
      <c r="H20" s="114"/>
      <c r="I20" s="114"/>
      <c r="J20" s="218">
        <f>VLOOKUP($B20,Analyze!$ES$25:$EW$45,2,0)</f>
        <v>1432</v>
      </c>
      <c r="K20" s="218">
        <f>VLOOKUP($B20,Analyze!$ES$25:$EW$45,3,0)</f>
        <v>772</v>
      </c>
      <c r="L20" s="218">
        <f>VLOOKUP($B20,Analyze!$ES$25:$EW$45,4,0)</f>
        <v>1133</v>
      </c>
      <c r="M20" s="218">
        <f>VLOOKUP($B20,Analyze!$ES$25:$EW$45,5,0)</f>
        <v>749</v>
      </c>
      <c r="N20" s="2"/>
      <c r="O20" s="218">
        <v>1432</v>
      </c>
      <c r="P20" s="218">
        <v>1087</v>
      </c>
      <c r="Q20" s="218">
        <v>1023</v>
      </c>
      <c r="R20" s="220">
        <f t="shared" si="15"/>
        <v>818.4</v>
      </c>
      <c r="S20" s="2"/>
      <c r="T20" s="221">
        <f t="shared" ref="T20:W20" si="28">J20-O20</f>
        <v>0</v>
      </c>
      <c r="U20" s="230">
        <f t="shared" si="28"/>
        <v>-315</v>
      </c>
      <c r="V20" s="221">
        <f t="shared" si="28"/>
        <v>110</v>
      </c>
      <c r="W20" s="220">
        <f t="shared" si="28"/>
        <v>-69.4</v>
      </c>
      <c r="X20" s="72"/>
      <c r="Y20" s="222">
        <f t="shared" ref="Y20:AB20" si="29">T20/O20</f>
        <v>0</v>
      </c>
      <c r="Z20" s="222">
        <f t="shared" si="29"/>
        <v>-0.2897884085</v>
      </c>
      <c r="AA20" s="222">
        <f t="shared" si="29"/>
        <v>0.1075268817</v>
      </c>
      <c r="AB20" s="226">
        <f t="shared" si="29"/>
        <v>-0.08479960899</v>
      </c>
      <c r="AC20" s="2"/>
    </row>
    <row r="21" ht="13.5" customHeight="1" spans="1:29" x14ac:dyDescent="0.25">
      <c r="A21" s="216" t="s">
        <v>39</v>
      </c>
      <c r="B21" s="216" t="str">
        <f t="shared" si="3"/>
        <v>86790-0K141</v>
      </c>
      <c r="C21" s="229" t="s">
        <v>389</v>
      </c>
      <c r="D21" s="216" t="s">
        <v>371</v>
      </c>
      <c r="E21" s="216" t="s">
        <v>372</v>
      </c>
      <c r="F21" s="224" t="s">
        <v>62</v>
      </c>
      <c r="G21" s="224"/>
      <c r="H21" s="114"/>
      <c r="I21" s="114"/>
      <c r="J21" s="218">
        <f>VLOOKUP($B21,Analyze!$ES$25:$EW$45,2,0)</f>
        <v>1528</v>
      </c>
      <c r="K21" s="218">
        <f>VLOOKUP($B21,Analyze!$ES$25:$EW$45,3,0)</f>
        <v>1994</v>
      </c>
      <c r="L21" s="218">
        <f>VLOOKUP($B21,Analyze!$ES$25:$EW$45,4,0)</f>
        <v>2198</v>
      </c>
      <c r="M21" s="227">
        <f>VLOOKUP($B21,Analyze!$ES$25:$EW$45,5,0)</f>
        <v>1779</v>
      </c>
      <c r="N21" s="2"/>
      <c r="O21" s="218">
        <v>2120</v>
      </c>
      <c r="P21" s="218">
        <v>2075</v>
      </c>
      <c r="Q21" s="227">
        <v>2514</v>
      </c>
      <c r="R21" s="220">
        <f t="shared" si="15"/>
        <v>2011.2</v>
      </c>
      <c r="S21" s="2"/>
      <c r="T21" s="221">
        <f t="shared" ref="T21:W21" si="30">J21-O21</f>
        <v>-592</v>
      </c>
      <c r="U21" s="225">
        <f t="shared" si="30"/>
        <v>-81</v>
      </c>
      <c r="V21" s="225">
        <f t="shared" si="30"/>
        <v>-316</v>
      </c>
      <c r="W21" s="220">
        <f t="shared" si="30"/>
        <v>-232.2</v>
      </c>
      <c r="X21" s="72"/>
      <c r="Y21" s="222">
        <f t="shared" ref="Y21:AB21" si="31">T21/O21</f>
        <v>-0.279245283</v>
      </c>
      <c r="Z21" s="222">
        <f t="shared" si="31"/>
        <v>-0.03903614458</v>
      </c>
      <c r="AA21" s="222">
        <f t="shared" si="31"/>
        <v>-0.1256961018</v>
      </c>
      <c r="AB21" s="226">
        <f t="shared" si="31"/>
        <v>-0.1154534606</v>
      </c>
      <c r="AC21" s="2"/>
    </row>
    <row r="22" ht="13.5" customHeight="1" spans="1:29" x14ac:dyDescent="0.25">
      <c r="A22" s="216" t="s">
        <v>41</v>
      </c>
      <c r="B22" s="216" t="str">
        <f t="shared" si="3"/>
        <v>86790-0K171</v>
      </c>
      <c r="C22" s="229" t="s">
        <v>81</v>
      </c>
      <c r="D22" s="216" t="s">
        <v>371</v>
      </c>
      <c r="E22" s="216" t="s">
        <v>372</v>
      </c>
      <c r="F22" s="216" t="s">
        <v>62</v>
      </c>
      <c r="G22" s="216"/>
      <c r="H22" s="114"/>
      <c r="I22" s="114"/>
      <c r="J22" s="218">
        <f>VLOOKUP($B22,Analyze!$ES$25:$EW$45,2,0)</f>
        <v>991</v>
      </c>
      <c r="K22" s="218">
        <f>VLOOKUP($B22,Analyze!$ES$25:$EW$45,3,0)</f>
        <v>1176</v>
      </c>
      <c r="L22" s="218">
        <f>VLOOKUP($B22,Analyze!$ES$25:$EW$45,4,0)</f>
        <v>921</v>
      </c>
      <c r="M22" s="218">
        <f>VLOOKUP($B22,Analyze!$ES$25:$EW$45,5,0)</f>
        <v>1009</v>
      </c>
      <c r="N22" s="2"/>
      <c r="O22" s="218">
        <v>1051</v>
      </c>
      <c r="P22" s="218">
        <v>1054</v>
      </c>
      <c r="Q22" s="218">
        <v>789</v>
      </c>
      <c r="R22" s="220">
        <f t="shared" si="15"/>
        <v>631.2</v>
      </c>
      <c r="S22" s="2"/>
      <c r="T22" s="221">
        <f t="shared" ref="T22:W22" si="32">J22-O22</f>
        <v>-60</v>
      </c>
      <c r="U22" s="225">
        <f t="shared" si="32"/>
        <v>122</v>
      </c>
      <c r="V22" s="221">
        <f t="shared" si="32"/>
        <v>132</v>
      </c>
      <c r="W22" s="220">
        <f t="shared" si="32"/>
        <v>377.8</v>
      </c>
      <c r="X22" s="72"/>
      <c r="Y22" s="222">
        <f t="shared" ref="Y22:AB22" si="33">T22/O22</f>
        <v>-0.05708848716</v>
      </c>
      <c r="Z22" s="222">
        <f t="shared" si="33"/>
        <v>0.1157495256</v>
      </c>
      <c r="AA22" s="222">
        <f t="shared" si="33"/>
        <v>0.1673003802</v>
      </c>
      <c r="AB22" s="226">
        <f t="shared" si="33"/>
        <v>0.5985424588</v>
      </c>
      <c r="AC22" s="2"/>
    </row>
    <row r="23" ht="13.5" customHeight="1" spans="1:29" x14ac:dyDescent="0.25">
      <c r="A23" s="216" t="s">
        <v>42</v>
      </c>
      <c r="B23" s="216" t="str">
        <f t="shared" si="3"/>
        <v>86790-0K181</v>
      </c>
      <c r="C23" s="229" t="s">
        <v>390</v>
      </c>
      <c r="D23" s="216" t="s">
        <v>386</v>
      </c>
      <c r="E23" s="216" t="s">
        <v>375</v>
      </c>
      <c r="F23" s="224" t="s">
        <v>62</v>
      </c>
      <c r="G23" s="224"/>
      <c r="H23" s="114"/>
      <c r="I23" s="114"/>
      <c r="J23" s="218">
        <f>VLOOKUP($B23,Analyze!$ES$25:$EW$45,2,0)</f>
        <v>388</v>
      </c>
      <c r="K23" s="218">
        <f>VLOOKUP($B23,Analyze!$ES$25:$EW$45,3,0)</f>
        <v>550</v>
      </c>
      <c r="L23" s="218">
        <f>VLOOKUP($B23,Analyze!$ES$25:$EW$45,4,0)</f>
        <v>292</v>
      </c>
      <c r="M23" s="218">
        <f>VLOOKUP($B23,Analyze!$ES$25:$EW$45,5,0)</f>
        <v>340</v>
      </c>
      <c r="N23" s="2"/>
      <c r="O23" s="218">
        <v>436</v>
      </c>
      <c r="P23" s="218">
        <v>549</v>
      </c>
      <c r="Q23" s="218">
        <v>373</v>
      </c>
      <c r="R23" s="220">
        <f t="shared" si="15"/>
        <v>298.4</v>
      </c>
      <c r="S23" s="2"/>
      <c r="T23" s="221">
        <f t="shared" ref="T23:W23" si="34">J23-O23</f>
        <v>-48</v>
      </c>
      <c r="U23" s="225">
        <f t="shared" si="34"/>
        <v>1</v>
      </c>
      <c r="V23" s="225">
        <f t="shared" si="34"/>
        <v>-81</v>
      </c>
      <c r="W23" s="220">
        <f t="shared" si="34"/>
        <v>41.6</v>
      </c>
      <c r="X23" s="72"/>
      <c r="Y23" s="222">
        <f t="shared" ref="Y23:AB23" si="35">T23/O23</f>
        <v>-0.1100917431</v>
      </c>
      <c r="Z23" s="222">
        <f t="shared" si="35"/>
        <v>0.001821493625</v>
      </c>
      <c r="AA23" s="222">
        <f t="shared" si="35"/>
        <v>-0.2171581769</v>
      </c>
      <c r="AB23" s="226">
        <f t="shared" si="35"/>
        <v>0.1394101877</v>
      </c>
      <c r="AC23" s="2"/>
    </row>
    <row r="24" ht="13.5" customHeight="1" spans="1:29" x14ac:dyDescent="0.25">
      <c r="A24" s="216" t="s">
        <v>73</v>
      </c>
      <c r="B24" s="216" t="str">
        <f t="shared" si="3"/>
        <v>86790-0K230</v>
      </c>
      <c r="C24" s="76" t="s">
        <v>72</v>
      </c>
      <c r="D24" s="216" t="s">
        <v>371</v>
      </c>
      <c r="E24" s="216" t="s">
        <v>391</v>
      </c>
      <c r="F24" s="216" t="s">
        <v>65</v>
      </c>
      <c r="G24" s="216"/>
      <c r="H24" s="114"/>
      <c r="I24" s="114"/>
      <c r="J24" s="218">
        <f>VLOOKUP($B24,Analyze!$ES$25:$EW$45,2,0)</f>
        <v>1211</v>
      </c>
      <c r="K24" s="218">
        <f>VLOOKUP($B24,Analyze!$ES$25:$EW$45,3,0)</f>
        <v>1050</v>
      </c>
      <c r="L24" s="218">
        <f>VLOOKUP($B24,Analyze!$ES$25:$EW$45,4,0)</f>
        <v>1069</v>
      </c>
      <c r="M24" s="218">
        <f>VLOOKUP($B24,Analyze!$ES$25:$EW$45,5,0)</f>
        <v>872</v>
      </c>
      <c r="N24" s="2"/>
      <c r="O24" s="218">
        <v>1211</v>
      </c>
      <c r="P24" s="218">
        <v>1039</v>
      </c>
      <c r="Q24" s="218">
        <v>1126</v>
      </c>
      <c r="R24" s="220">
        <f t="shared" si="15"/>
        <v>900.8</v>
      </c>
      <c r="S24" s="2"/>
      <c r="T24" s="221">
        <f t="shared" ref="T24:W24" si="36">J24-O24</f>
        <v>0</v>
      </c>
      <c r="U24" s="221">
        <f t="shared" si="36"/>
        <v>11</v>
      </c>
      <c r="V24" s="225">
        <f t="shared" si="36"/>
        <v>-57</v>
      </c>
      <c r="W24" s="220">
        <f t="shared" si="36"/>
        <v>-28.8</v>
      </c>
      <c r="X24" s="72"/>
      <c r="Y24" s="222">
        <f t="shared" ref="Y24:AB24" si="37">T24/O24</f>
        <v>0</v>
      </c>
      <c r="Z24" s="222">
        <f t="shared" si="37"/>
        <v>0.01058710298</v>
      </c>
      <c r="AA24" s="222">
        <f t="shared" si="37"/>
        <v>-0.05062166963</v>
      </c>
      <c r="AB24" s="226">
        <f t="shared" si="37"/>
        <v>-0.03197158082</v>
      </c>
      <c r="AC24" s="2"/>
    </row>
    <row r="25" ht="13.5" customHeight="1" spans="1:29" x14ac:dyDescent="0.25">
      <c r="A25" s="216" t="s">
        <v>392</v>
      </c>
      <c r="B25" s="216" t="str">
        <f t="shared" si="3"/>
        <v>86790-BZ310</v>
      </c>
      <c r="C25" s="229" t="s">
        <v>97</v>
      </c>
      <c r="D25" s="216" t="s">
        <v>393</v>
      </c>
      <c r="E25" s="216" t="s">
        <v>394</v>
      </c>
      <c r="F25" s="216" t="s">
        <v>89</v>
      </c>
      <c r="G25" s="216"/>
      <c r="H25" s="114"/>
      <c r="I25" s="114"/>
      <c r="J25" s="218">
        <f>VLOOKUP($B25,Analyze!$ES$25:$EW$45,2,0)</f>
        <v>7505</v>
      </c>
      <c r="K25" s="218">
        <f>VLOOKUP($B25,Analyze!$ES$25:$EW$45,3,0)</f>
        <v>12018</v>
      </c>
      <c r="L25" s="218">
        <f>VLOOKUP($B25,Analyze!$ES$25:$EW$45,4,0)</f>
        <v>11630</v>
      </c>
      <c r="M25" s="218">
        <f>VLOOKUP($B25,Analyze!$ES$25:$EW$45,5,0)</f>
        <v>13017</v>
      </c>
      <c r="N25" s="2"/>
      <c r="O25" s="218">
        <v>7805</v>
      </c>
      <c r="P25" s="218">
        <v>12378</v>
      </c>
      <c r="Q25" s="218">
        <v>10805</v>
      </c>
      <c r="R25" s="220">
        <f t="shared" si="15"/>
        <v>8644</v>
      </c>
      <c r="S25" s="2"/>
      <c r="T25" s="221">
        <f t="shared" ref="T25:W25" si="38">J25-O25</f>
        <v>-300</v>
      </c>
      <c r="U25" s="221">
        <f t="shared" si="38"/>
        <v>-360</v>
      </c>
      <c r="V25" s="221">
        <f t="shared" si="38"/>
        <v>825</v>
      </c>
      <c r="W25" s="220">
        <f t="shared" si="38"/>
        <v>4373</v>
      </c>
      <c r="X25" s="72"/>
      <c r="Y25" s="222">
        <f t="shared" ref="Y25:AB25" si="39">T25/O25</f>
        <v>-0.03843689942</v>
      </c>
      <c r="Z25" s="222">
        <f t="shared" si="39"/>
        <v>-0.02908385846</v>
      </c>
      <c r="AA25" s="222">
        <f t="shared" si="39"/>
        <v>0.07635354003</v>
      </c>
      <c r="AB25" s="226">
        <f t="shared" si="39"/>
        <v>0.5059000463</v>
      </c>
      <c r="AC25" s="2"/>
    </row>
    <row r="26" ht="13.5" customHeight="1" spans="1:29" x14ac:dyDescent="0.25">
      <c r="A26" s="216" t="s">
        <v>101</v>
      </c>
      <c r="B26" s="112" t="str">
        <f t="shared" si="3"/>
        <v>86790-0K051</v>
      </c>
      <c r="C26" s="224" t="s">
        <v>395</v>
      </c>
      <c r="D26" s="112" t="s">
        <v>371</v>
      </c>
      <c r="E26" s="112" t="s">
        <v>372</v>
      </c>
      <c r="F26" s="216" t="s">
        <v>65</v>
      </c>
      <c r="G26" s="216"/>
      <c r="H26" s="114"/>
      <c r="I26" s="114"/>
      <c r="J26" s="218">
        <f>VLOOKUP($B26,Analyze!$ES$25:$EW$45,2,0)</f>
        <v>11329</v>
      </c>
      <c r="K26" s="218">
        <f>VLOOKUP($B26,Analyze!$ES$25:$EW$45,3,0)</f>
        <v>10123</v>
      </c>
      <c r="L26" s="218">
        <f>VLOOKUP($B26,Analyze!$ES$25:$EW$45,4,0)</f>
        <v>9639</v>
      </c>
      <c r="M26" s="218">
        <f>VLOOKUP($B26,Analyze!$ES$25:$EW$45,5,0)</f>
        <v>8556</v>
      </c>
      <c r="N26" s="2"/>
      <c r="O26" s="218">
        <v>11639</v>
      </c>
      <c r="P26" s="218">
        <v>9847</v>
      </c>
      <c r="Q26" s="218">
        <v>10071</v>
      </c>
      <c r="R26" s="220">
        <f t="shared" si="15"/>
        <v>8056.8</v>
      </c>
      <c r="S26" s="2"/>
      <c r="T26" s="221">
        <f t="shared" ref="T26:W26" si="40">J26-O26</f>
        <v>-310</v>
      </c>
      <c r="U26" s="221">
        <f t="shared" si="40"/>
        <v>276</v>
      </c>
      <c r="V26" s="221">
        <f t="shared" si="40"/>
        <v>-432</v>
      </c>
      <c r="W26" s="220">
        <f t="shared" si="40"/>
        <v>499.2</v>
      </c>
      <c r="X26" s="72"/>
      <c r="Y26" s="222">
        <f t="shared" ref="Y26:AB26" si="41">T26/O26</f>
        <v>-0.0266345906</v>
      </c>
      <c r="Z26" s="222">
        <f t="shared" si="41"/>
        <v>0.02802884127</v>
      </c>
      <c r="AA26" s="222">
        <f t="shared" si="41"/>
        <v>-0.04289544236</v>
      </c>
      <c r="AB26" s="226">
        <f t="shared" si="41"/>
        <v>0.06196008341</v>
      </c>
      <c r="AC26" s="2"/>
    </row>
    <row r="27" ht="13.5" customHeight="1" spans="1:29" x14ac:dyDescent="0.25">
      <c r="A27" s="228" t="s">
        <v>104</v>
      </c>
      <c r="B27" s="228" t="str">
        <f t="shared" si="3"/>
        <v>86790-BZ320</v>
      </c>
      <c r="C27" s="228" t="s">
        <v>104</v>
      </c>
      <c r="D27" s="228" t="s">
        <v>393</v>
      </c>
      <c r="E27" s="228" t="s">
        <v>394</v>
      </c>
      <c r="F27" s="228" t="s">
        <v>89</v>
      </c>
      <c r="G27" s="228"/>
      <c r="H27" s="228"/>
      <c r="I27" s="228"/>
      <c r="J27" s="220">
        <v>0</v>
      </c>
      <c r="K27" s="220">
        <v>0</v>
      </c>
      <c r="L27" s="220">
        <v>0</v>
      </c>
      <c r="M27" s="220">
        <v>0</v>
      </c>
      <c r="N27" s="2"/>
      <c r="O27" s="220">
        <v>0</v>
      </c>
      <c r="P27" s="220">
        <v>0</v>
      </c>
      <c r="Q27" s="220">
        <v>0</v>
      </c>
      <c r="R27" s="220"/>
      <c r="S27" s="2"/>
      <c r="T27" s="220">
        <f t="shared" ref="T27:V27" si="42">J27-O27</f>
        <v>0</v>
      </c>
      <c r="U27" s="220">
        <f t="shared" si="42"/>
        <v>0</v>
      </c>
      <c r="V27" s="220">
        <f t="shared" si="42"/>
        <v>0</v>
      </c>
      <c r="W27" s="228"/>
      <c r="X27" s="72"/>
      <c r="Y27" s="223" t="str">
        <f t="shared" ref="Y27:AA27" si="43">T27/O27</f>
        <v>#DIV/0!</v>
      </c>
      <c r="Z27" s="223" t="str">
        <f t="shared" si="43"/>
        <v>#DIV/0!</v>
      </c>
      <c r="AA27" s="223" t="str">
        <f t="shared" si="43"/>
        <v>#DIV/0!</v>
      </c>
      <c r="AB27" s="223"/>
      <c r="AC27" s="2"/>
    </row>
    <row r="28" ht="13.5" customHeight="1" spans="1:29" x14ac:dyDescent="0.25">
      <c r="A28" s="112" t="s">
        <v>107</v>
      </c>
      <c r="B28" s="112" t="str">
        <f t="shared" si="3"/>
        <v>86790-BZ321</v>
      </c>
      <c r="C28" s="229" t="s">
        <v>106</v>
      </c>
      <c r="D28" s="216" t="s">
        <v>393</v>
      </c>
      <c r="E28" s="216" t="s">
        <v>394</v>
      </c>
      <c r="F28" s="216" t="s">
        <v>89</v>
      </c>
      <c r="G28" s="216"/>
      <c r="H28" s="114"/>
      <c r="I28" s="114"/>
      <c r="J28" s="218">
        <f>VLOOKUP($B28,Analyze!$ES$25:$EW$45,2,0)</f>
        <v>835</v>
      </c>
      <c r="K28" s="218">
        <f>VLOOKUP($B28,Analyze!$ES$25:$EW$45,3,0)</f>
        <v>1335</v>
      </c>
      <c r="L28" s="218">
        <f>VLOOKUP($B28,Analyze!$ES$25:$EW$45,4,0)</f>
        <v>1277</v>
      </c>
      <c r="M28" s="218">
        <f>VLOOKUP($B28,Analyze!$ES$25:$EW$45,5,0)</f>
        <v>1277</v>
      </c>
      <c r="N28" s="2"/>
      <c r="O28" s="218">
        <v>835</v>
      </c>
      <c r="P28" s="218">
        <v>1500</v>
      </c>
      <c r="Q28" s="218">
        <v>1145</v>
      </c>
      <c r="R28" s="220">
        <f>Q28*0.8</f>
        <v>916</v>
      </c>
      <c r="S28" s="2"/>
      <c r="T28" s="221">
        <f t="shared" ref="T28:W28" si="44">J28-O28</f>
        <v>0</v>
      </c>
      <c r="U28" s="221">
        <f t="shared" si="44"/>
        <v>-165</v>
      </c>
      <c r="V28" s="221">
        <f t="shared" si="44"/>
        <v>132</v>
      </c>
      <c r="W28" s="220">
        <f t="shared" si="44"/>
        <v>361</v>
      </c>
      <c r="X28" s="72"/>
      <c r="Y28" s="222">
        <f t="shared" ref="Y28:AB28" si="45">T28/O28</f>
        <v>0</v>
      </c>
      <c r="Z28" s="222">
        <f t="shared" si="45"/>
        <v>-0.11</v>
      </c>
      <c r="AA28" s="222">
        <f t="shared" si="45"/>
        <v>0.1152838428</v>
      </c>
      <c r="AB28" s="226">
        <f t="shared" si="45"/>
        <v>0.3941048035</v>
      </c>
      <c r="AC28" s="2"/>
    </row>
    <row r="29" ht="13.5" customHeight="1" spans="1:29" x14ac:dyDescent="0.25">
      <c r="A29" s="116" t="s">
        <v>117</v>
      </c>
      <c r="B29" s="116" t="s">
        <v>117</v>
      </c>
      <c r="C29" s="209" t="s">
        <v>116</v>
      </c>
      <c r="D29" s="126"/>
      <c r="E29" s="126" t="s">
        <v>396</v>
      </c>
      <c r="F29" s="216" t="s">
        <v>89</v>
      </c>
      <c r="G29" s="216"/>
      <c r="H29" s="114"/>
      <c r="I29" s="114"/>
      <c r="J29" s="218">
        <f>VLOOKUP($B29,Analyze!$ES$25:$EW$45,2,0)</f>
        <v>1540</v>
      </c>
      <c r="K29" s="218">
        <f>VLOOKUP($B29,Analyze!$ES$25:$EW$45,3,0)</f>
        <v>883</v>
      </c>
      <c r="L29" s="218">
        <f>VLOOKUP($B29,Analyze!$ES$25:$EW$45,4,0)</f>
        <v>1727</v>
      </c>
      <c r="M29" s="218">
        <f>VLOOKUP($B29,Analyze!$ES$25:$EW$45,5,0)</f>
        <v>1877</v>
      </c>
      <c r="N29" s="2"/>
      <c r="O29" s="218">
        <v>1540</v>
      </c>
      <c r="P29" s="218">
        <v>1527</v>
      </c>
      <c r="Q29" s="218">
        <v>2024</v>
      </c>
      <c r="R29" s="63"/>
      <c r="S29" s="2"/>
      <c r="T29" s="221">
        <f t="shared" ref="T29:V29" si="46">J29-O29</f>
        <v>0</v>
      </c>
      <c r="U29" s="221">
        <f t="shared" si="46"/>
        <v>-644</v>
      </c>
      <c r="V29" s="221">
        <f t="shared" si="46"/>
        <v>-297</v>
      </c>
      <c r="W29" s="61"/>
      <c r="X29" s="72"/>
      <c r="Y29" s="222">
        <f t="shared" ref="Y29:AA29" si="47">T29/O29</f>
        <v>0</v>
      </c>
      <c r="Z29" s="222">
        <f t="shared" si="47"/>
        <v>-0.4217419777</v>
      </c>
      <c r="AA29" s="222">
        <f t="shared" si="47"/>
        <v>-0.1467391304</v>
      </c>
      <c r="AB29" s="231"/>
      <c r="AC29" s="2"/>
    </row>
    <row r="30" ht="13.5" customHeight="1" spans="1:29" x14ac:dyDescent="0.25">
      <c r="A30" s="116" t="s">
        <v>118</v>
      </c>
      <c r="B30" s="116" t="s">
        <v>118</v>
      </c>
      <c r="C30" s="209" t="s">
        <v>118</v>
      </c>
      <c r="D30" s="126" t="s">
        <v>397</v>
      </c>
      <c r="E30" s="126" t="s">
        <v>166</v>
      </c>
      <c r="F30" s="216" t="s">
        <v>65</v>
      </c>
      <c r="G30" s="216"/>
      <c r="H30" s="114"/>
      <c r="I30" s="114"/>
      <c r="J30" s="218">
        <f>VLOOKUP($B30,Analyze!$ES$25:$EW$45,2,0)</f>
        <v>1972</v>
      </c>
      <c r="K30" s="218">
        <f>VLOOKUP($B30,Analyze!$ES$25:$EW$45,3,0)</f>
        <v>1941</v>
      </c>
      <c r="L30" s="218">
        <f>VLOOKUP($B30,Analyze!$ES$25:$EW$45,4,0)</f>
        <v>5233</v>
      </c>
      <c r="M30" s="218">
        <f>VLOOKUP($B30,Analyze!$ES$25:$EW$45,5,0)</f>
        <v>4885</v>
      </c>
      <c r="N30" s="2"/>
      <c r="O30" s="218">
        <v>1968</v>
      </c>
      <c r="P30" s="218">
        <v>1925</v>
      </c>
      <c r="Q30" s="218">
        <v>4316</v>
      </c>
      <c r="R30" s="63"/>
      <c r="S30" s="2"/>
      <c r="T30" s="221">
        <f t="shared" ref="T30:V30" si="48">J30-O30</f>
        <v>4</v>
      </c>
      <c r="U30" s="221">
        <f t="shared" si="48"/>
        <v>16</v>
      </c>
      <c r="V30" s="221">
        <f t="shared" si="48"/>
        <v>917</v>
      </c>
      <c r="W30" s="61"/>
      <c r="X30" s="72"/>
      <c r="Y30" s="222">
        <f t="shared" ref="Y30:AA30" si="49">T30/O30</f>
        <v>0.002032520325</v>
      </c>
      <c r="Z30" s="222">
        <f t="shared" si="49"/>
        <v>0.008311688312</v>
      </c>
      <c r="AA30" s="222">
        <f t="shared" si="49"/>
        <v>0.2124652456</v>
      </c>
      <c r="AB30" s="231"/>
      <c r="AC30" s="2"/>
    </row>
    <row r="31" ht="13.5" customHeight="1" spans="1:29" x14ac:dyDescent="0.25">
      <c r="A31" s="116" t="s">
        <v>119</v>
      </c>
      <c r="B31" s="116" t="s">
        <v>119</v>
      </c>
      <c r="C31" s="209" t="s">
        <v>119</v>
      </c>
      <c r="D31" s="126" t="s">
        <v>397</v>
      </c>
      <c r="E31" s="126" t="s">
        <v>166</v>
      </c>
      <c r="F31" s="216" t="s">
        <v>65</v>
      </c>
      <c r="G31" s="216"/>
      <c r="H31" s="114"/>
      <c r="I31" s="114"/>
      <c r="J31" s="218">
        <f>VLOOKUP($B31,Analyze!$ES$25:$EW$45,2,0)</f>
        <v>1972</v>
      </c>
      <c r="K31" s="218">
        <f>VLOOKUP($B31,Analyze!$ES$25:$EW$45,3,0)</f>
        <v>1941</v>
      </c>
      <c r="L31" s="218">
        <f>VLOOKUP($B31,Analyze!$ES$25:$EW$45,4,0)</f>
        <v>5293</v>
      </c>
      <c r="M31" s="218">
        <f>VLOOKUP($B31,Analyze!$ES$25:$EW$45,5,0)</f>
        <v>4825</v>
      </c>
      <c r="N31" s="2"/>
      <c r="O31" s="218">
        <v>1968</v>
      </c>
      <c r="P31" s="218">
        <v>1925</v>
      </c>
      <c r="Q31" s="218">
        <v>4328</v>
      </c>
      <c r="R31" s="63"/>
      <c r="S31" s="2"/>
      <c r="T31" s="221">
        <f t="shared" ref="T31:V31" si="50">J31-O31</f>
        <v>4</v>
      </c>
      <c r="U31" s="221">
        <f t="shared" si="50"/>
        <v>16</v>
      </c>
      <c r="V31" s="221">
        <f t="shared" si="50"/>
        <v>965</v>
      </c>
      <c r="W31" s="61"/>
      <c r="X31" s="72"/>
      <c r="Y31" s="222">
        <f t="shared" ref="Y31:AA31" si="51">T31/O31</f>
        <v>0.002032520325</v>
      </c>
      <c r="Z31" s="222">
        <f t="shared" si="51"/>
        <v>0.008311688312</v>
      </c>
      <c r="AA31" s="222">
        <f t="shared" si="51"/>
        <v>0.2229667283</v>
      </c>
      <c r="AB31" s="231"/>
      <c r="AC31" s="2"/>
    </row>
    <row r="32" ht="15" customHeight="1" spans="1:29" x14ac:dyDescent="0.25">
      <c r="A32" s="74"/>
      <c r="B32" s="74"/>
      <c r="C32" s="74"/>
      <c r="D32" s="2"/>
      <c r="E32" s="126"/>
      <c r="F32" s="1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72"/>
      <c r="Y32" s="2"/>
      <c r="Z32" s="2"/>
      <c r="AA32" s="2"/>
      <c r="AB32" s="2"/>
      <c r="AC32" s="2"/>
    </row>
    <row r="33" ht="15" customHeight="1" spans="1:29" x14ac:dyDescent="0.25">
      <c r="A33" s="74"/>
      <c r="B33" s="74"/>
      <c r="C33" s="74"/>
      <c r="D33" s="2"/>
      <c r="E33" s="126"/>
      <c r="F33" s="1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72"/>
      <c r="Y33" s="2"/>
      <c r="Z33" s="2"/>
      <c r="AA33" s="2"/>
      <c r="AB33" s="2"/>
      <c r="AC33" s="2"/>
    </row>
    <row r="34" ht="15" customHeight="1" spans="1:2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72"/>
      <c r="Y34" s="2"/>
      <c r="Z34" s="2"/>
      <c r="AA34" s="2"/>
      <c r="AB34" s="2"/>
      <c r="AC34" s="2"/>
    </row>
    <row r="35" ht="15" customHeight="1" spans="1:29" x14ac:dyDescent="0.25">
      <c r="A35" s="156" t="s">
        <v>398</v>
      </c>
      <c r="B35" s="156"/>
      <c r="C35" s="156"/>
      <c r="D35" s="156"/>
      <c r="E35" s="156"/>
      <c r="F35" s="156"/>
      <c r="G35" s="156"/>
      <c r="H35" s="156"/>
      <c r="I35" s="156"/>
      <c r="J35" s="232">
        <f t="shared" ref="J35:M35" si="52">SUM(J5:J32)</f>
        <v>64650</v>
      </c>
      <c r="K35" s="232">
        <f t="shared" si="52"/>
        <v>67859</v>
      </c>
      <c r="L35" s="232">
        <f t="shared" si="52"/>
        <v>72308</v>
      </c>
      <c r="M35" s="232">
        <f t="shared" si="52"/>
        <v>68840</v>
      </c>
      <c r="N35" s="233">
        <f>SUM(J35:M35)</f>
        <v>273657</v>
      </c>
      <c r="O35" s="232">
        <f t="shared" ref="O35:Q35" si="53">SUM(O5:O32)</f>
        <v>66350</v>
      </c>
      <c r="P35" s="232">
        <f t="shared" si="53"/>
        <v>69173</v>
      </c>
      <c r="Q35" s="232">
        <f t="shared" si="53"/>
        <v>71765</v>
      </c>
      <c r="R35" s="232"/>
      <c r="S35" s="234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" customHeight="1" spans="1:2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3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" customHeight="1" spans="1:2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35">
        <f t="shared" ref="O37:Q37" si="54">(J35-O35)/J35</f>
        <v>-0.02629543697</v>
      </c>
      <c r="P37" s="235">
        <f t="shared" si="54"/>
        <v>-0.01936368057</v>
      </c>
      <c r="Q37" s="235">
        <f t="shared" si="54"/>
        <v>0.007509542513</v>
      </c>
      <c r="R37" s="2"/>
      <c r="S37" s="7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3.5" customHeight="1" spans="1:2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3.5" customHeight="1" spans="1:2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0">
        <f t="shared" ref="O39:Q39" si="55">J35-O35</f>
        <v>-1700</v>
      </c>
      <c r="P39" s="30">
        <f t="shared" si="55"/>
        <v>-1314</v>
      </c>
      <c r="Q39" s="30">
        <f t="shared" si="55"/>
        <v>543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3.5" customHeight="1" spans="1:2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3.5" customHeight="1" spans="1:29" x14ac:dyDescent="0.25">
      <c r="A41" s="2"/>
      <c r="B41" s="236"/>
      <c r="C41" s="2"/>
      <c r="D41" s="236"/>
      <c r="E41" s="236"/>
      <c r="F41" s="2"/>
      <c r="G41" s="2"/>
      <c r="H41" s="2"/>
      <c r="I41" s="23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 spans="1:29" x14ac:dyDescent="0.25">
      <c r="A42" s="2"/>
      <c r="B42" s="237" t="s">
        <v>366</v>
      </c>
      <c r="C42" s="2"/>
      <c r="D42" s="212" t="s">
        <v>368</v>
      </c>
      <c r="E42" s="212" t="s">
        <v>369</v>
      </c>
      <c r="F42" s="2"/>
      <c r="G42" s="2"/>
      <c r="H42" s="2"/>
      <c r="I42" s="23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3.5" customHeight="1" spans="1:29" x14ac:dyDescent="0.25">
      <c r="A43" s="2"/>
      <c r="B43" s="217" t="s">
        <v>87</v>
      </c>
      <c r="C43" s="2"/>
      <c r="D43" s="114">
        <v>252</v>
      </c>
      <c r="E43" s="114">
        <v>1494</v>
      </c>
      <c r="F43" s="2"/>
      <c r="G43" s="2"/>
      <c r="H43" s="2"/>
      <c r="I43" s="236"/>
      <c r="J43" s="238"/>
      <c r="K43" s="238"/>
      <c r="L43" s="238"/>
      <c r="M43" s="23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3.5" customHeight="1" spans="1:29" x14ac:dyDescent="0.25">
      <c r="A44" s="2"/>
      <c r="B44" s="217" t="s">
        <v>399</v>
      </c>
      <c r="C44" s="2"/>
      <c r="D44" s="114">
        <v>870</v>
      </c>
      <c r="E44" s="114">
        <v>4295</v>
      </c>
      <c r="F44" s="2"/>
      <c r="G44" s="2"/>
      <c r="H44" s="2"/>
      <c r="I44" s="23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3.5" customHeight="1" spans="1:29" x14ac:dyDescent="0.25">
      <c r="A45" s="2"/>
      <c r="B45" s="224" t="s">
        <v>385</v>
      </c>
      <c r="C45" s="2"/>
      <c r="D45" s="114">
        <v>800</v>
      </c>
      <c r="E45" s="114">
        <v>2549</v>
      </c>
      <c r="F45" s="2"/>
      <c r="G45" s="2"/>
      <c r="H45" s="2"/>
      <c r="I45" s="23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3.5" customHeight="1" spans="1:29" x14ac:dyDescent="0.25">
      <c r="A46" s="2"/>
      <c r="B46" s="217" t="s">
        <v>400</v>
      </c>
      <c r="C46" s="2"/>
      <c r="D46" s="216">
        <v>1122</v>
      </c>
      <c r="E46" s="114">
        <v>6345</v>
      </c>
      <c r="F46" s="2"/>
      <c r="G46" s="2"/>
      <c r="H46" s="2"/>
      <c r="I46" s="23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3.5" customHeight="1" spans="1:29" x14ac:dyDescent="0.25">
      <c r="A47" s="2"/>
      <c r="B47" s="236"/>
      <c r="C47" s="2"/>
      <c r="D47" s="236"/>
      <c r="E47" s="236"/>
      <c r="F47" s="2"/>
      <c r="G47" s="2"/>
      <c r="H47" s="2"/>
      <c r="I47" s="23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 spans="1:29" x14ac:dyDescent="0.25">
      <c r="A48" s="2"/>
      <c r="B48" s="236"/>
      <c r="C48" s="2"/>
      <c r="D48" s="236"/>
      <c r="E48" s="236"/>
      <c r="F48" s="2"/>
      <c r="G48" s="2"/>
      <c r="H48" s="2"/>
      <c r="I48" s="23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3.5" customHeight="1" spans="1:29" x14ac:dyDescent="0.25">
      <c r="A49" s="236"/>
      <c r="B49" s="236"/>
      <c r="C49" s="236"/>
      <c r="D49" s="236"/>
      <c r="E49" s="236"/>
      <c r="F49" s="236"/>
      <c r="G49" s="236"/>
      <c r="H49" s="236"/>
      <c r="I49" s="23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3.5" customHeight="1" spans="1:29" x14ac:dyDescent="0.25">
      <c r="A50" s="236"/>
      <c r="B50" s="236"/>
      <c r="C50" s="236"/>
      <c r="D50" s="236"/>
      <c r="E50" s="236"/>
      <c r="F50" s="236"/>
      <c r="G50" s="236"/>
      <c r="H50" s="236"/>
      <c r="I50" s="23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3.5" customHeight="1" spans="1:29" x14ac:dyDescent="0.25">
      <c r="A51" s="236"/>
      <c r="B51" s="236"/>
      <c r="C51" s="236"/>
      <c r="D51" s="236"/>
      <c r="E51" s="236"/>
      <c r="F51" s="236"/>
      <c r="G51" s="236"/>
      <c r="H51" s="236"/>
      <c r="I51" s="23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3.5" customHeight="1" spans="1:29" x14ac:dyDescent="0.25">
      <c r="A52" s="236"/>
      <c r="B52" s="236"/>
      <c r="C52" s="236"/>
      <c r="D52" s="236"/>
      <c r="E52" s="236"/>
      <c r="F52" s="236"/>
      <c r="G52" s="236"/>
      <c r="H52" s="236"/>
      <c r="I52" s="23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3.5" customHeight="1" spans="1:2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3.5" customHeight="1" spans="1:29" x14ac:dyDescent="0.25">
      <c r="A54" s="236"/>
      <c r="B54" s="236"/>
      <c r="C54" s="236"/>
      <c r="D54" s="236"/>
      <c r="E54" s="236"/>
      <c r="F54" s="236"/>
      <c r="G54" s="236"/>
      <c r="H54" s="236"/>
      <c r="I54" s="23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3.5" customHeight="1" spans="1:2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3.5" customHeight="1" spans="1:2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3.5" customHeight="1" spans="1:29" x14ac:dyDescent="0.25">
      <c r="A57" s="236"/>
      <c r="B57" s="236"/>
      <c r="C57" s="236"/>
      <c r="D57" s="236"/>
      <c r="E57" s="236"/>
      <c r="F57" s="236"/>
      <c r="G57" s="236"/>
      <c r="H57" s="236"/>
      <c r="I57" s="23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3.5" customHeight="1" spans="1:29" x14ac:dyDescent="0.25">
      <c r="A58" s="236"/>
      <c r="B58" s="236"/>
      <c r="C58" s="236"/>
      <c r="D58" s="236"/>
      <c r="E58" s="236"/>
      <c r="F58" s="236"/>
      <c r="G58" s="236"/>
      <c r="H58" s="236"/>
      <c r="I58" s="23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3.5" customHeight="1" spans="1:29" x14ac:dyDescent="0.25">
      <c r="A59" s="236"/>
      <c r="B59" s="236"/>
      <c r="C59" s="236"/>
      <c r="D59" s="236"/>
      <c r="E59" s="236"/>
      <c r="F59" s="236"/>
      <c r="G59" s="236"/>
      <c r="H59" s="236"/>
      <c r="I59" s="23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3.5" customHeight="1" spans="1:29" x14ac:dyDescent="0.25">
      <c r="A60" s="236"/>
      <c r="B60" s="236"/>
      <c r="C60" s="236"/>
      <c r="D60" s="236"/>
      <c r="E60" s="236"/>
      <c r="F60" s="236"/>
      <c r="G60" s="236"/>
      <c r="H60" s="236"/>
      <c r="I60" s="23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3.5" customHeight="1" spans="1:2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3.5" customHeight="1" spans="1:2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3.5" customHeight="1" spans="1:2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3.5" customHeight="1" spans="1:2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3.5" customHeight="1" spans="1:2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3.5" customHeight="1" spans="1:2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3.5" customHeight="1" spans="1:2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3.5" customHeight="1" spans="1:2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3.5" customHeight="1" spans="1:2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3.5" customHeight="1" spans="1:2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3.5" customHeight="1" spans="1:2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3.5" customHeight="1" spans="1:2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3.5" customHeight="1" spans="1:2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3.5" customHeight="1" spans="1:2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3.5" customHeight="1" spans="1:2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3.5" customHeight="1" spans="1:2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3.5" customHeight="1" spans="1:2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3.5" customHeight="1" spans="1:2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 spans="1:2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3.5" customHeight="1" spans="1:2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3.5" customHeight="1" spans="1:2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3.5" customHeight="1" spans="1:2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3.5" customHeight="1" spans="1:2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3.5" customHeight="1" spans="1:2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3.5" customHeight="1" spans="1:2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3.5" customHeight="1" spans="1:2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3.5" customHeight="1" spans="1:2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3.5" customHeight="1" spans="1:2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3.5" customHeight="1" spans="1:2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3.5" customHeight="1" spans="1:2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3.5" customHeight="1" spans="1:2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3.5" customHeight="1" spans="1:2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3.5" customHeight="1" spans="1:2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3.5" customHeight="1" spans="1:2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3.5" customHeight="1" spans="1:2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3.5" customHeight="1" spans="1:2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3.5" customHeight="1" spans="1:2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3.5" customHeight="1" spans="1:2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3.5" customHeight="1" spans="1:2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3.5" customHeight="1" spans="1:2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3.5" customHeight="1" spans="1:2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3.5" customHeight="1" spans="1:2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3.5" customHeight="1" spans="1:2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3.5" customHeight="1" spans="1:2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3.5" customHeight="1" spans="1:2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3.5" customHeight="1" spans="1:2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3.5" customHeight="1" spans="1:2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3.5" customHeight="1" spans="1:2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3.5" customHeight="1" spans="1:2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3.5" customHeight="1" spans="1:2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3.5" customHeight="1" spans="1:2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3.5" customHeight="1" spans="1:2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3.5" customHeight="1" spans="1:2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3.5" customHeight="1" spans="1:2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3.5" customHeight="1" spans="1:2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3.5" customHeight="1" spans="1:2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3.5" customHeight="1" spans="1:2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3.5" customHeight="1" spans="1:29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3.5" customHeight="1" spans="1:2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3.5" customHeight="1" spans="1:2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3.5" customHeight="1" spans="1:2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3.5" customHeight="1" spans="1:29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3.5" customHeight="1" spans="1:2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3.5" customHeight="1" spans="1:2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3.5" customHeight="1" spans="1:2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3.5" customHeight="1" spans="1:2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3.5" customHeight="1" spans="1:2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3.5" customHeight="1" spans="1:29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3.5" customHeight="1" spans="1:2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3.5" customHeight="1" spans="1:2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3.5" customHeight="1" spans="1:2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3.5" customHeight="1" spans="1:2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3.5" customHeight="1" spans="1:2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3.5" customHeight="1" spans="1:2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3.5" customHeight="1" spans="1:2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3.5" customHeight="1" spans="1:2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3.5" customHeight="1" spans="1:2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3.5" customHeight="1" spans="1:29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3.5" customHeight="1" spans="1:2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3.5" customHeight="1" spans="1:2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3.5" customHeight="1" spans="1:2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3.5" customHeight="1" spans="1:2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3.5" customHeight="1" spans="1:2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3.5" customHeight="1" spans="1:2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3.5" customHeight="1" spans="1:2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3.5" customHeight="1" spans="1:2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3.5" customHeight="1" spans="1:2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3.5" customHeight="1" spans="1:29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3.5" customHeight="1" spans="1:2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3.5" customHeight="1" spans="1:2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3.5" customHeight="1" spans="1:2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3.5" customHeight="1" spans="1:2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3.5" customHeight="1" spans="1:2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3.5" customHeight="1" spans="1:2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3.5" customHeight="1" spans="1:2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3.5" customHeight="1" spans="1:2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3.5" customHeight="1" spans="1:2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3.5" customHeight="1" spans="1:29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3.5" customHeight="1" spans="1:2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3.5" customHeight="1" spans="1:29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3.5" customHeight="1" spans="1:2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3.5" customHeight="1" spans="1:2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3.5" customHeight="1" spans="1:2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3.5" customHeight="1" spans="1:2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3.5" customHeight="1" spans="1:2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3.5" customHeight="1" spans="1:2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3.5" customHeight="1" spans="1:2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3.5" customHeight="1" spans="1:2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3.5" customHeight="1" spans="1:2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3.5" customHeight="1" spans="1:2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 spans="1:2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3.5" customHeight="1" spans="1:2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3.5" customHeight="1" spans="1:2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3.5" customHeight="1" spans="1:2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3.5" customHeight="1" spans="1:2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3.5" customHeight="1" spans="1:2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3.5" customHeight="1" spans="1:2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3.5" customHeight="1" spans="1:2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3.5" customHeight="1" spans="1:2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3.5" customHeight="1" spans="1:2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3.5" customHeight="1" spans="1:2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3.5" customHeight="1" spans="1:2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3.5" customHeight="1" spans="1:2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3.5" customHeight="1" spans="1:29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3.5" customHeight="1" spans="1:2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3.5" customHeight="1" spans="1:2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3.5" customHeight="1" spans="1:2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3.5" customHeight="1" spans="1:2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3.5" customHeight="1" spans="1:2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3.5" customHeight="1" spans="1:2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3.5" customHeight="1" spans="1:2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3.5" customHeight="1" spans="1:2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3.5" customHeight="1" spans="1:2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3.5" customHeight="1" spans="1:2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3.5" customHeight="1" spans="1:2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3.5" customHeight="1" spans="1:2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3.5" customHeight="1" spans="1:2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3.5" customHeight="1" spans="1:2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3.5" customHeight="1" spans="1:2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3.5" customHeight="1" spans="1:2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3.5" customHeight="1" spans="1:2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3.5" customHeight="1" spans="1:2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3.5" customHeight="1" spans="1:2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3.5" customHeight="1" spans="1:2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3.5" customHeight="1" spans="1:2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3.5" customHeight="1" spans="1:2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3.5" customHeight="1" spans="1:2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3.5" customHeight="1" spans="1:2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3.5" customHeight="1" spans="1:2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3.5" customHeight="1" spans="1:2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3.5" customHeight="1" spans="1:2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3.5" customHeight="1" spans="1:2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3.5" customHeight="1" spans="1:2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3.5" customHeight="1" spans="1:2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3.5" customHeight="1" spans="1:2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3.5" customHeight="1" spans="1:2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3.5" customHeight="1" spans="1:2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3.5" customHeight="1" spans="1:2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3.5" customHeight="1" spans="1:2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3.5" customHeight="1" spans="1:29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3.5" customHeight="1" spans="1:2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3.5" customHeight="1" spans="1:2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3.5" customHeight="1" spans="1:2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3.5" customHeight="1" spans="1:29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3.5" customHeight="1" spans="1:2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3.5" customHeight="1" spans="1:2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3.5" customHeight="1" spans="1:2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3.5" customHeight="1" spans="1:29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3.5" customHeight="1" spans="1:2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3.5" customHeight="1" spans="1:2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3.5" customHeight="1" spans="1:2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3.5" customHeight="1" spans="1:2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3.5" customHeight="1" spans="1:2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3.5" customHeight="1" spans="1:29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3.5" customHeight="1" spans="1:2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3.5" customHeight="1" spans="1:2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3.5" customHeight="1" spans="1:2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3.5" customHeight="1" spans="1:29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3.5" customHeight="1" spans="1:2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3.5" customHeight="1" spans="1:2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3.5" customHeight="1" spans="1:2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3.5" customHeight="1" spans="1:29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3.5" customHeight="1" spans="1:2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3.5" customHeight="1" spans="1:2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3.5" customHeight="1" spans="1:2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3.5" customHeight="1" spans="1:2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3.5" customHeight="1" spans="1:2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3.5" customHeight="1" spans="1:29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3.5" customHeight="1" spans="1:2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3.5" customHeight="1" spans="1:2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3.5" customHeight="1" spans="1:2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3.5" customHeight="1" spans="1:29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3.5" customHeight="1" spans="1:2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3.5" customHeight="1" spans="1:2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3.5" customHeight="1" spans="1:2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3.5" customHeight="1" spans="1:2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3.5" customHeight="1" spans="1:2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3.5" customHeight="1" spans="1:2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3.5" customHeight="1" spans="1:2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3.5" customHeight="1" spans="1:2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3.5" customHeight="1" spans="1:2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3.5" customHeight="1" spans="1:2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3.5" customHeight="1" spans="1:2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3.5" customHeight="1" spans="1:29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3.5" customHeight="1" spans="1:2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3.5" customHeight="1" spans="1:29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3.5" customHeight="1" spans="1:29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3.5" customHeight="1" spans="1:29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3.5" customHeight="1" spans="1:2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3.5" customHeight="1" spans="1:29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3.5" customHeight="1" spans="1:2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3.5" customHeight="1" spans="1:29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3.5" customHeight="1" spans="1:2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3.5" customHeight="1" spans="1:29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3.5" customHeight="1" spans="1:29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3.5" customHeight="1" spans="1:29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3.5" customHeight="1" spans="1:2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3.5" customHeight="1" spans="1:29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3.5" customHeight="1" spans="1:2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3.5" customHeight="1" spans="1:29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3.5" customHeight="1" spans="1:2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3.5" customHeight="1" spans="1:29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3.5" customHeight="1" spans="1:29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3.5" customHeight="1" spans="1:2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3.5" customHeight="1" spans="1:29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3.5" customHeight="1" spans="1:29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3.5" customHeight="1" spans="1:29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3.5" customHeight="1" spans="1:2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3.5" customHeight="1" spans="1:29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3.5" customHeight="1" spans="1:29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3.5" customHeight="1" spans="1:29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3.5" customHeight="1" spans="1:2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3.5" customHeight="1" spans="1:29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3.5" customHeight="1" spans="1:2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3.5" customHeight="1" spans="1:29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3.5" customHeight="1" spans="1:2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3.5" customHeight="1" spans="1:29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3.5" customHeight="1" spans="1:2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3.5" customHeight="1" spans="1:29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3.5" customHeight="1" spans="1:2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3.5" customHeight="1" spans="1:29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3.5" customHeight="1" spans="1:29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3.5" customHeight="1" spans="1:29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3.5" customHeight="1" spans="1:2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3.5" customHeight="1" spans="1:29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3.5" customHeight="1" spans="1:2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3.5" customHeight="1" spans="1:29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3.5" customHeight="1" spans="1:29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3.5" customHeight="1" spans="1:29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3.5" customHeight="1" spans="1:29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3.5" customHeight="1" spans="1:29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3.5" customHeight="1" spans="1:29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3.5" customHeight="1" spans="1:29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3.5" customHeight="1" spans="1:29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3.5" customHeight="1" spans="1:29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3.5" customHeight="1" spans="1:29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3.5" customHeight="1" spans="1:29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3.5" customHeight="1" spans="1:29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3.5" customHeight="1" spans="1:29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3.5" customHeight="1" spans="1:29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3.5" customHeight="1" spans="1:29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3.5" customHeight="1" spans="1:29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3.5" customHeight="1" spans="1:29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3.5" customHeight="1" spans="1:2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3.5" customHeight="1" spans="1:29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3.5" customHeight="1" spans="1:29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3.5" customHeight="1" spans="1:29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3.5" customHeight="1" spans="1:2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3.5" customHeight="1" spans="1:29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3.5" customHeight="1" spans="1:2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3.5" customHeight="1" spans="1:29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3.5" customHeight="1" spans="1:29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3.5" customHeight="1" spans="1:29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3.5" customHeight="1" spans="1:2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3.5" customHeight="1" spans="1:29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3.5" customHeight="1" spans="1:2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3.5" customHeight="1" spans="1:29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3.5" customHeight="1" spans="1:29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3.5" customHeight="1" spans="1:29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3.5" customHeight="1" spans="1:2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3.5" customHeight="1" spans="1:29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3.5" customHeight="1" spans="1:2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3.5" customHeight="1" spans="1:29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3.5" customHeight="1" spans="1:2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3.5" customHeight="1" spans="1:29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3.5" customHeight="1" spans="1:2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3.5" customHeight="1" spans="1:29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3.5" customHeight="1" spans="1:2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3.5" customHeight="1" spans="1:29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3.5" customHeight="1" spans="1:2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3.5" customHeight="1" spans="1:29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3.5" customHeight="1" spans="1:2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3.5" customHeight="1" spans="1:29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3.5" customHeight="1" spans="1:2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3.5" customHeight="1" spans="1:29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3.5" customHeight="1" spans="1:2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3.5" customHeight="1" spans="1:29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3.5" customHeight="1" spans="1:2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3.5" customHeight="1" spans="1:2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3.5" customHeight="1" spans="1:2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3.5" customHeight="1" spans="1:2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3.5" customHeight="1" spans="1:2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3.5" customHeight="1" spans="1:2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3.5" customHeight="1" spans="1:2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3.5" customHeight="1" spans="1:2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3.5" customHeight="1" spans="1:2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3.5" customHeight="1" spans="1:2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3.5" customHeight="1" spans="1:2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3.5" customHeight="1" spans="1:2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3.5" customHeight="1" spans="1:2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3.5" customHeight="1" spans="1:2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3.5" customHeight="1" spans="1:2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3.5" customHeight="1" spans="1:2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3.5" customHeight="1" spans="1:2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3.5" customHeight="1" spans="1:2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3.5" customHeight="1" spans="1:2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3.5" customHeight="1" spans="1:2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3.5" customHeight="1" spans="1:2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3.5" customHeight="1" spans="1:2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3.5" customHeight="1" spans="1:2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3.5" customHeight="1" spans="1:2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3.5" customHeight="1" spans="1:2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3.5" customHeight="1" spans="1:2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3.5" customHeight="1" spans="1:2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3.5" customHeight="1" spans="1:2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3.5" customHeight="1" spans="1:2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3.5" customHeight="1" spans="1:2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3.5" customHeight="1" spans="1:2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3.5" customHeight="1" spans="1:2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3.5" customHeight="1" spans="1:2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3.5" customHeight="1" spans="1:2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3.5" customHeight="1" spans="1:2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3.5" customHeight="1" spans="1:2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3.5" customHeight="1" spans="1:2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3.5" customHeight="1" spans="1:2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3.5" customHeight="1" spans="1:2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3.5" customHeight="1" spans="1:2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3.5" customHeight="1" spans="1:2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3.5" customHeight="1" spans="1:2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3.5" customHeight="1" spans="1:2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3.5" customHeight="1" spans="1:2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3.5" customHeight="1" spans="1:2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3.5" customHeight="1" spans="1:2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3.5" customHeight="1" spans="1:2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3.5" customHeight="1" spans="1:2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3.5" customHeight="1" spans="1:2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3.5" customHeight="1" spans="1:2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3.5" customHeight="1" spans="1:2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3.5" customHeight="1" spans="1:2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3.5" customHeight="1" spans="1:2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3.5" customHeight="1" spans="1:2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3.5" customHeight="1" spans="1:2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3.5" customHeight="1" spans="1:2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3.5" customHeight="1" spans="1:2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3.5" customHeight="1" spans="1:2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3.5" customHeight="1" spans="1:2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3.5" customHeight="1" spans="1:2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3.5" customHeight="1" spans="1:2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3.5" customHeight="1" spans="1:2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3.5" customHeight="1" spans="1:2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3.5" customHeight="1" spans="1:2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3.5" customHeight="1" spans="1:2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3.5" customHeight="1" spans="1:2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3.5" customHeight="1" spans="1:2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3.5" customHeight="1" spans="1:2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3.5" customHeight="1" spans="1:2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3.5" customHeight="1" spans="1:2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3.5" customHeight="1" spans="1:2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3.5" customHeight="1" spans="1:2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3.5" customHeight="1" spans="1:2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3.5" customHeight="1" spans="1:2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3.5" customHeight="1" spans="1:2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3.5" customHeight="1" spans="1:2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3.5" customHeight="1" spans="1:2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3.5" customHeight="1" spans="1:2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3.5" customHeight="1" spans="1:2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3.5" customHeight="1" spans="1:2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3.5" customHeight="1" spans="1:2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3.5" customHeight="1" spans="1:2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3.5" customHeight="1" spans="1:2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3.5" customHeight="1" spans="1:2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3.5" customHeight="1" spans="1:2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3.5" customHeight="1" spans="1:2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3.5" customHeight="1" spans="1:2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3.5" customHeight="1" spans="1:2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3.5" customHeight="1" spans="1:2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3.5" customHeight="1" spans="1:2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3.5" customHeight="1" spans="1:2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3.5" customHeight="1" spans="1:2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3.5" customHeight="1" spans="1:2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3.5" customHeight="1" spans="1:2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3.5" customHeight="1" spans="1:2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3.5" customHeight="1" spans="1:2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3.5" customHeight="1" spans="1:2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3.5" customHeight="1" spans="1:2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3.5" customHeight="1" spans="1:2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3.5" customHeight="1" spans="1:2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3.5" customHeight="1" spans="1:2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3.5" customHeight="1" spans="1:2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3.5" customHeight="1" spans="1:2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3.5" customHeight="1" spans="1:2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3.5" customHeight="1" spans="1:2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3.5" customHeight="1" spans="1:2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3.5" customHeight="1" spans="1:2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3.5" customHeight="1" spans="1:2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3.5" customHeight="1" spans="1:2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3.5" customHeight="1" spans="1:2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3.5" customHeight="1" spans="1:2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3.5" customHeight="1" spans="1:2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3.5" customHeight="1" spans="1:2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3.5" customHeight="1" spans="1:2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3.5" customHeight="1" spans="1:2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3.5" customHeight="1" spans="1:2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3.5" customHeight="1" spans="1:2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3.5" customHeight="1" spans="1:2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3.5" customHeight="1" spans="1:2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3.5" customHeight="1" spans="1:2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3.5" customHeight="1" spans="1:2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3.5" customHeight="1" spans="1:2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3.5" customHeight="1" spans="1:2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3.5" customHeight="1" spans="1:2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3.5" customHeight="1" spans="1:2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3.5" customHeight="1" spans="1:2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3.5" customHeight="1" spans="1:2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3.5" customHeight="1" spans="1:2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3.5" customHeight="1" spans="1:2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3.5" customHeight="1" spans="1:2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3.5" customHeight="1" spans="1:2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3.5" customHeight="1" spans="1:2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3.5" customHeight="1" spans="1:2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3.5" customHeight="1" spans="1:2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3.5" customHeight="1" spans="1:2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3.5" customHeight="1" spans="1:2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3.5" customHeight="1" spans="1:2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3.5" customHeight="1" spans="1:2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3.5" customHeight="1" spans="1:29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3.5" customHeight="1" spans="1:2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3.5" customHeight="1" spans="1:2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3.5" customHeight="1" spans="1:2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3.5" customHeight="1" spans="1:2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3.5" customHeight="1" spans="1:2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3.5" customHeight="1" spans="1:29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3.5" customHeight="1" spans="1:2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3.5" customHeight="1" spans="1:2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3.5" customHeight="1" spans="1:2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3.5" customHeight="1" spans="1:2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3.5" customHeight="1" spans="1:2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3.5" customHeight="1" spans="1:2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3.5" customHeight="1" spans="1:2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3.5" customHeight="1" spans="1:2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3.5" customHeight="1" spans="1:2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3.5" customHeight="1" spans="1:29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3.5" customHeight="1" spans="1:2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3.5" customHeight="1" spans="1:2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3.5" customHeight="1" spans="1:2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3.5" customHeight="1" spans="1:2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3.5" customHeight="1" spans="1:2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3.5" customHeight="1" spans="1:29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3.5" customHeight="1" spans="1:2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3.5" customHeight="1" spans="1:2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3.5" customHeight="1" spans="1:2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3.5" customHeight="1" spans="1:2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3.5" customHeight="1" spans="1:2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3.5" customHeight="1" spans="1:29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3.5" customHeight="1" spans="1:2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3.5" customHeight="1" spans="1:29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3.5" customHeight="1" spans="1:2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3.5" customHeight="1" spans="1:29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3.5" customHeight="1" spans="1:2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3.5" customHeight="1" spans="1:2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3.5" customHeight="1" spans="1:2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3.5" customHeight="1" spans="1:29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3.5" customHeight="1" spans="1:2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3.5" customHeight="1" spans="1:2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3.5" customHeight="1" spans="1:2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3.5" customHeight="1" spans="1:29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3.5" customHeight="1" spans="1:2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3.5" customHeight="1" spans="1:29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3.5" customHeight="1" spans="1:2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3.5" customHeight="1" spans="1:29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3.5" customHeight="1" spans="1:2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3.5" customHeight="1" spans="1:2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3.5" customHeight="1" spans="1:2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3.5" customHeight="1" spans="1:2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3.5" customHeight="1" spans="1:2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3.5" customHeight="1" spans="1:2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3.5" customHeight="1" spans="1:29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3.5" customHeight="1" spans="1:2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3.5" customHeight="1" spans="1:2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3.5" customHeight="1" spans="1:2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3.5" customHeight="1" spans="1:2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3.5" customHeight="1" spans="1:2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3.5" customHeight="1" spans="1:29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3.5" customHeight="1" spans="1:2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3.5" customHeight="1" spans="1:2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3.5" customHeight="1" spans="1:2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3.5" customHeight="1" spans="1:2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3.5" customHeight="1" spans="1:2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3.5" customHeight="1" spans="1:29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3.5" customHeight="1" spans="1:2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3.5" customHeight="1" spans="1:2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3.5" customHeight="1" spans="1:2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3.5" customHeight="1" spans="1:29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3.5" customHeight="1" spans="1:2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3.5" customHeight="1" spans="1:2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3.5" customHeight="1" spans="1:2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3.5" customHeight="1" spans="1:2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3.5" customHeight="1" spans="1:2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3.5" customHeight="1" spans="1:29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3.5" customHeight="1" spans="1:2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3.5" customHeight="1" spans="1:2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3.5" customHeight="1" spans="1:2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3.5" customHeight="1" spans="1:29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3.5" customHeight="1" spans="1:2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3.5" customHeight="1" spans="1:2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3.5" customHeight="1" spans="1:2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3.5" customHeight="1" spans="1:2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3.5" customHeight="1" spans="1:2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3.5" customHeight="1" spans="1:2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3.5" customHeight="1" spans="1:2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3.5" customHeight="1" spans="1:2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3.5" customHeight="1" spans="1:2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3.5" customHeight="1" spans="1:29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3.5" customHeight="1" spans="1:2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3.5" customHeight="1" spans="1:2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3.5" customHeight="1" spans="1:2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3.5" customHeight="1" spans="1:2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3.5" customHeight="1" spans="1:2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3.5" customHeight="1" spans="1:2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3.5" customHeight="1" spans="1:2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3.5" customHeight="1" spans="1:2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3.5" customHeight="1" spans="1:2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3.5" customHeight="1" spans="1:2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3.5" customHeight="1" spans="1:2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3.5" customHeight="1" spans="1:2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3.5" customHeight="1" spans="1:2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3.5" customHeight="1" spans="1:29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3.5" customHeight="1" spans="1:2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3.5" customHeight="1" spans="1:2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3.5" customHeight="1" spans="1:2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3.5" customHeight="1" spans="1:29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3.5" customHeight="1" spans="1:2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3.5" customHeight="1" spans="1:2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3.5" customHeight="1" spans="1:2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3.5" customHeight="1" spans="1:2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3.5" customHeight="1" spans="1:2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3.5" customHeight="1" spans="1:2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3.5" customHeight="1" spans="1:2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3.5" customHeight="1" spans="1:29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3.5" customHeight="1" spans="1:2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3.5" customHeight="1" spans="1:2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3.5" customHeight="1" spans="1:2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3.5" customHeight="1" spans="1:29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3.5" customHeight="1" spans="1:2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3.5" customHeight="1" spans="1:2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3.5" customHeight="1" spans="1:2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3.5" customHeight="1" spans="1:2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3.5" customHeight="1" spans="1:2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3.5" customHeight="1" spans="1:29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3.5" customHeight="1" spans="1:2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3.5" customHeight="1" spans="1:2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3.5" customHeight="1" spans="1:2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3.5" customHeight="1" spans="1:2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3.5" customHeight="1" spans="1:2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3.5" customHeight="1" spans="1:29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3.5" customHeight="1" spans="1:2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3.5" customHeight="1" spans="1:2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3.5" customHeight="1" spans="1:2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3.5" customHeight="1" spans="1:2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3.5" customHeight="1" spans="1:2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3.5" customHeight="1" spans="1:2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3.5" customHeight="1" spans="1:2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3.5" customHeight="1" spans="1:2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3.5" customHeight="1" spans="1:2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3.5" customHeight="1" spans="1:2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3.5" customHeight="1" spans="1:2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3.5" customHeight="1" spans="1:2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3.5" customHeight="1" spans="1:2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3.5" customHeight="1" spans="1:2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3.5" customHeight="1" spans="1:2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3.5" customHeight="1" spans="1:2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3.5" customHeight="1" spans="1:2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3.5" customHeight="1" spans="1:2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3.5" customHeight="1" spans="1:2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3.5" customHeight="1" spans="1:2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3.5" customHeight="1" spans="1:2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3.5" customHeight="1" spans="1:29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3.5" customHeight="1" spans="1:2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3.5" customHeight="1" spans="1:2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3.5" customHeight="1" spans="1:2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3.5" customHeight="1" spans="1:2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3.5" customHeight="1" spans="1:2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3.5" customHeight="1" spans="1:29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3.5" customHeight="1" spans="1:2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3.5" customHeight="1" spans="1:2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3.5" customHeight="1" spans="1:2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3.5" customHeight="1" spans="1:29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3.5" customHeight="1" spans="1:2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3.5" customHeight="1" spans="1:2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3.5" customHeight="1" spans="1:2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3.5" customHeight="1" spans="1:2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3.5" customHeight="1" spans="1:2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3.5" customHeight="1" spans="1:29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3.5" customHeight="1" spans="1:2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3.5" customHeight="1" spans="1:2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3.5" customHeight="1" spans="1:2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3.5" customHeight="1" spans="1:2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3.5" customHeight="1" spans="1:2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3.5" customHeight="1" spans="1:2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3.5" customHeight="1" spans="1:2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3.5" customHeight="1" spans="1:29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3.5" customHeight="1" spans="1:2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3.5" customHeight="1" spans="1:2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3.5" customHeight="1" spans="1:2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3.5" customHeight="1" spans="1:2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3.5" customHeight="1" spans="1:2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3.5" customHeight="1" spans="1:2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3.5" customHeight="1" spans="1:2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3.5" customHeight="1" spans="1:2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3.5" customHeight="1" spans="1:2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3.5" customHeight="1" spans="1:29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3.5" customHeight="1" spans="1:2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3.5" customHeight="1" spans="1:2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3.5" customHeight="1" spans="1:2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3.5" customHeight="1" spans="1:29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3.5" customHeight="1" spans="1:2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3.5" customHeight="1" spans="1:2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3.5" customHeight="1" spans="1:2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3.5" customHeight="1" spans="1:2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3.5" customHeight="1" spans="1:2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3.5" customHeight="1" spans="1:29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3.5" customHeight="1" spans="1:2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3.5" customHeight="1" spans="1:29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3.5" customHeight="1" spans="1:29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3.5" customHeight="1" spans="1:29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3.5" customHeight="1" spans="1:2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3.5" customHeight="1" spans="1:29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3.5" customHeight="1" spans="1:2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3.5" customHeight="1" spans="1:29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3.5" customHeight="1" spans="1:29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3.5" customHeight="1" spans="1:29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3.5" customHeight="1" spans="1:2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3.5" customHeight="1" spans="1:29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3.5" customHeight="1" spans="1:29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3.5" customHeight="1" spans="1:29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3.5" customHeight="1" spans="1:2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3.5" customHeight="1" spans="1:29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3.5" customHeight="1" spans="1:2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3.5" customHeight="1" spans="1:29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3.5" customHeight="1" spans="1:2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3.5" customHeight="1" spans="1:29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3.5" customHeight="1" spans="1:2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3.5" customHeight="1" spans="1:29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3.5" customHeight="1" spans="1:29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3.5" customHeight="1" spans="1:2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3.5" customHeight="1" spans="1:29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3.5" customHeight="1" spans="1:2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3.5" customHeight="1" spans="1:29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3.5" customHeight="1" spans="1:2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3.5" customHeight="1" spans="1:29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3.5" customHeight="1" spans="1:29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3.5" customHeight="1" spans="1:29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3.5" customHeight="1" spans="1:2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3.5" customHeight="1" spans="1:29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3.5" customHeight="1" spans="1:2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3.5" customHeight="1" spans="1:29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3.5" customHeight="1" spans="1:29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3.5" customHeight="1" spans="1:29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3.5" customHeight="1" spans="1:29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3.5" customHeight="1" spans="1:29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3.5" customHeight="1" spans="1:29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3.5" customHeight="1" spans="1:29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3.5" customHeight="1" spans="1:2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3.5" customHeight="1" spans="1:29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3.5" customHeight="1" spans="1:2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3.5" customHeight="1" spans="1:29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3.5" customHeight="1" spans="1:29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3.5" customHeight="1" spans="1:29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3.5" customHeight="1" spans="1:29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3.5" customHeight="1" spans="1:29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3.5" customHeight="1" spans="1:2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3.5" customHeight="1" spans="1:29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3.5" customHeight="1" spans="1:2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3.5" customHeight="1" spans="1:29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3.5" customHeight="1" spans="1:2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3.5" customHeight="1" spans="1:29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3.5" customHeight="1" spans="1:2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3.5" customHeight="1" spans="1:29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3.5" customHeight="1" spans="1:29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3.5" customHeight="1" spans="1:29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3.5" customHeight="1" spans="1:29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3.5" customHeight="1" spans="1:29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3.5" customHeight="1" spans="1:2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3.5" customHeight="1" spans="1:29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3.5" customHeight="1" spans="1:2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3.5" customHeight="1" spans="1:29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3.5" customHeight="1" spans="1:2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3.5" customHeight="1" spans="1:29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3.5" customHeight="1" spans="1:29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3.5" customHeight="1" spans="1:29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3.5" customHeight="1" spans="1:2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3.5" customHeight="1" spans="1:29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3.5" customHeight="1" spans="1:29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3.5" customHeight="1" spans="1:29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3.5" customHeight="1" spans="1:29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3.5" customHeight="1" spans="1:29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3.5" customHeight="1" spans="1:29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3.5" customHeight="1" spans="1:29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3.5" customHeight="1" spans="1:29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3.5" customHeight="1" spans="1:29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3.5" customHeight="1" spans="1:29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3.5" customHeight="1" spans="1:29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3.5" customHeight="1" spans="1:29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3.5" customHeight="1" spans="1:29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3.5" customHeight="1" spans="1:29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3.5" customHeight="1" spans="1:29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3.5" customHeight="1" spans="1:29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3.5" customHeight="1" spans="1:29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3.5" customHeight="1" spans="1:29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3.5" customHeight="1" spans="1:29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3.5" customHeight="1" spans="1:29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3.5" customHeight="1" spans="1:29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3.5" customHeight="1" spans="1:29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3.5" customHeight="1" spans="1:29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3.5" customHeight="1" spans="1:2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3.5" customHeight="1" spans="1:29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3.5" customHeight="1" spans="1:2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3.5" customHeight="1" spans="1:29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3.5" customHeight="1" spans="1:29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3.5" customHeight="1" spans="1:29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3.5" customHeight="1" spans="1:29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3.5" customHeight="1" spans="1:29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3.5" customHeight="1" spans="1:29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3.5" customHeight="1" spans="1:29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3.5" customHeight="1" spans="1:29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3.5" customHeight="1" spans="1:29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3.5" customHeight="1" spans="1:29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3.5" customHeight="1" spans="1:29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3.5" customHeight="1" spans="1:29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3.5" customHeight="1" spans="1:29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3.5" customHeight="1" spans="1:29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3.5" customHeight="1" spans="1:29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3.5" customHeight="1" spans="1:29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3.5" customHeight="1" spans="1:29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3.5" customHeight="1" spans="1:29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3.5" customHeight="1" spans="1:29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3.5" customHeight="1" spans="1:29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3.5" customHeight="1" spans="1:29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3.5" customHeight="1" spans="1:29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3.5" customHeight="1" spans="1:29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3.5" customHeight="1" spans="1:29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3.5" customHeight="1" spans="1:29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3.5" customHeight="1" spans="1:29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3.5" customHeight="1" spans="1:29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3.5" customHeight="1" spans="1:29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3.5" customHeight="1" spans="1:29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3.5" customHeight="1" spans="1:29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3.5" customHeight="1" spans="1:29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3.5" customHeight="1" spans="1:29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3.5" customHeight="1" spans="1:29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3.5" customHeight="1" spans="1:29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3.5" customHeight="1" spans="1:29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3.5" customHeight="1" spans="1:29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3.5" customHeight="1" spans="1:29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3.5" customHeight="1" spans="1:29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3.5" customHeight="1" spans="1:29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3.5" customHeight="1" spans="1:29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3.5" customHeight="1" spans="1:29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3.5" customHeight="1" spans="1:29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3.5" customHeight="1" spans="1:29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3.5" customHeight="1" spans="1:29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3.5" customHeight="1" spans="1:29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3.5" customHeight="1" spans="1:29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3.5" customHeight="1" spans="1:29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3.5" customHeight="1" spans="1:29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3.5" customHeight="1" spans="1:29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3.5" customHeight="1" spans="1:29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3.5" customHeight="1" spans="1:29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3.5" customHeight="1" spans="1:29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3.5" customHeight="1" spans="1:29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3.5" customHeight="1" spans="1:29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3.5" customHeight="1" spans="1:29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3.5" customHeight="1" spans="1:29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3.5" customHeight="1" spans="1:29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3.5" customHeight="1" spans="1:29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3.5" customHeight="1" spans="1:29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3.5" customHeight="1" spans="1:29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3.5" customHeight="1" spans="1:29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3.5" customHeight="1" spans="1:29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3.5" customHeight="1" spans="1:29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3.5" customHeight="1" spans="1:29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3.5" customHeight="1" spans="1:29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3.5" customHeight="1" spans="1:29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3.5" customHeight="1" spans="1:29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3.5" customHeight="1" spans="1:29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3.5" customHeight="1" spans="1:29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3.5" customHeight="1" spans="1:29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3.5" customHeight="1" spans="1:29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3.5" customHeight="1" spans="1:29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3.5" customHeight="1" spans="1:29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3.5" customHeight="1" spans="1:29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3.5" customHeight="1" spans="1:29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3.5" customHeight="1" spans="1:29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3.5" customHeight="1" spans="1:29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3.5" customHeight="1" spans="1:29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3.5" customHeight="1" spans="1:29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3.5" customHeight="1" spans="1:29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3.5" customHeight="1" spans="1:29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3.5" customHeight="1" spans="1:29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3.5" customHeight="1" spans="1:29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3.5" customHeight="1" spans="1:29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3.5" customHeight="1" spans="1:29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3.5" customHeight="1" spans="1:29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3.5" customHeight="1" spans="1:29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3.5" customHeight="1" spans="1:29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3.5" customHeight="1" spans="1:29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3.5" customHeight="1" spans="1:29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3.5" customHeight="1" spans="1:29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3.5" customHeight="1" spans="1:29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3.5" customHeight="1" spans="1:29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3.5" customHeight="1" spans="1:29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3.5" customHeight="1" spans="1:29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3.5" customHeight="1" spans="1:29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3.5" customHeight="1" spans="1:29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3.5" customHeight="1" spans="1:29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3.5" customHeight="1" spans="1:29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3.5" customHeight="1" spans="1:29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3.5" customHeight="1" spans="1:29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3.5" customHeight="1" spans="1:29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3.5" customHeight="1" spans="1:29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3.5" customHeight="1" spans="1:29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3.5" customHeight="1" spans="1:29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3.5" customHeight="1" spans="1:29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3.5" customHeight="1" spans="1:29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3.5" customHeight="1" spans="1:29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3.5" customHeight="1" spans="1:29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3.5" customHeight="1" spans="1:29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3.5" customHeight="1" spans="1:29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3.5" customHeight="1" spans="1:29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3.5" customHeight="1" spans="1:29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3.5" customHeight="1" spans="1:29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3.5" customHeight="1" spans="1:29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3.5" customHeight="1" spans="1:29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3.5" customHeight="1" spans="1:29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3.5" customHeight="1" spans="1:29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3.5" customHeight="1" spans="1:29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3.5" customHeight="1" spans="1:29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3.5" customHeight="1" spans="1:29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3.5" customHeight="1" spans="1:29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3.5" customHeight="1" spans="1:29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3.5" customHeight="1" spans="1:29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3.5" customHeight="1" spans="1:29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3.5" customHeight="1" spans="1:29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3.5" customHeight="1" spans="1:29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3.5" customHeight="1" spans="1:29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3.5" customHeight="1" spans="1:29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3.5" customHeight="1" spans="1:29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3.5" customHeight="1" spans="1:29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3.5" customHeight="1" spans="1:29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3.5" customHeight="1" spans="1:29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3.5" customHeight="1" spans="1:29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3.5" customHeight="1" spans="1:29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3.5" customHeight="1" spans="1:29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3.5" customHeight="1" spans="1:29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3.5" customHeight="1" spans="1:29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3.5" customHeight="1" spans="1:29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3.5" customHeight="1" spans="1:29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3.5" customHeight="1" spans="1:29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3.5" customHeight="1" spans="1:29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3.5" customHeight="1" spans="1:29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3.5" customHeight="1" spans="1:29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3.5" customHeight="1" spans="1:29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3.5" customHeight="1" spans="1:29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3.5" customHeight="1" spans="1:29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3.5" customHeight="1" spans="1:29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3.5" customHeight="1" spans="1:29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3.5" customHeight="1" spans="1:29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3.5" customHeight="1" spans="1:29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3.5" customHeight="1" spans="1:29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3.5" customHeight="1" spans="1:29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3.5" customHeight="1" spans="1:29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3.5" customHeight="1" spans="1:29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3.5" customHeight="1" spans="1:29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3.5" customHeight="1" spans="1:29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3.5" customHeight="1" spans="1:29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3.5" customHeight="1" spans="1:29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3.5" customHeight="1" spans="1:29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3.5" customHeight="1" spans="1:29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3.5" customHeight="1" spans="1:29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3.5" customHeight="1" spans="1:29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3.5" customHeight="1" spans="1:29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3.5" customHeight="1" spans="1:29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3.5" customHeight="1" spans="1:29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3.5" customHeight="1" spans="1:29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3.5" customHeight="1" spans="1:29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3.5" customHeight="1" spans="1:29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3.5" customHeight="1" spans="1:29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3.5" customHeight="1" spans="1:29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3.5" customHeight="1" spans="1:29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3.5" customHeight="1" spans="1:29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3.5" customHeight="1" spans="1:29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3.5" customHeight="1" spans="1:29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3.5" customHeight="1" spans="1:29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3.5" customHeight="1" spans="1:29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3.5" customHeight="1" spans="1:29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3.5" customHeight="1" spans="1:29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3.5" customHeight="1" spans="1:29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3.5" customHeight="1" spans="1:29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3.5" customHeight="1" spans="1:29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3.5" customHeight="1" spans="1:29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 spans="1:29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3.5" customHeight="1" spans="1:29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3.5" customHeight="1" spans="1:29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3.5" customHeight="1" spans="1:29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3.5" customHeight="1" spans="1:29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3.5" customHeight="1" spans="1:29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3.5" customHeight="1" spans="1:29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3.5" customHeight="1" spans="1:29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3.5" customHeight="1" spans="1:29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3.5" customHeight="1" spans="1:29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3.5" customHeight="1" spans="1:29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3.5" customHeight="1" spans="1:29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3.5" customHeight="1" spans="1:29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3.5" customHeight="1" spans="1:29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3.5" customHeight="1" spans="1:29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3.5" customHeight="1" spans="1:29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3.5" customHeight="1" spans="1:29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3.5" customHeight="1" spans="1:29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3.5" customHeight="1" spans="1:29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3.5" customHeight="1" spans="1:29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3.5" customHeight="1" spans="1:29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3.5" customHeight="1" spans="1:29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3.5" customHeight="1" spans="1:29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3.5" customHeight="1" spans="1:29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3.5" customHeight="1" spans="1:29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3.5" customHeight="1" spans="1:29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3.5" customHeight="1" spans="1:29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3.5" customHeight="1" spans="1:29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3.5" customHeight="1" spans="1:29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3.5" customHeight="1" spans="1:29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autoFilter ref="$A$4:$AC$33"/>
  <conditionalFormatting sqref="Y5:AA31 AB6:AB7">
    <cfRule type="cellIs" dxfId="40" priority="1" operator="lessThan">
      <formula>-0.1</formula>
    </cfRule>
  </conditionalFormatting>
  <conditionalFormatting sqref="Y5:AA31 AB6:AB7">
    <cfRule type="cellIs" dxfId="41" priority="2" operator="greaterThan">
      <formula>0.1</formula>
    </cfRule>
  </conditionalFormatting>
  <conditionalFormatting sqref="Y5:AB31">
    <cfRule type="cellIs" dxfId="42" priority="3" operator="lessThan">
      <formula>-0.2</formula>
    </cfRule>
  </conditionalFormatting>
  <conditionalFormatting sqref="Y5:AB31">
    <cfRule type="cellIs" dxfId="43" priority="4" operator="lessThan">
      <formula>-0.15</formula>
    </cfRule>
  </conditionalFormatting>
  <conditionalFormatting sqref="AB12">
    <cfRule type="cellIs" dxfId="44" priority="5" operator="lessThan">
      <formula>-0.1</formula>
    </cfRule>
  </conditionalFormatting>
  <conditionalFormatting sqref="AB12">
    <cfRule type="cellIs" dxfId="45" priority="6" operator="greaterThan">
      <formula>0.1</formula>
    </cfRule>
  </conditionalFormatting>
  <conditionalFormatting sqref="AB14:AB26">
    <cfRule type="cellIs" dxfId="46" priority="7" operator="lessThan">
      <formula>-0.1</formula>
    </cfRule>
  </conditionalFormatting>
  <conditionalFormatting sqref="AB14:AB26">
    <cfRule type="cellIs" dxfId="47" priority="8" operator="greaterThan">
      <formula>0.1</formula>
    </cfRule>
  </conditionalFormatting>
  <conditionalFormatting sqref="AB28">
    <cfRule type="cellIs" dxfId="48" priority="9" operator="lessThan">
      <formula>-0.1</formula>
    </cfRule>
  </conditionalFormatting>
  <conditionalFormatting sqref="AB28">
    <cfRule type="cellIs" dxfId="49" priority="10" operator="greaterThan">
      <formula>0.1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zoomScale="100" zoomScaleNormal="100"/>
  </sheetViews>
  <sheetFormatPr defaultRowHeight="15" outlineLevelRow="0" outlineLevelCol="0" x14ac:dyDescent="0" defaultColWidth="14.43"/>
  <cols>
    <col min="1" max="3" width="8.71" customWidth="1"/>
    <col min="4" max="4" width="13.29" customWidth="1"/>
    <col min="5" max="5" width="11.57" customWidth="1"/>
    <col min="6" max="6" width="15" customWidth="1"/>
    <col min="7" max="7" width="11.29" customWidth="1"/>
    <col min="8" max="8" width="12.29" customWidth="1"/>
    <col min="9" max="9" width="10.29" customWidth="1"/>
    <col min="10" max="12" width="9.29" customWidth="1"/>
    <col min="13" max="26" width="8.71" customWidth="1"/>
  </cols>
  <sheetData>
    <row r="1" ht="14.25" customHeight="1" x14ac:dyDescent="0.25"/>
    <row r="2" ht="14.25" customHeight="1" spans="4:4" x14ac:dyDescent="0.25">
      <c r="D2" s="136" t="s">
        <v>401</v>
      </c>
    </row>
    <row r="3" ht="14.25" customHeight="1" spans="4:12" x14ac:dyDescent="0.25">
      <c r="D3" s="239" t="s">
        <v>365</v>
      </c>
      <c r="E3" s="240"/>
      <c r="F3" s="240"/>
      <c r="G3" s="240"/>
      <c r="H3" s="239" t="s">
        <v>367</v>
      </c>
      <c r="I3" s="239" t="s">
        <v>402</v>
      </c>
      <c r="J3" s="239" t="s">
        <v>403</v>
      </c>
      <c r="K3" s="239" t="s">
        <v>404</v>
      </c>
      <c r="L3" s="239" t="s">
        <v>405</v>
      </c>
    </row>
    <row r="4" ht="14.25" customHeight="1" spans="4:12" x14ac:dyDescent="0.25">
      <c r="D4" s="216" t="s">
        <v>54</v>
      </c>
      <c r="E4" s="216" t="s">
        <v>54</v>
      </c>
      <c r="F4" s="216" t="s">
        <v>371</v>
      </c>
      <c r="G4" s="216" t="s">
        <v>372</v>
      </c>
      <c r="H4" s="216" t="s">
        <v>65</v>
      </c>
      <c r="I4" s="218">
        <v>22128</v>
      </c>
      <c r="J4" s="218">
        <v>10950</v>
      </c>
      <c r="K4" s="218">
        <v>6260</v>
      </c>
      <c r="L4" s="218">
        <v>4580</v>
      </c>
    </row>
    <row r="5" ht="14.25" customHeight="1" x14ac:dyDescent="0.25"/>
    <row r="6" ht="14.25" customHeight="1" spans="6:6" x14ac:dyDescent="0.25">
      <c r="F6" s="136" t="s">
        <v>406</v>
      </c>
    </row>
    <row r="7" ht="14.25" customHeight="1" spans="6:12" x14ac:dyDescent="0.25">
      <c r="F7" s="241" t="s">
        <v>407</v>
      </c>
      <c r="G7" s="241" t="s">
        <v>408</v>
      </c>
      <c r="H7" s="241" t="s">
        <v>4</v>
      </c>
      <c r="I7" s="241" t="s">
        <v>409</v>
      </c>
      <c r="J7" s="241" t="s">
        <v>410</v>
      </c>
      <c r="K7" s="241" t="s">
        <v>411</v>
      </c>
      <c r="L7" s="241" t="s">
        <v>412</v>
      </c>
    </row>
    <row r="8" ht="14.25" customHeight="1" spans="6:12" x14ac:dyDescent="0.25">
      <c r="F8" s="242" t="s">
        <v>413</v>
      </c>
      <c r="G8" s="242" t="s">
        <v>197</v>
      </c>
      <c r="H8" s="242" t="s">
        <v>414</v>
      </c>
      <c r="I8" s="243">
        <v>6300</v>
      </c>
      <c r="J8" s="243">
        <v>0</v>
      </c>
      <c r="K8" s="243">
        <v>0</v>
      </c>
      <c r="L8" s="243">
        <v>0</v>
      </c>
    </row>
    <row r="9" ht="14.25" customHeight="1" spans="6:12" x14ac:dyDescent="0.25">
      <c r="F9" s="242" t="s">
        <v>415</v>
      </c>
      <c r="G9" s="242" t="s">
        <v>197</v>
      </c>
      <c r="H9" s="242" t="s">
        <v>414</v>
      </c>
      <c r="I9" s="243">
        <v>5140</v>
      </c>
      <c r="J9" s="243">
        <v>6400</v>
      </c>
      <c r="K9" s="243">
        <v>5880</v>
      </c>
      <c r="L9" s="243">
        <v>4360</v>
      </c>
    </row>
    <row r="10" ht="14.25" customHeight="1" spans="6:12" x14ac:dyDescent="0.25">
      <c r="F10" s="242" t="s">
        <v>416</v>
      </c>
      <c r="G10" s="242" t="s">
        <v>197</v>
      </c>
      <c r="H10" s="242" t="s">
        <v>414</v>
      </c>
      <c r="I10" s="243">
        <v>100</v>
      </c>
      <c r="J10" s="243">
        <v>90</v>
      </c>
      <c r="K10" s="243">
        <v>0</v>
      </c>
      <c r="L10" s="243">
        <v>0</v>
      </c>
    </row>
    <row r="11" ht="14.25" customHeight="1" spans="6:12" x14ac:dyDescent="0.25">
      <c r="F11" s="242" t="s">
        <v>417</v>
      </c>
      <c r="G11" s="242" t="s">
        <v>197</v>
      </c>
      <c r="H11" s="242" t="s">
        <v>414</v>
      </c>
      <c r="I11" s="243">
        <v>250</v>
      </c>
      <c r="J11" s="243">
        <v>380</v>
      </c>
      <c r="K11" s="243">
        <v>380</v>
      </c>
      <c r="L11" s="243">
        <v>220</v>
      </c>
    </row>
    <row r="12" ht="14.25" customHeight="1" spans="8:12" x14ac:dyDescent="0.25">
      <c r="H12" s="244" t="s">
        <v>418</v>
      </c>
      <c r="I12" s="245">
        <f t="shared" ref="I12:L12" si="0">SUM(I8:I11)</f>
        <v>11790</v>
      </c>
      <c r="J12" s="245">
        <f t="shared" si="0"/>
        <v>6870</v>
      </c>
      <c r="K12" s="245">
        <f t="shared" si="0"/>
        <v>6260</v>
      </c>
      <c r="L12" s="245">
        <f t="shared" si="0"/>
        <v>4580</v>
      </c>
    </row>
    <row r="13" ht="14.25" customHeight="1" x14ac:dyDescent="0.25"/>
    <row r="14" ht="14.25" customHeight="1" spans="8:12" x14ac:dyDescent="0.25">
      <c r="H14" s="242" t="s">
        <v>419</v>
      </c>
      <c r="I14" s="246">
        <f t="shared" ref="I14:L14" si="1">I12-I4</f>
        <v>-10338</v>
      </c>
      <c r="J14" s="246">
        <f t="shared" si="1"/>
        <v>-4080</v>
      </c>
      <c r="K14" s="246">
        <f t="shared" si="1"/>
        <v>0</v>
      </c>
      <c r="L14" s="246">
        <f t="shared" si="1"/>
        <v>0</v>
      </c>
    </row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4.43" customWidth="1"/>
    <col min="2" max="2" width="8.71" customWidth="1"/>
    <col min="3" max="5" width="10.71" customWidth="1"/>
    <col min="6" max="26" width="8.71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spans="1:5" x14ac:dyDescent="0.25">
      <c r="A4" s="247" t="s">
        <v>150</v>
      </c>
      <c r="B4" s="247">
        <v>9673</v>
      </c>
      <c r="C4" s="247">
        <v>12094</v>
      </c>
      <c r="D4" s="247">
        <v>8906</v>
      </c>
      <c r="E4" s="247">
        <v>3950</v>
      </c>
    </row>
    <row r="5" ht="14.25" customHeight="1" spans="1:5" x14ac:dyDescent="0.25">
      <c r="A5" s="247" t="s">
        <v>22</v>
      </c>
      <c r="B5" s="247">
        <v>975</v>
      </c>
      <c r="C5" s="247">
        <v>1237</v>
      </c>
      <c r="D5" s="247">
        <v>1084</v>
      </c>
      <c r="E5" s="247">
        <v>451</v>
      </c>
    </row>
    <row r="6" ht="14.25" customHeight="1" spans="1:5" x14ac:dyDescent="0.25">
      <c r="A6" s="247" t="s">
        <v>23</v>
      </c>
      <c r="B6" s="247">
        <v>8051</v>
      </c>
      <c r="C6" s="247">
        <v>8078</v>
      </c>
      <c r="D6" s="247">
        <v>5797</v>
      </c>
      <c r="E6" s="247">
        <v>5615</v>
      </c>
    </row>
    <row r="7" ht="14.25" customHeight="1" spans="1:5" x14ac:dyDescent="0.25">
      <c r="A7" s="247" t="s">
        <v>212</v>
      </c>
      <c r="B7" s="247">
        <v>240</v>
      </c>
      <c r="C7" s="247">
        <v>360</v>
      </c>
      <c r="D7" s="247">
        <v>200</v>
      </c>
      <c r="E7" s="247">
        <v>20</v>
      </c>
    </row>
    <row r="8" ht="14.25" customHeight="1" spans="1:5" x14ac:dyDescent="0.25">
      <c r="A8" s="247" t="s">
        <v>161</v>
      </c>
      <c r="B8" s="247">
        <v>1946</v>
      </c>
      <c r="C8" s="247">
        <v>2404</v>
      </c>
      <c r="D8" s="247">
        <v>1451</v>
      </c>
      <c r="E8" s="247">
        <v>912</v>
      </c>
    </row>
    <row r="9" ht="14.25" customHeight="1" spans="1:5" x14ac:dyDescent="0.25">
      <c r="A9" s="247" t="s">
        <v>163</v>
      </c>
      <c r="B9" s="247">
        <v>1026</v>
      </c>
      <c r="C9" s="247">
        <v>1077</v>
      </c>
      <c r="D9" s="247">
        <v>1019</v>
      </c>
      <c r="E9" s="247">
        <v>230</v>
      </c>
    </row>
    <row r="10" ht="14.25" customHeight="1" spans="1:5" x14ac:dyDescent="0.25">
      <c r="A10" s="247" t="s">
        <v>184</v>
      </c>
      <c r="B10" s="247">
        <v>582</v>
      </c>
      <c r="C10" s="247">
        <v>388</v>
      </c>
      <c r="D10" s="247">
        <v>386</v>
      </c>
      <c r="E10" s="247">
        <v>367</v>
      </c>
    </row>
    <row r="11" ht="14.25" customHeight="1" spans="1:5" x14ac:dyDescent="0.25">
      <c r="A11" s="247" t="s">
        <v>186</v>
      </c>
      <c r="B11" s="247">
        <v>4745</v>
      </c>
      <c r="C11" s="247">
        <v>5243</v>
      </c>
      <c r="D11" s="247">
        <v>3468</v>
      </c>
      <c r="E11" s="247">
        <v>3284</v>
      </c>
    </row>
    <row r="12" ht="14.25" customHeight="1" spans="1:5" x14ac:dyDescent="0.25">
      <c r="A12" s="247" t="s">
        <v>221</v>
      </c>
      <c r="B12" s="247">
        <v>3020</v>
      </c>
      <c r="C12" s="247">
        <v>2820</v>
      </c>
      <c r="D12" s="247">
        <v>2880</v>
      </c>
      <c r="E12" s="247">
        <v>2620</v>
      </c>
    </row>
    <row r="13" ht="14.25" customHeight="1" spans="1:5" x14ac:dyDescent="0.25">
      <c r="A13" s="247" t="s">
        <v>200</v>
      </c>
      <c r="B13" s="247">
        <v>1160</v>
      </c>
      <c r="C13" s="247">
        <v>2100</v>
      </c>
      <c r="D13" s="247">
        <v>2040</v>
      </c>
      <c r="E13" s="247">
        <v>1040</v>
      </c>
    </row>
    <row r="14" ht="14.25" customHeight="1" spans="1:5" x14ac:dyDescent="0.25">
      <c r="A14" s="247" t="s">
        <v>188</v>
      </c>
      <c r="B14" s="247">
        <v>1082</v>
      </c>
      <c r="C14" s="247">
        <v>1309</v>
      </c>
      <c r="D14" s="247">
        <v>822</v>
      </c>
      <c r="E14" s="247">
        <v>288</v>
      </c>
    </row>
    <row r="15" ht="14.25" customHeight="1" spans="1:5" x14ac:dyDescent="0.25">
      <c r="A15" s="247" t="s">
        <v>167</v>
      </c>
      <c r="B15" s="247">
        <v>1910</v>
      </c>
      <c r="C15" s="247">
        <v>5903</v>
      </c>
      <c r="D15" s="247">
        <v>5385</v>
      </c>
      <c r="E15" s="247">
        <v>5966</v>
      </c>
    </row>
    <row r="16" ht="14.25" customHeight="1" spans="1:5" x14ac:dyDescent="0.25">
      <c r="A16" s="247" t="s">
        <v>169</v>
      </c>
      <c r="B16" s="247">
        <v>1910</v>
      </c>
      <c r="C16" s="247">
        <v>5915</v>
      </c>
      <c r="D16" s="247">
        <v>5397</v>
      </c>
      <c r="E16" s="247">
        <v>6002</v>
      </c>
    </row>
    <row r="17" ht="14.25" customHeight="1" spans="1:5" x14ac:dyDescent="0.25">
      <c r="A17" s="247" t="s">
        <v>251</v>
      </c>
      <c r="B17" s="247">
        <v>5651</v>
      </c>
      <c r="C17" s="247">
        <v>7044</v>
      </c>
      <c r="D17" s="247">
        <v>5224</v>
      </c>
      <c r="E17" s="247">
        <v>7912</v>
      </c>
    </row>
    <row r="18" ht="14.25" customHeight="1" spans="1:5" x14ac:dyDescent="0.25">
      <c r="A18" s="247" t="s">
        <v>256</v>
      </c>
      <c r="B18" s="247">
        <v>772</v>
      </c>
      <c r="C18" s="247">
        <v>1388</v>
      </c>
      <c r="D18" s="247">
        <v>733</v>
      </c>
      <c r="E18" s="247">
        <v>1353</v>
      </c>
    </row>
    <row r="19" ht="14.25" customHeight="1" spans="1:5" x14ac:dyDescent="0.25">
      <c r="A19" s="247" t="s">
        <v>244</v>
      </c>
      <c r="B19" s="247">
        <v>2088</v>
      </c>
      <c r="C19" s="247">
        <v>1980</v>
      </c>
      <c r="D19" s="247">
        <v>1800</v>
      </c>
      <c r="E19" s="247">
        <v>1836</v>
      </c>
    </row>
    <row r="20" ht="14.25" customHeight="1" spans="1:5" x14ac:dyDescent="0.25">
      <c r="A20" s="247" t="s">
        <v>247</v>
      </c>
      <c r="B20" s="247">
        <v>8210</v>
      </c>
      <c r="C20" s="247">
        <v>5430</v>
      </c>
      <c r="D20" s="247">
        <v>5520</v>
      </c>
      <c r="E20" s="247">
        <v>5170</v>
      </c>
    </row>
    <row r="21" ht="14.25" customHeight="1" spans="1:5" x14ac:dyDescent="0.25">
      <c r="A21" s="247" t="s">
        <v>225</v>
      </c>
      <c r="B21" s="247">
        <v>12003</v>
      </c>
      <c r="C21" s="247">
        <v>11815</v>
      </c>
      <c r="D21" s="247">
        <v>12076</v>
      </c>
      <c r="E21" s="247">
        <v>10271</v>
      </c>
    </row>
    <row r="22" ht="14.25" customHeight="1" spans="1:5" x14ac:dyDescent="0.25">
      <c r="A22" s="247" t="s">
        <v>263</v>
      </c>
      <c r="B22" s="247">
        <v>1335</v>
      </c>
      <c r="C22" s="247">
        <v>1767</v>
      </c>
      <c r="D22" s="247">
        <v>1200</v>
      </c>
      <c r="E22" s="247">
        <v>1425</v>
      </c>
    </row>
    <row r="23" ht="14.25" customHeight="1" spans="1:5" x14ac:dyDescent="0.25">
      <c r="A23" s="247" t="s">
        <v>265</v>
      </c>
      <c r="B23" s="247">
        <v>873</v>
      </c>
      <c r="C23" s="247">
        <v>1134</v>
      </c>
      <c r="D23" s="247">
        <v>1356</v>
      </c>
      <c r="E23" s="247">
        <v>1468</v>
      </c>
    </row>
    <row r="24" ht="14.25" customHeight="1" spans="1:5" x14ac:dyDescent="0.25">
      <c r="A24" s="247" t="s">
        <v>398</v>
      </c>
      <c r="B24" s="247">
        <v>67252</v>
      </c>
      <c r="C24" s="247">
        <v>79486</v>
      </c>
      <c r="D24" s="247">
        <v>66744</v>
      </c>
      <c r="E24" s="247">
        <v>60180</v>
      </c>
    </row>
    <row r="25" ht="14.25" customHeight="1" spans="1:5" x14ac:dyDescent="0.25"/>
    <row r="26" ht="14.25" customHeight="1" spans="1:5" x14ac:dyDescent="0.25"/>
    <row r="27" ht="14.25" customHeight="1" spans="1:5" x14ac:dyDescent="0.25"/>
    <row r="28" ht="14.25" customHeight="1" spans="1:5" x14ac:dyDescent="0.25"/>
    <row r="29" ht="14.25" customHeight="1" spans="1:5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1000"/>
  <sheetViews>
    <sheetView workbookViewId="0" zoomScale="100" zoomScaleNormal="100">
      <pane xSplit="5" ySplit="2" topLeftCell="F3" activePane="bottomRight" state="frozen"/>
      <selection pane="bottomRight" activeCell="F3" sqref="F3"/>
    </sheetView>
  </sheetViews>
  <sheetFormatPr defaultRowHeight="15" outlineLevelRow="0" outlineLevelCol="1" x14ac:dyDescent="0" defaultColWidth="14.43"/>
  <cols>
    <col min="1" max="1" width="20.43" customWidth="1"/>
    <col min="2" max="2" width="19.86" customWidth="1"/>
    <col min="4" max="6" width="11.14" customWidth="1"/>
    <col min="7" max="7" width="10.86" customWidth="1"/>
    <col min="8" max="8" width="18.43" customWidth="1"/>
    <col min="9" max="9" width="9.43" customWidth="1"/>
    <col min="10" max="18" width="4.29" hidden="1" outlineLevel="1" collapsed="1" customWidth="1"/>
    <col min="19" max="39" width="5.29" hidden="1" outlineLevel="1" collapsed="1" customWidth="1"/>
    <col min="40" max="40" width="0.43" hidden="1" outlineLevel="1" collapsed="1" customWidth="1"/>
    <col min="41" max="41" width="6" customWidth="1"/>
    <col min="42" max="50" width="4.29" outlineLevel="1" collapsed="1" customWidth="1"/>
    <col min="51" max="72" width="5.29" outlineLevel="1" collapsed="1" customWidth="1"/>
    <col min="73" max="73" width="6.43" customWidth="1"/>
    <col min="74" max="82" width="4.29" outlineLevel="1" collapsed="1" customWidth="1"/>
    <col min="83" max="104" width="5.29" outlineLevel="1" collapsed="1" customWidth="1"/>
    <col min="105" max="105" width="6.43" customWidth="1"/>
    <col min="106" max="114" width="4.29" outlineLevel="1" collapsed="1" customWidth="1"/>
    <col min="115" max="136" width="5.29" outlineLevel="1" collapsed="1" customWidth="1"/>
    <col min="137" max="137" width="7" customWidth="1"/>
    <col min="138" max="138" width="13.14" customWidth="1"/>
    <col min="139" max="139" width="16.43" customWidth="1"/>
    <col min="140" max="140" width="15.29" customWidth="1"/>
    <col min="141" max="141" width="8.71" hidden="1" customWidth="1"/>
    <col min="142" max="142" width="29.86" customWidth="1"/>
    <col min="143" max="143" width="8.71" customWidth="1"/>
    <col min="144" max="144" width="15.29" customWidth="1"/>
    <col min="145" max="146" width="8.71" customWidth="1"/>
    <col min="147" max="147" width="21.57" customWidth="1"/>
    <col min="148" max="148" width="8.71" customWidth="1"/>
    <col min="149" max="149" width="17.43" customWidth="1"/>
    <col min="150" max="150" width="15.71" customWidth="1"/>
    <col min="152" max="154" width="11.14" customWidth="1"/>
    <col min="155" max="155" width="8.86" customWidth="1"/>
    <col min="156" max="156" width="16.71" customWidth="1"/>
    <col min="157" max="157" width="21.43" customWidth="1"/>
    <col min="158" max="158" width="15.71" customWidth="1"/>
    <col min="160" max="162" width="11.14" customWidth="1"/>
    <col min="163" max="163" width="8.71" customWidth="1"/>
  </cols>
  <sheetData>
    <row r="1" ht="14.25" customHeight="1" spans="1:220" x14ac:dyDescent="0.25">
      <c r="AO1" s="136" t="s">
        <v>14</v>
      </c>
      <c r="BU1" s="136" t="s">
        <v>15</v>
      </c>
      <c r="DA1" s="136" t="s">
        <v>16</v>
      </c>
      <c r="EG1" s="136" t="s">
        <v>6</v>
      </c>
    </row>
    <row r="2" ht="13.5" customHeight="1" spans="1:220" x14ac:dyDescent="0.25">
      <c r="A2" s="176" t="s">
        <v>420</v>
      </c>
      <c r="B2" s="176" t="s">
        <v>293</v>
      </c>
      <c r="C2" s="176" t="s">
        <v>294</v>
      </c>
      <c r="D2" s="176" t="s">
        <v>295</v>
      </c>
      <c r="E2" s="176" t="s">
        <v>296</v>
      </c>
      <c r="F2" s="176" t="s">
        <v>297</v>
      </c>
      <c r="G2" s="176" t="s">
        <v>298</v>
      </c>
      <c r="H2" s="176" t="s">
        <v>299</v>
      </c>
      <c r="I2" s="176" t="s">
        <v>300</v>
      </c>
      <c r="J2" s="176" t="s">
        <v>301</v>
      </c>
      <c r="K2" s="176" t="s">
        <v>302</v>
      </c>
      <c r="L2" s="176" t="s">
        <v>303</v>
      </c>
      <c r="M2" s="176" t="s">
        <v>304</v>
      </c>
      <c r="N2" s="176" t="s">
        <v>305</v>
      </c>
      <c r="O2" s="176" t="s">
        <v>306</v>
      </c>
      <c r="P2" s="176" t="s">
        <v>307</v>
      </c>
      <c r="Q2" s="176" t="s">
        <v>308</v>
      </c>
      <c r="R2" s="176" t="s">
        <v>309</v>
      </c>
      <c r="S2" s="176" t="s">
        <v>310</v>
      </c>
      <c r="T2" s="176" t="s">
        <v>311</v>
      </c>
      <c r="U2" s="176" t="s">
        <v>312</v>
      </c>
      <c r="V2" s="176" t="s">
        <v>313</v>
      </c>
      <c r="W2" s="176" t="s">
        <v>314</v>
      </c>
      <c r="X2" s="176" t="s">
        <v>315</v>
      </c>
      <c r="Y2" s="176" t="s">
        <v>316</v>
      </c>
      <c r="Z2" s="176" t="s">
        <v>317</v>
      </c>
      <c r="AA2" s="176" t="s">
        <v>318</v>
      </c>
      <c r="AB2" s="176" t="s">
        <v>319</v>
      </c>
      <c r="AC2" s="176" t="s">
        <v>320</v>
      </c>
      <c r="AD2" s="176" t="s">
        <v>321</v>
      </c>
      <c r="AE2" s="176" t="s">
        <v>322</v>
      </c>
      <c r="AF2" s="176" t="s">
        <v>323</v>
      </c>
      <c r="AG2" s="176" t="s">
        <v>324</v>
      </c>
      <c r="AH2" s="176" t="s">
        <v>325</v>
      </c>
      <c r="AI2" s="176" t="s">
        <v>326</v>
      </c>
      <c r="AJ2" s="176" t="s">
        <v>327</v>
      </c>
      <c r="AK2" s="176" t="s">
        <v>328</v>
      </c>
      <c r="AL2" s="176" t="s">
        <v>329</v>
      </c>
      <c r="AM2" s="176" t="s">
        <v>330</v>
      </c>
      <c r="AN2" s="176" t="s">
        <v>331</v>
      </c>
      <c r="AO2" s="248" t="s">
        <v>292</v>
      </c>
      <c r="AP2" s="176" t="s">
        <v>301</v>
      </c>
      <c r="AQ2" s="176" t="s">
        <v>302</v>
      </c>
      <c r="AR2" s="176" t="s">
        <v>303</v>
      </c>
      <c r="AS2" s="176" t="s">
        <v>304</v>
      </c>
      <c r="AT2" s="176" t="s">
        <v>305</v>
      </c>
      <c r="AU2" s="176" t="s">
        <v>306</v>
      </c>
      <c r="AV2" s="176" t="s">
        <v>307</v>
      </c>
      <c r="AW2" s="176" t="s">
        <v>308</v>
      </c>
      <c r="AX2" s="176" t="s">
        <v>309</v>
      </c>
      <c r="AY2" s="176" t="s">
        <v>310</v>
      </c>
      <c r="AZ2" s="176" t="s">
        <v>311</v>
      </c>
      <c r="BA2" s="176" t="s">
        <v>312</v>
      </c>
      <c r="BB2" s="176" t="s">
        <v>313</v>
      </c>
      <c r="BC2" s="176" t="s">
        <v>314</v>
      </c>
      <c r="BD2" s="176" t="s">
        <v>315</v>
      </c>
      <c r="BE2" s="176" t="s">
        <v>316</v>
      </c>
      <c r="BF2" s="176" t="s">
        <v>317</v>
      </c>
      <c r="BG2" s="176" t="s">
        <v>318</v>
      </c>
      <c r="BH2" s="176" t="s">
        <v>319</v>
      </c>
      <c r="BI2" s="176" t="s">
        <v>320</v>
      </c>
      <c r="BJ2" s="176" t="s">
        <v>321</v>
      </c>
      <c r="BK2" s="176" t="s">
        <v>322</v>
      </c>
      <c r="BL2" s="176" t="s">
        <v>323</v>
      </c>
      <c r="BM2" s="176" t="s">
        <v>324</v>
      </c>
      <c r="BN2" s="176" t="s">
        <v>325</v>
      </c>
      <c r="BO2" s="176" t="s">
        <v>326</v>
      </c>
      <c r="BP2" s="176" t="s">
        <v>327</v>
      </c>
      <c r="BQ2" s="176" t="s">
        <v>328</v>
      </c>
      <c r="BR2" s="176" t="s">
        <v>329</v>
      </c>
      <c r="BS2" s="176" t="s">
        <v>330</v>
      </c>
      <c r="BT2" s="176" t="s">
        <v>331</v>
      </c>
      <c r="BU2" s="248" t="s">
        <v>141</v>
      </c>
      <c r="BV2" s="176" t="s">
        <v>301</v>
      </c>
      <c r="BW2" s="176" t="s">
        <v>302</v>
      </c>
      <c r="BX2" s="176" t="s">
        <v>303</v>
      </c>
      <c r="BY2" s="176" t="s">
        <v>304</v>
      </c>
      <c r="BZ2" s="176" t="s">
        <v>305</v>
      </c>
      <c r="CA2" s="176" t="s">
        <v>306</v>
      </c>
      <c r="CB2" s="176" t="s">
        <v>307</v>
      </c>
      <c r="CC2" s="176" t="s">
        <v>308</v>
      </c>
      <c r="CD2" s="176" t="s">
        <v>309</v>
      </c>
      <c r="CE2" s="176" t="s">
        <v>310</v>
      </c>
      <c r="CF2" s="176" t="s">
        <v>311</v>
      </c>
      <c r="CG2" s="176" t="s">
        <v>312</v>
      </c>
      <c r="CH2" s="176" t="s">
        <v>313</v>
      </c>
      <c r="CI2" s="176" t="s">
        <v>314</v>
      </c>
      <c r="CJ2" s="176" t="s">
        <v>315</v>
      </c>
      <c r="CK2" s="176" t="s">
        <v>316</v>
      </c>
      <c r="CL2" s="176" t="s">
        <v>317</v>
      </c>
      <c r="CM2" s="176" t="s">
        <v>318</v>
      </c>
      <c r="CN2" s="176" t="s">
        <v>319</v>
      </c>
      <c r="CO2" s="176" t="s">
        <v>320</v>
      </c>
      <c r="CP2" s="176" t="s">
        <v>321</v>
      </c>
      <c r="CQ2" s="176" t="s">
        <v>322</v>
      </c>
      <c r="CR2" s="176" t="s">
        <v>323</v>
      </c>
      <c r="CS2" s="176" t="s">
        <v>324</v>
      </c>
      <c r="CT2" s="176" t="s">
        <v>325</v>
      </c>
      <c r="CU2" s="176" t="s">
        <v>326</v>
      </c>
      <c r="CV2" s="176" t="s">
        <v>327</v>
      </c>
      <c r="CW2" s="176" t="s">
        <v>328</v>
      </c>
      <c r="CX2" s="176" t="s">
        <v>329</v>
      </c>
      <c r="CY2" s="176" t="s">
        <v>330</v>
      </c>
      <c r="CZ2" s="176" t="s">
        <v>331</v>
      </c>
      <c r="DA2" s="248" t="s">
        <v>142</v>
      </c>
      <c r="DB2" s="176" t="s">
        <v>301</v>
      </c>
      <c r="DC2" s="176" t="s">
        <v>302</v>
      </c>
      <c r="DD2" s="176" t="s">
        <v>303</v>
      </c>
      <c r="DE2" s="176" t="s">
        <v>304</v>
      </c>
      <c r="DF2" s="176" t="s">
        <v>305</v>
      </c>
      <c r="DG2" s="176" t="s">
        <v>306</v>
      </c>
      <c r="DH2" s="176" t="s">
        <v>307</v>
      </c>
      <c r="DI2" s="176" t="s">
        <v>308</v>
      </c>
      <c r="DJ2" s="176" t="s">
        <v>309</v>
      </c>
      <c r="DK2" s="176" t="s">
        <v>310</v>
      </c>
      <c r="DL2" s="176" t="s">
        <v>311</v>
      </c>
      <c r="DM2" s="176" t="s">
        <v>312</v>
      </c>
      <c r="DN2" s="176" t="s">
        <v>313</v>
      </c>
      <c r="DO2" s="176" t="s">
        <v>314</v>
      </c>
      <c r="DP2" s="176" t="s">
        <v>315</v>
      </c>
      <c r="DQ2" s="176" t="s">
        <v>316</v>
      </c>
      <c r="DR2" s="176" t="s">
        <v>317</v>
      </c>
      <c r="DS2" s="176" t="s">
        <v>318</v>
      </c>
      <c r="DT2" s="176" t="s">
        <v>319</v>
      </c>
      <c r="DU2" s="176" t="s">
        <v>320</v>
      </c>
      <c r="DV2" s="176" t="s">
        <v>321</v>
      </c>
      <c r="DW2" s="176" t="s">
        <v>322</v>
      </c>
      <c r="DX2" s="176" t="s">
        <v>323</v>
      </c>
      <c r="DY2" s="176" t="s">
        <v>324</v>
      </c>
      <c r="DZ2" s="176" t="s">
        <v>325</v>
      </c>
      <c r="EA2" s="176" t="s">
        <v>326</v>
      </c>
      <c r="EB2" s="176" t="s">
        <v>327</v>
      </c>
      <c r="EC2" s="176" t="s">
        <v>328</v>
      </c>
      <c r="ED2" s="176" t="s">
        <v>329</v>
      </c>
      <c r="EE2" s="176" t="s">
        <v>330</v>
      </c>
      <c r="EF2" s="176" t="s">
        <v>331</v>
      </c>
      <c r="EG2" s="248" t="s">
        <v>143</v>
      </c>
    </row>
    <row r="3" ht="14.25" customHeight="1" spans="1:153" x14ac:dyDescent="0.25">
      <c r="A3" s="249" t="str">
        <f t="shared" ref="A3:A35" si="0">EI3&amp;EH3&amp;EM3</f>
        <v>86790-0K051BP</v>
      </c>
      <c r="B3" s="177" t="s">
        <v>150</v>
      </c>
      <c r="C3" s="177" t="s">
        <v>172</v>
      </c>
      <c r="D3" s="177" t="s">
        <v>173</v>
      </c>
      <c r="E3" s="177" t="s">
        <v>332</v>
      </c>
      <c r="F3" s="177" t="s">
        <v>333</v>
      </c>
      <c r="G3" s="177" t="s">
        <v>174</v>
      </c>
      <c r="H3" s="177" t="s">
        <v>154</v>
      </c>
      <c r="I3" s="178">
        <v>25</v>
      </c>
      <c r="J3" s="183">
        <v>0</v>
      </c>
      <c r="K3" s="183">
        <v>0</v>
      </c>
      <c r="L3" s="183">
        <v>0</v>
      </c>
      <c r="M3" s="183">
        <v>0</v>
      </c>
      <c r="N3" s="183">
        <v>55</v>
      </c>
      <c r="O3" s="183">
        <v>112</v>
      </c>
      <c r="P3" s="183">
        <v>109</v>
      </c>
      <c r="Q3" s="183">
        <v>110</v>
      </c>
      <c r="R3" s="183">
        <v>109</v>
      </c>
      <c r="S3" s="183">
        <v>0</v>
      </c>
      <c r="T3" s="183">
        <v>0</v>
      </c>
      <c r="U3" s="183">
        <v>108</v>
      </c>
      <c r="V3" s="183">
        <v>106</v>
      </c>
      <c r="W3" s="183">
        <v>111</v>
      </c>
      <c r="X3" s="183">
        <v>105</v>
      </c>
      <c r="Y3" s="183">
        <v>112</v>
      </c>
      <c r="Z3" s="183">
        <v>102</v>
      </c>
      <c r="AA3" s="183">
        <v>0</v>
      </c>
      <c r="AB3" s="183">
        <v>113</v>
      </c>
      <c r="AC3" s="183">
        <v>106</v>
      </c>
      <c r="AD3" s="183">
        <v>109</v>
      </c>
      <c r="AE3" s="183">
        <v>106</v>
      </c>
      <c r="AF3" s="183">
        <v>97</v>
      </c>
      <c r="AG3" s="183">
        <v>0</v>
      </c>
      <c r="AH3" s="183">
        <v>0</v>
      </c>
      <c r="AI3" s="183">
        <v>111</v>
      </c>
      <c r="AJ3" s="183">
        <v>108</v>
      </c>
      <c r="AK3" s="183">
        <v>106</v>
      </c>
      <c r="AL3" s="183">
        <v>104</v>
      </c>
      <c r="AM3" s="183">
        <v>104</v>
      </c>
      <c r="AN3" s="183">
        <v>93</v>
      </c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3"/>
      <c r="BL3" s="183"/>
      <c r="BM3" s="183"/>
      <c r="BN3" s="183"/>
      <c r="BO3" s="183"/>
      <c r="BP3" s="183"/>
      <c r="BQ3" s="183"/>
      <c r="BR3" s="183"/>
      <c r="BS3" s="183"/>
      <c r="BT3" s="183"/>
      <c r="BU3" s="183"/>
      <c r="BV3" s="183"/>
      <c r="BW3" s="183"/>
      <c r="BX3" s="183"/>
      <c r="BY3" s="183"/>
      <c r="BZ3" s="183"/>
      <c r="CA3" s="183"/>
      <c r="CB3" s="183"/>
      <c r="CC3" s="183"/>
      <c r="CD3" s="183"/>
      <c r="CE3" s="183"/>
      <c r="CF3" s="183"/>
      <c r="CG3" s="183"/>
      <c r="CH3" s="183"/>
      <c r="CI3" s="183"/>
      <c r="CJ3" s="183"/>
      <c r="CK3" s="183"/>
      <c r="CL3" s="183"/>
      <c r="CM3" s="183"/>
      <c r="CN3" s="183"/>
      <c r="CO3" s="183"/>
      <c r="CP3" s="183"/>
      <c r="CQ3" s="183"/>
      <c r="CR3" s="183"/>
      <c r="CS3" s="183"/>
      <c r="CT3" s="183"/>
      <c r="CU3" s="183"/>
      <c r="CV3" s="183"/>
      <c r="CW3" s="183"/>
      <c r="CX3" s="183"/>
      <c r="CY3" s="183"/>
      <c r="CZ3" s="183"/>
      <c r="DA3" s="183"/>
      <c r="DB3" s="183"/>
      <c r="DC3" s="183"/>
      <c r="DD3" s="183"/>
      <c r="DE3" s="183"/>
      <c r="DF3" s="183"/>
      <c r="DG3" s="183"/>
      <c r="DH3" s="183"/>
      <c r="DI3" s="183"/>
      <c r="DJ3" s="183"/>
      <c r="DK3" s="183"/>
      <c r="DL3" s="183"/>
      <c r="DM3" s="183"/>
      <c r="DN3" s="183"/>
      <c r="DO3" s="183"/>
      <c r="DP3" s="183"/>
      <c r="DQ3" s="183"/>
      <c r="DR3" s="183"/>
      <c r="DS3" s="183"/>
      <c r="DT3" s="183"/>
      <c r="DU3" s="183"/>
      <c r="DV3" s="183"/>
      <c r="DW3" s="183"/>
      <c r="DX3" s="183"/>
      <c r="DY3" s="183"/>
      <c r="DZ3" s="183"/>
      <c r="EA3" s="183"/>
      <c r="EB3" s="183"/>
      <c r="EC3" s="183"/>
      <c r="ED3" s="183"/>
      <c r="EE3" s="183"/>
      <c r="EF3" s="183"/>
      <c r="EG3" s="183"/>
      <c r="EH3" s="249" t="s">
        <v>65</v>
      </c>
      <c r="EI3" s="136" t="str">
        <f t="shared" ref="EI3:EI56" si="1">LEFT(B3,11)</f>
        <v>86790-0K051</v>
      </c>
      <c r="EJ3" s="250" t="s">
        <v>101</v>
      </c>
      <c r="EK3" s="136" t="str">
        <f>VLOOKUP(EJ3,'By Plant'!B:D,3,0)</f>
        <v>BP</v>
      </c>
      <c r="EL3" s="136" t="str">
        <f t="shared" ref="EL3:EL56" si="2">LEFT(B3,11)&amp;EH3&amp;G3</f>
        <v>86790-0K051BPP1</v>
      </c>
      <c r="EM3" s="136">
        <f t="shared" ref="EM3:EM33" si="3">IFERROR(VLOOKUP(EL3,$EQ$5:$ER$12,2,0),"")</f>
      </c>
      <c r="ER3" s="247" t="b">
        <v>1</v>
      </c>
      <c r="ES3" s="247" t="s">
        <v>150</v>
      </c>
      <c r="ET3" s="247">
        <v>9673</v>
      </c>
      <c r="EU3" s="247">
        <v>12094</v>
      </c>
      <c r="EV3" s="247">
        <v>8906</v>
      </c>
      <c r="EW3" s="247">
        <v>3950</v>
      </c>
    </row>
    <row r="4" ht="14.25" customHeight="1" spans="1:153" x14ac:dyDescent="0.25">
      <c r="A4" s="249" t="str">
        <f t="shared" si="0"/>
        <v>86790-0K080BP</v>
      </c>
      <c r="B4" s="177" t="s">
        <v>22</v>
      </c>
      <c r="C4" s="177" t="s">
        <v>178</v>
      </c>
      <c r="D4" s="177" t="s">
        <v>173</v>
      </c>
      <c r="E4" s="177" t="s">
        <v>332</v>
      </c>
      <c r="F4" s="177" t="s">
        <v>333</v>
      </c>
      <c r="G4" s="177" t="s">
        <v>174</v>
      </c>
      <c r="H4" s="177" t="s">
        <v>154</v>
      </c>
      <c r="I4" s="178">
        <v>42</v>
      </c>
      <c r="J4" s="183">
        <v>0</v>
      </c>
      <c r="K4" s="183">
        <v>0</v>
      </c>
      <c r="L4" s="183">
        <v>0</v>
      </c>
      <c r="M4" s="183">
        <v>0</v>
      </c>
      <c r="N4" s="183">
        <v>65</v>
      </c>
      <c r="O4" s="183">
        <v>18</v>
      </c>
      <c r="P4" s="183">
        <v>15</v>
      </c>
      <c r="Q4" s="183">
        <v>16</v>
      </c>
      <c r="R4" s="183">
        <v>20</v>
      </c>
      <c r="S4" s="183">
        <v>0</v>
      </c>
      <c r="T4" s="183">
        <v>0</v>
      </c>
      <c r="U4" s="183">
        <v>17</v>
      </c>
      <c r="V4" s="183">
        <v>21</v>
      </c>
      <c r="W4" s="183">
        <v>16</v>
      </c>
      <c r="X4" s="183">
        <v>17</v>
      </c>
      <c r="Y4" s="183">
        <v>17</v>
      </c>
      <c r="Z4" s="183">
        <v>16</v>
      </c>
      <c r="AA4" s="183">
        <v>0</v>
      </c>
      <c r="AB4" s="183">
        <v>21</v>
      </c>
      <c r="AC4" s="183">
        <v>17</v>
      </c>
      <c r="AD4" s="183">
        <v>18</v>
      </c>
      <c r="AE4" s="183">
        <v>16</v>
      </c>
      <c r="AF4" s="183">
        <v>14</v>
      </c>
      <c r="AG4" s="183">
        <v>0</v>
      </c>
      <c r="AH4" s="183">
        <v>0</v>
      </c>
      <c r="AI4" s="183">
        <v>21</v>
      </c>
      <c r="AJ4" s="183">
        <v>17</v>
      </c>
      <c r="AK4" s="183">
        <v>18</v>
      </c>
      <c r="AL4" s="183">
        <v>17</v>
      </c>
      <c r="AM4" s="183">
        <v>15</v>
      </c>
      <c r="AN4" s="183">
        <v>16</v>
      </c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83"/>
      <c r="BY4" s="183"/>
      <c r="BZ4" s="183"/>
      <c r="CA4" s="183"/>
      <c r="CB4" s="183"/>
      <c r="CC4" s="183"/>
      <c r="CD4" s="183"/>
      <c r="CE4" s="183"/>
      <c r="CF4" s="183"/>
      <c r="CG4" s="183"/>
      <c r="CH4" s="183"/>
      <c r="CI4" s="183"/>
      <c r="CJ4" s="183"/>
      <c r="CK4" s="183"/>
      <c r="CL4" s="183"/>
      <c r="CM4" s="183"/>
      <c r="CN4" s="183"/>
      <c r="CO4" s="183"/>
      <c r="CP4" s="183"/>
      <c r="CQ4" s="183"/>
      <c r="CR4" s="183"/>
      <c r="CS4" s="183"/>
      <c r="CT4" s="183"/>
      <c r="CU4" s="183"/>
      <c r="CV4" s="183"/>
      <c r="CW4" s="183"/>
      <c r="CX4" s="183"/>
      <c r="CY4" s="183"/>
      <c r="CZ4" s="183"/>
      <c r="DA4" s="183"/>
      <c r="DB4" s="183"/>
      <c r="DC4" s="183"/>
      <c r="DD4" s="183"/>
      <c r="DE4" s="183"/>
      <c r="DF4" s="183"/>
      <c r="DG4" s="183"/>
      <c r="DH4" s="183"/>
      <c r="DI4" s="183"/>
      <c r="DJ4" s="183"/>
      <c r="DK4" s="183"/>
      <c r="DL4" s="183"/>
      <c r="DM4" s="183"/>
      <c r="DN4" s="183"/>
      <c r="DO4" s="183"/>
      <c r="DP4" s="183"/>
      <c r="DQ4" s="183"/>
      <c r="DR4" s="183"/>
      <c r="DS4" s="183"/>
      <c r="DT4" s="183"/>
      <c r="DU4" s="183"/>
      <c r="DV4" s="183"/>
      <c r="DW4" s="183"/>
      <c r="DX4" s="183"/>
      <c r="DY4" s="183"/>
      <c r="DZ4" s="183"/>
      <c r="EA4" s="183"/>
      <c r="EB4" s="183"/>
      <c r="EC4" s="183"/>
      <c r="ED4" s="183"/>
      <c r="EE4" s="183"/>
      <c r="EF4" s="183"/>
      <c r="EG4" s="183"/>
      <c r="EH4" s="249" t="s">
        <v>65</v>
      </c>
      <c r="EI4" s="136" t="str">
        <f t="shared" si="1"/>
        <v>86790-0K080</v>
      </c>
      <c r="EJ4" s="250" t="s">
        <v>59</v>
      </c>
      <c r="EK4" s="136" t="str">
        <f>VLOOKUP(EJ4,'By Plant'!B:D,3,0)</f>
        <v>SR</v>
      </c>
      <c r="EL4" s="136" t="str">
        <f t="shared" si="2"/>
        <v>86790-0K080BPP1</v>
      </c>
      <c r="EM4" s="136">
        <f t="shared" si="3"/>
      </c>
      <c r="ER4" s="247" t="b">
        <v>1</v>
      </c>
      <c r="ES4" s="247" t="s">
        <v>22</v>
      </c>
      <c r="ET4" s="247">
        <v>975</v>
      </c>
      <c r="EU4" s="247">
        <v>1237</v>
      </c>
      <c r="EV4" s="247">
        <v>1084</v>
      </c>
      <c r="EW4" s="247">
        <v>451</v>
      </c>
    </row>
    <row r="5" ht="14.25" customHeight="1" spans="1:153" x14ac:dyDescent="0.25">
      <c r="A5" s="249" t="str">
        <f t="shared" si="0"/>
        <v>86790-0K110BP</v>
      </c>
      <c r="B5" s="177" t="s">
        <v>23</v>
      </c>
      <c r="C5" s="177" t="s">
        <v>180</v>
      </c>
      <c r="D5" s="177" t="s">
        <v>173</v>
      </c>
      <c r="E5" s="177" t="s">
        <v>332</v>
      </c>
      <c r="F5" s="177" t="s">
        <v>333</v>
      </c>
      <c r="G5" s="177" t="s">
        <v>174</v>
      </c>
      <c r="H5" s="177" t="s">
        <v>154</v>
      </c>
      <c r="I5" s="178">
        <v>18</v>
      </c>
      <c r="J5" s="183">
        <v>0</v>
      </c>
      <c r="K5" s="183">
        <v>0</v>
      </c>
      <c r="L5" s="183">
        <v>0</v>
      </c>
      <c r="M5" s="183">
        <v>0</v>
      </c>
      <c r="N5" s="183">
        <v>33</v>
      </c>
      <c r="O5" s="183">
        <v>42</v>
      </c>
      <c r="P5" s="183">
        <v>41</v>
      </c>
      <c r="Q5" s="183">
        <v>40</v>
      </c>
      <c r="R5" s="183">
        <v>41</v>
      </c>
      <c r="S5" s="183">
        <v>0</v>
      </c>
      <c r="T5" s="183">
        <v>0</v>
      </c>
      <c r="U5" s="183">
        <v>43</v>
      </c>
      <c r="V5" s="183">
        <v>38</v>
      </c>
      <c r="W5" s="183">
        <v>41</v>
      </c>
      <c r="X5" s="183">
        <v>39</v>
      </c>
      <c r="Y5" s="183">
        <v>41</v>
      </c>
      <c r="Z5" s="183">
        <v>38</v>
      </c>
      <c r="AA5" s="183">
        <v>0</v>
      </c>
      <c r="AB5" s="183">
        <v>39</v>
      </c>
      <c r="AC5" s="183">
        <v>40</v>
      </c>
      <c r="AD5" s="183">
        <v>43</v>
      </c>
      <c r="AE5" s="183">
        <v>37</v>
      </c>
      <c r="AF5" s="183">
        <v>35</v>
      </c>
      <c r="AG5" s="183">
        <v>0</v>
      </c>
      <c r="AH5" s="183">
        <v>0</v>
      </c>
      <c r="AI5" s="183">
        <v>39</v>
      </c>
      <c r="AJ5" s="183">
        <v>42</v>
      </c>
      <c r="AK5" s="183">
        <v>36</v>
      </c>
      <c r="AL5" s="183">
        <v>39</v>
      </c>
      <c r="AM5" s="183">
        <v>39</v>
      </c>
      <c r="AN5" s="183">
        <v>34</v>
      </c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83"/>
      <c r="CR5" s="183"/>
      <c r="CS5" s="183"/>
      <c r="CT5" s="183"/>
      <c r="CU5" s="183"/>
      <c r="CV5" s="183"/>
      <c r="CW5" s="183"/>
      <c r="CX5" s="183"/>
      <c r="CY5" s="183"/>
      <c r="CZ5" s="183"/>
      <c r="DA5" s="183"/>
      <c r="DB5" s="183"/>
      <c r="DC5" s="183"/>
      <c r="DD5" s="183"/>
      <c r="DE5" s="183"/>
      <c r="DF5" s="183"/>
      <c r="DG5" s="183"/>
      <c r="DH5" s="183"/>
      <c r="DI5" s="183"/>
      <c r="DJ5" s="183"/>
      <c r="DK5" s="183"/>
      <c r="DL5" s="183"/>
      <c r="DM5" s="183"/>
      <c r="DN5" s="183"/>
      <c r="DO5" s="183"/>
      <c r="DP5" s="183"/>
      <c r="DQ5" s="183"/>
      <c r="DR5" s="183"/>
      <c r="DS5" s="183"/>
      <c r="DT5" s="183"/>
      <c r="DU5" s="183"/>
      <c r="DV5" s="183"/>
      <c r="DW5" s="183"/>
      <c r="DX5" s="183"/>
      <c r="DY5" s="183"/>
      <c r="DZ5" s="183"/>
      <c r="EA5" s="183"/>
      <c r="EB5" s="183"/>
      <c r="EC5" s="183"/>
      <c r="ED5" s="183"/>
      <c r="EE5" s="183"/>
      <c r="EF5" s="183"/>
      <c r="EG5" s="183"/>
      <c r="EH5" s="249" t="s">
        <v>65</v>
      </c>
      <c r="EI5" s="136" t="str">
        <f t="shared" si="1"/>
        <v>86790-0K110</v>
      </c>
      <c r="EJ5" s="250" t="s">
        <v>67</v>
      </c>
      <c r="EK5" s="136" t="str">
        <f>VLOOKUP(EJ5,'By Plant'!B:D,3,0)</f>
        <v>BP</v>
      </c>
      <c r="EL5" s="136" t="str">
        <f t="shared" si="2"/>
        <v>86790-0K110BPP1</v>
      </c>
      <c r="EM5" s="136">
        <f t="shared" si="3"/>
      </c>
      <c r="EN5" s="250" t="s">
        <v>54</v>
      </c>
      <c r="EO5" s="136" t="s">
        <v>62</v>
      </c>
      <c r="EP5" s="136" t="s">
        <v>196</v>
      </c>
      <c r="EQ5" s="136" t="str">
        <f t="shared" ref="EQ5:EQ12" si="4">LEFT(EN5,11)&amp;EO5&amp;EP5</f>
        <v>86790-0K050BPKB2</v>
      </c>
      <c r="ER5" s="249" t="b">
        <v>1</v>
      </c>
      <c r="ES5" s="247" t="s">
        <v>23</v>
      </c>
      <c r="ET5" s="247">
        <v>8051</v>
      </c>
      <c r="EU5" s="247">
        <v>8078</v>
      </c>
      <c r="EV5" s="247">
        <v>5797</v>
      </c>
      <c r="EW5" s="247">
        <v>5615</v>
      </c>
    </row>
    <row r="6" ht="14.25" customHeight="1" spans="1:153" x14ac:dyDescent="0.25">
      <c r="A6" s="249" t="str">
        <f t="shared" si="0"/>
        <v>86790-0K141BP</v>
      </c>
      <c r="B6" s="177" t="s">
        <v>161</v>
      </c>
      <c r="C6" s="177" t="s">
        <v>181</v>
      </c>
      <c r="D6" s="177" t="s">
        <v>173</v>
      </c>
      <c r="E6" s="177" t="s">
        <v>332</v>
      </c>
      <c r="F6" s="177" t="s">
        <v>333</v>
      </c>
      <c r="G6" s="177" t="s">
        <v>174</v>
      </c>
      <c r="H6" s="177" t="s">
        <v>154</v>
      </c>
      <c r="I6" s="178">
        <v>8</v>
      </c>
      <c r="J6" s="183">
        <v>0</v>
      </c>
      <c r="K6" s="183">
        <v>0</v>
      </c>
      <c r="L6" s="183">
        <v>0</v>
      </c>
      <c r="M6" s="183">
        <v>0</v>
      </c>
      <c r="N6" s="183">
        <v>0</v>
      </c>
      <c r="O6" s="183">
        <v>19</v>
      </c>
      <c r="P6" s="183">
        <v>22</v>
      </c>
      <c r="Q6" s="183">
        <v>18</v>
      </c>
      <c r="R6" s="183">
        <v>22</v>
      </c>
      <c r="S6" s="183">
        <v>0</v>
      </c>
      <c r="T6" s="183">
        <v>0</v>
      </c>
      <c r="U6" s="183">
        <v>18</v>
      </c>
      <c r="V6" s="183">
        <v>20</v>
      </c>
      <c r="W6" s="183">
        <v>20</v>
      </c>
      <c r="X6" s="183">
        <v>20</v>
      </c>
      <c r="Y6" s="183">
        <v>20</v>
      </c>
      <c r="Z6" s="183">
        <v>14</v>
      </c>
      <c r="AA6" s="183">
        <v>0</v>
      </c>
      <c r="AB6" s="183">
        <v>20</v>
      </c>
      <c r="AC6" s="183">
        <v>17</v>
      </c>
      <c r="AD6" s="183">
        <v>20</v>
      </c>
      <c r="AE6" s="183">
        <v>21</v>
      </c>
      <c r="AF6" s="183">
        <v>18</v>
      </c>
      <c r="AG6" s="183">
        <v>0</v>
      </c>
      <c r="AH6" s="183">
        <v>0</v>
      </c>
      <c r="AI6" s="183">
        <v>19</v>
      </c>
      <c r="AJ6" s="183">
        <v>19</v>
      </c>
      <c r="AK6" s="183">
        <v>19</v>
      </c>
      <c r="AL6" s="183">
        <v>20</v>
      </c>
      <c r="AM6" s="183">
        <v>22</v>
      </c>
      <c r="AN6" s="183">
        <v>15</v>
      </c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L6" s="183"/>
      <c r="BM6" s="183"/>
      <c r="BN6" s="183"/>
      <c r="BO6" s="183"/>
      <c r="BP6" s="183"/>
      <c r="BQ6" s="183"/>
      <c r="BR6" s="183"/>
      <c r="BS6" s="183"/>
      <c r="BT6" s="183"/>
      <c r="BU6" s="183"/>
      <c r="BV6" s="183"/>
      <c r="BW6" s="183"/>
      <c r="BX6" s="183"/>
      <c r="BY6" s="183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  <c r="CP6" s="183"/>
      <c r="CQ6" s="183"/>
      <c r="CR6" s="183"/>
      <c r="CS6" s="183"/>
      <c r="CT6" s="183"/>
      <c r="CU6" s="183"/>
      <c r="CV6" s="183"/>
      <c r="CW6" s="183"/>
      <c r="CX6" s="183"/>
      <c r="CY6" s="183"/>
      <c r="CZ6" s="183"/>
      <c r="DA6" s="183"/>
      <c r="DB6" s="183"/>
      <c r="DC6" s="183"/>
      <c r="DD6" s="183"/>
      <c r="DE6" s="183"/>
      <c r="DF6" s="183"/>
      <c r="DG6" s="183"/>
      <c r="DH6" s="183"/>
      <c r="DI6" s="183"/>
      <c r="DJ6" s="183"/>
      <c r="DK6" s="183"/>
      <c r="DL6" s="183"/>
      <c r="DM6" s="183"/>
      <c r="DN6" s="183"/>
      <c r="DO6" s="183"/>
      <c r="DP6" s="183"/>
      <c r="DQ6" s="183"/>
      <c r="DR6" s="183"/>
      <c r="DS6" s="183"/>
      <c r="DT6" s="183"/>
      <c r="DU6" s="183"/>
      <c r="DV6" s="183"/>
      <c r="DW6" s="183"/>
      <c r="DX6" s="183"/>
      <c r="DY6" s="183"/>
      <c r="DZ6" s="183"/>
      <c r="EA6" s="183"/>
      <c r="EB6" s="183"/>
      <c r="EC6" s="183"/>
      <c r="ED6" s="183"/>
      <c r="EE6" s="183"/>
      <c r="EF6" s="183"/>
      <c r="EG6" s="183"/>
      <c r="EH6" s="249" t="s">
        <v>65</v>
      </c>
      <c r="EI6" s="136" t="str">
        <f t="shared" si="1"/>
        <v>86790-0K141</v>
      </c>
      <c r="EJ6" s="250" t="s">
        <v>39</v>
      </c>
      <c r="EK6" s="136" t="str">
        <f>VLOOKUP(EJ6,'By Plant'!B:D,3,0)</f>
        <v>BPK</v>
      </c>
      <c r="EL6" s="136" t="str">
        <f t="shared" si="2"/>
        <v>86790-0K141BPP1</v>
      </c>
      <c r="EM6" s="136">
        <f t="shared" si="3"/>
      </c>
      <c r="EN6" s="136" t="s">
        <v>67</v>
      </c>
      <c r="EO6" s="136" t="s">
        <v>62</v>
      </c>
      <c r="EP6" s="136" t="s">
        <v>207</v>
      </c>
      <c r="EQ6" s="136" t="str">
        <f t="shared" si="4"/>
        <v>86790-0K110BPKBN</v>
      </c>
      <c r="ER6" s="249" t="b">
        <v>1</v>
      </c>
      <c r="ES6" s="247" t="s">
        <v>212</v>
      </c>
      <c r="ET6" s="247">
        <v>240</v>
      </c>
      <c r="EU6" s="247">
        <v>360</v>
      </c>
      <c r="EV6" s="247">
        <v>200</v>
      </c>
      <c r="EW6" s="247">
        <v>20</v>
      </c>
    </row>
    <row r="7" ht="14.25" customHeight="1" spans="1:153" x14ac:dyDescent="0.25">
      <c r="A7" s="249" t="str">
        <f t="shared" si="0"/>
        <v>86790-0K171BP</v>
      </c>
      <c r="B7" s="177" t="s">
        <v>163</v>
      </c>
      <c r="C7" s="177" t="s">
        <v>183</v>
      </c>
      <c r="D7" s="177" t="s">
        <v>173</v>
      </c>
      <c r="E7" s="177" t="s">
        <v>332</v>
      </c>
      <c r="F7" s="177" t="s">
        <v>333</v>
      </c>
      <c r="G7" s="177" t="s">
        <v>174</v>
      </c>
      <c r="H7" s="177" t="s">
        <v>154</v>
      </c>
      <c r="I7" s="178">
        <v>8</v>
      </c>
      <c r="J7" s="183">
        <v>0</v>
      </c>
      <c r="K7" s="183">
        <v>0</v>
      </c>
      <c r="L7" s="183">
        <v>0</v>
      </c>
      <c r="M7" s="183">
        <v>0</v>
      </c>
      <c r="N7" s="183">
        <v>17</v>
      </c>
      <c r="O7" s="183">
        <v>22</v>
      </c>
      <c r="P7" s="183">
        <v>21</v>
      </c>
      <c r="Q7" s="183">
        <v>28</v>
      </c>
      <c r="R7" s="183">
        <v>17</v>
      </c>
      <c r="S7" s="183">
        <v>0</v>
      </c>
      <c r="T7" s="183">
        <v>0</v>
      </c>
      <c r="U7" s="183">
        <v>28</v>
      </c>
      <c r="V7" s="183">
        <v>21</v>
      </c>
      <c r="W7" s="183">
        <v>20</v>
      </c>
      <c r="X7" s="183">
        <v>24</v>
      </c>
      <c r="Y7" s="183">
        <v>24</v>
      </c>
      <c r="Z7" s="183">
        <v>26</v>
      </c>
      <c r="AA7" s="183">
        <v>0</v>
      </c>
      <c r="AB7" s="183">
        <v>19</v>
      </c>
      <c r="AC7" s="183">
        <v>20</v>
      </c>
      <c r="AD7" s="183">
        <v>25</v>
      </c>
      <c r="AE7" s="183">
        <v>23</v>
      </c>
      <c r="AF7" s="183">
        <v>22</v>
      </c>
      <c r="AG7" s="183">
        <v>0</v>
      </c>
      <c r="AH7" s="183">
        <v>0</v>
      </c>
      <c r="AI7" s="183">
        <v>21</v>
      </c>
      <c r="AJ7" s="183">
        <v>25</v>
      </c>
      <c r="AK7" s="183">
        <v>22</v>
      </c>
      <c r="AL7" s="183">
        <v>21</v>
      </c>
      <c r="AM7" s="183">
        <v>19</v>
      </c>
      <c r="AN7" s="183">
        <v>22</v>
      </c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  <c r="BU7" s="183"/>
      <c r="BV7" s="183"/>
      <c r="BW7" s="183"/>
      <c r="BX7" s="183"/>
      <c r="BY7" s="183"/>
      <c r="BZ7" s="183"/>
      <c r="CA7" s="183"/>
      <c r="CB7" s="183"/>
      <c r="CC7" s="183"/>
      <c r="CD7" s="183"/>
      <c r="CE7" s="183"/>
      <c r="CF7" s="183"/>
      <c r="CG7" s="183"/>
      <c r="CH7" s="183"/>
      <c r="CI7" s="183"/>
      <c r="CJ7" s="183"/>
      <c r="CK7" s="183"/>
      <c r="CL7" s="183"/>
      <c r="CM7" s="183"/>
      <c r="CN7" s="183"/>
      <c r="CO7" s="183"/>
      <c r="CP7" s="183"/>
      <c r="CQ7" s="183"/>
      <c r="CR7" s="183"/>
      <c r="CS7" s="183"/>
      <c r="CT7" s="183"/>
      <c r="CU7" s="183"/>
      <c r="CV7" s="183"/>
      <c r="CW7" s="183"/>
      <c r="CX7" s="183"/>
      <c r="CY7" s="183"/>
      <c r="CZ7" s="183"/>
      <c r="DA7" s="183"/>
      <c r="DB7" s="183"/>
      <c r="DC7" s="183"/>
      <c r="DD7" s="183"/>
      <c r="DE7" s="183"/>
      <c r="DF7" s="183"/>
      <c r="DG7" s="183"/>
      <c r="DH7" s="183"/>
      <c r="DI7" s="183"/>
      <c r="DJ7" s="183"/>
      <c r="DK7" s="183"/>
      <c r="DL7" s="183"/>
      <c r="DM7" s="183"/>
      <c r="DN7" s="183"/>
      <c r="DO7" s="183"/>
      <c r="DP7" s="183"/>
      <c r="DQ7" s="183"/>
      <c r="DR7" s="183"/>
      <c r="DS7" s="183"/>
      <c r="DT7" s="183"/>
      <c r="DU7" s="183"/>
      <c r="DV7" s="183"/>
      <c r="DW7" s="183"/>
      <c r="DX7" s="183"/>
      <c r="DY7" s="183"/>
      <c r="DZ7" s="183"/>
      <c r="EA7" s="183"/>
      <c r="EB7" s="183"/>
      <c r="EC7" s="183"/>
      <c r="ED7" s="183"/>
      <c r="EE7" s="183"/>
      <c r="EF7" s="183"/>
      <c r="EG7" s="183"/>
      <c r="EH7" s="249" t="s">
        <v>65</v>
      </c>
      <c r="EI7" s="136" t="str">
        <f t="shared" si="1"/>
        <v>86790-0K171</v>
      </c>
      <c r="EJ7" s="250" t="s">
        <v>41</v>
      </c>
      <c r="EK7" s="136" t="str">
        <f>VLOOKUP(EJ7,'By Plant'!B:D,3,0)</f>
        <v>SR</v>
      </c>
      <c r="EL7" s="136" t="str">
        <f t="shared" si="2"/>
        <v>86790-0K171BPP1</v>
      </c>
      <c r="EM7" s="136">
        <f t="shared" si="3"/>
      </c>
      <c r="EN7" s="136" t="s">
        <v>150</v>
      </c>
      <c r="EO7" s="136" t="s">
        <v>62</v>
      </c>
      <c r="EP7" s="136" t="s">
        <v>202</v>
      </c>
      <c r="EQ7" s="136" t="str">
        <f t="shared" si="4"/>
        <v>86790-0K051BPKD1</v>
      </c>
      <c r="ER7" s="249" t="b">
        <v>1</v>
      </c>
      <c r="ES7" s="247" t="s">
        <v>161</v>
      </c>
      <c r="ET7" s="247">
        <v>1946</v>
      </c>
      <c r="EU7" s="247">
        <v>2404</v>
      </c>
      <c r="EV7" s="247">
        <v>1451</v>
      </c>
      <c r="EW7" s="247">
        <v>912</v>
      </c>
    </row>
    <row r="8" ht="14.25" customHeight="1" spans="1:153" x14ac:dyDescent="0.25">
      <c r="A8" s="249" t="str">
        <f t="shared" si="0"/>
        <v>86790-0K181BP</v>
      </c>
      <c r="B8" s="177" t="s">
        <v>184</v>
      </c>
      <c r="C8" s="177" t="s">
        <v>185</v>
      </c>
      <c r="D8" s="177" t="s">
        <v>173</v>
      </c>
      <c r="E8" s="177" t="s">
        <v>332</v>
      </c>
      <c r="F8" s="177" t="s">
        <v>333</v>
      </c>
      <c r="G8" s="177" t="s">
        <v>174</v>
      </c>
      <c r="H8" s="177" t="s">
        <v>154</v>
      </c>
      <c r="I8" s="178">
        <v>8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4</v>
      </c>
      <c r="P8" s="183">
        <v>3</v>
      </c>
      <c r="Q8" s="183">
        <v>4</v>
      </c>
      <c r="R8" s="183">
        <v>3</v>
      </c>
      <c r="S8" s="183">
        <v>0</v>
      </c>
      <c r="T8" s="183">
        <v>0</v>
      </c>
      <c r="U8" s="183">
        <v>3</v>
      </c>
      <c r="V8" s="183">
        <v>4</v>
      </c>
      <c r="W8" s="183">
        <v>3</v>
      </c>
      <c r="X8" s="183">
        <v>3</v>
      </c>
      <c r="Y8" s="183">
        <v>3</v>
      </c>
      <c r="Z8" s="183">
        <v>2</v>
      </c>
      <c r="AA8" s="183">
        <v>0</v>
      </c>
      <c r="AB8" s="183">
        <v>4</v>
      </c>
      <c r="AC8" s="183">
        <v>4</v>
      </c>
      <c r="AD8" s="183">
        <v>3</v>
      </c>
      <c r="AE8" s="183">
        <v>3</v>
      </c>
      <c r="AF8" s="183">
        <v>2</v>
      </c>
      <c r="AG8" s="183">
        <v>0</v>
      </c>
      <c r="AH8" s="183">
        <v>0</v>
      </c>
      <c r="AI8" s="183">
        <v>4</v>
      </c>
      <c r="AJ8" s="183">
        <v>4</v>
      </c>
      <c r="AK8" s="183">
        <v>3</v>
      </c>
      <c r="AL8" s="183">
        <v>3</v>
      </c>
      <c r="AM8" s="183">
        <v>4</v>
      </c>
      <c r="AN8" s="183">
        <v>2</v>
      </c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3"/>
      <c r="CU8" s="183"/>
      <c r="CV8" s="183"/>
      <c r="CW8" s="183"/>
      <c r="CX8" s="183"/>
      <c r="CY8" s="183"/>
      <c r="CZ8" s="183"/>
      <c r="DA8" s="183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3"/>
      <c r="DM8" s="183"/>
      <c r="DN8" s="183"/>
      <c r="DO8" s="183"/>
      <c r="DP8" s="183"/>
      <c r="DQ8" s="183"/>
      <c r="DR8" s="183"/>
      <c r="DS8" s="183"/>
      <c r="DT8" s="183"/>
      <c r="DU8" s="183"/>
      <c r="DV8" s="183"/>
      <c r="DW8" s="183"/>
      <c r="DX8" s="183"/>
      <c r="DY8" s="183"/>
      <c r="DZ8" s="183"/>
      <c r="EA8" s="183"/>
      <c r="EB8" s="183"/>
      <c r="EC8" s="183"/>
      <c r="ED8" s="183"/>
      <c r="EE8" s="183"/>
      <c r="EF8" s="183"/>
      <c r="EG8" s="183"/>
      <c r="EH8" s="249" t="s">
        <v>65</v>
      </c>
      <c r="EI8" s="136" t="str">
        <f t="shared" si="1"/>
        <v>86790-0K181</v>
      </c>
      <c r="EJ8" s="250" t="s">
        <v>42</v>
      </c>
      <c r="EK8" s="136" t="str">
        <f>VLOOKUP(EJ8,'By Plant'!B:D,3,0)</f>
        <v>BP</v>
      </c>
      <c r="EL8" s="136" t="str">
        <f t="shared" si="2"/>
        <v>86790-0K181BPP1</v>
      </c>
      <c r="EM8" s="136">
        <f t="shared" si="3"/>
      </c>
      <c r="EN8" s="136" t="s">
        <v>150</v>
      </c>
      <c r="EO8" s="136" t="s">
        <v>62</v>
      </c>
      <c r="EP8" s="136" t="s">
        <v>207</v>
      </c>
      <c r="EQ8" s="136" t="str">
        <f t="shared" si="4"/>
        <v>86790-0K051BPKBN</v>
      </c>
      <c r="ER8" s="249" t="b">
        <v>1</v>
      </c>
      <c r="ES8" s="247" t="s">
        <v>163</v>
      </c>
      <c r="ET8" s="247">
        <v>1026</v>
      </c>
      <c r="EU8" s="247">
        <v>1077</v>
      </c>
      <c r="EV8" s="247">
        <v>1019</v>
      </c>
      <c r="EW8" s="247">
        <v>230</v>
      </c>
    </row>
    <row r="9" ht="14.25" customHeight="1" spans="1:153" x14ac:dyDescent="0.25">
      <c r="A9" s="249" t="str">
        <f t="shared" si="0"/>
        <v>86790-0K190BP</v>
      </c>
      <c r="B9" s="177" t="s">
        <v>186</v>
      </c>
      <c r="C9" s="177" t="s">
        <v>187</v>
      </c>
      <c r="D9" s="177" t="s">
        <v>173</v>
      </c>
      <c r="E9" s="177" t="s">
        <v>332</v>
      </c>
      <c r="F9" s="177" t="s">
        <v>333</v>
      </c>
      <c r="G9" s="177" t="s">
        <v>174</v>
      </c>
      <c r="H9" s="177" t="s">
        <v>154</v>
      </c>
      <c r="I9" s="178">
        <v>6</v>
      </c>
      <c r="J9" s="183">
        <v>0</v>
      </c>
      <c r="K9" s="183">
        <v>0</v>
      </c>
      <c r="L9" s="183">
        <v>0</v>
      </c>
      <c r="M9" s="183">
        <v>0</v>
      </c>
      <c r="N9" s="183">
        <v>16</v>
      </c>
      <c r="O9" s="183">
        <v>18</v>
      </c>
      <c r="P9" s="183">
        <v>17</v>
      </c>
      <c r="Q9" s="183">
        <v>18</v>
      </c>
      <c r="R9" s="183">
        <v>19</v>
      </c>
      <c r="S9" s="183">
        <v>0</v>
      </c>
      <c r="T9" s="183">
        <v>0</v>
      </c>
      <c r="U9" s="183">
        <v>18</v>
      </c>
      <c r="V9" s="183">
        <v>16</v>
      </c>
      <c r="W9" s="183">
        <v>20</v>
      </c>
      <c r="X9" s="183">
        <v>17</v>
      </c>
      <c r="Y9" s="183">
        <v>18</v>
      </c>
      <c r="Z9" s="183">
        <v>16</v>
      </c>
      <c r="AA9" s="183">
        <v>0</v>
      </c>
      <c r="AB9" s="183">
        <v>17</v>
      </c>
      <c r="AC9" s="183">
        <v>16</v>
      </c>
      <c r="AD9" s="183">
        <v>20</v>
      </c>
      <c r="AE9" s="183">
        <v>17</v>
      </c>
      <c r="AF9" s="183">
        <v>15</v>
      </c>
      <c r="AG9" s="183">
        <v>0</v>
      </c>
      <c r="AH9" s="183">
        <v>0</v>
      </c>
      <c r="AI9" s="183">
        <v>18</v>
      </c>
      <c r="AJ9" s="183">
        <v>19</v>
      </c>
      <c r="AK9" s="183">
        <v>17</v>
      </c>
      <c r="AL9" s="183">
        <v>17</v>
      </c>
      <c r="AM9" s="183">
        <v>17</v>
      </c>
      <c r="AN9" s="183">
        <v>16</v>
      </c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  <c r="CW9" s="183"/>
      <c r="CX9" s="183"/>
      <c r="CY9" s="183"/>
      <c r="CZ9" s="183"/>
      <c r="DA9" s="183"/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3"/>
      <c r="DM9" s="183"/>
      <c r="DN9" s="183"/>
      <c r="DO9" s="183"/>
      <c r="DP9" s="183"/>
      <c r="DQ9" s="183"/>
      <c r="DR9" s="183"/>
      <c r="DS9" s="183"/>
      <c r="DT9" s="183"/>
      <c r="DU9" s="183"/>
      <c r="DV9" s="183"/>
      <c r="DW9" s="183"/>
      <c r="DX9" s="183"/>
      <c r="DY9" s="183"/>
      <c r="DZ9" s="183"/>
      <c r="EA9" s="183"/>
      <c r="EB9" s="183"/>
      <c r="EC9" s="183"/>
      <c r="ED9" s="183"/>
      <c r="EE9" s="183"/>
      <c r="EF9" s="183"/>
      <c r="EG9" s="183"/>
      <c r="EH9" s="249" t="s">
        <v>65</v>
      </c>
      <c r="EI9" s="136" t="str">
        <f t="shared" si="1"/>
        <v>86790-0K190</v>
      </c>
      <c r="EJ9" s="250" t="s">
        <v>114</v>
      </c>
      <c r="EK9" s="136" t="str">
        <f>VLOOKUP(EJ9,'By Plant'!B:D,3,0)</f>
        <v>BP</v>
      </c>
      <c r="EL9" s="136" t="str">
        <f t="shared" si="2"/>
        <v>86790-0K190BPP1</v>
      </c>
      <c r="EM9" s="136">
        <f t="shared" si="3"/>
      </c>
      <c r="EN9" s="136" t="s">
        <v>161</v>
      </c>
      <c r="EO9" s="136" t="s">
        <v>62</v>
      </c>
      <c r="EP9" s="136" t="s">
        <v>207</v>
      </c>
      <c r="EQ9" s="136" t="str">
        <f t="shared" si="4"/>
        <v>86790-0K141BPKBN</v>
      </c>
      <c r="ER9" s="249" t="b">
        <v>1</v>
      </c>
      <c r="ES9" s="247" t="s">
        <v>184</v>
      </c>
      <c r="ET9" s="247">
        <v>582</v>
      </c>
      <c r="EU9" s="247">
        <v>388</v>
      </c>
      <c r="EV9" s="247">
        <v>386</v>
      </c>
      <c r="EW9" s="247">
        <v>367</v>
      </c>
    </row>
    <row r="10" ht="14.25" customHeight="1" spans="1:153" x14ac:dyDescent="0.25">
      <c r="A10" s="249" t="str">
        <f t="shared" si="0"/>
        <v>86790-0K230BP</v>
      </c>
      <c r="B10" s="177" t="s">
        <v>188</v>
      </c>
      <c r="C10" s="177" t="s">
        <v>189</v>
      </c>
      <c r="D10" s="177" t="s">
        <v>173</v>
      </c>
      <c r="E10" s="177" t="s">
        <v>332</v>
      </c>
      <c r="F10" s="177" t="s">
        <v>333</v>
      </c>
      <c r="G10" s="177" t="s">
        <v>174</v>
      </c>
      <c r="H10" s="177" t="s">
        <v>154</v>
      </c>
      <c r="I10" s="178">
        <v>10</v>
      </c>
      <c r="J10" s="183">
        <v>0</v>
      </c>
      <c r="K10" s="183">
        <v>0</v>
      </c>
      <c r="L10" s="183">
        <v>0</v>
      </c>
      <c r="M10" s="183">
        <v>0</v>
      </c>
      <c r="N10" s="183">
        <v>27</v>
      </c>
      <c r="O10" s="183">
        <v>32</v>
      </c>
      <c r="P10" s="183">
        <v>33</v>
      </c>
      <c r="Q10" s="183">
        <v>31</v>
      </c>
      <c r="R10" s="183">
        <v>33</v>
      </c>
      <c r="S10" s="183">
        <v>0</v>
      </c>
      <c r="T10" s="183">
        <v>0</v>
      </c>
      <c r="U10" s="183">
        <v>26</v>
      </c>
      <c r="V10" s="183">
        <v>29</v>
      </c>
      <c r="W10" s="183">
        <v>37</v>
      </c>
      <c r="X10" s="183">
        <v>27</v>
      </c>
      <c r="Y10" s="183">
        <v>32</v>
      </c>
      <c r="Z10" s="183">
        <v>28</v>
      </c>
      <c r="AA10" s="183">
        <v>0</v>
      </c>
      <c r="AB10" s="183">
        <v>28</v>
      </c>
      <c r="AC10" s="183">
        <v>35</v>
      </c>
      <c r="AD10" s="183">
        <v>25</v>
      </c>
      <c r="AE10" s="183">
        <v>30</v>
      </c>
      <c r="AF10" s="183">
        <v>26</v>
      </c>
      <c r="AG10" s="183">
        <v>0</v>
      </c>
      <c r="AH10" s="183">
        <v>0</v>
      </c>
      <c r="AI10" s="183">
        <v>32</v>
      </c>
      <c r="AJ10" s="183">
        <v>29</v>
      </c>
      <c r="AK10" s="183">
        <v>29</v>
      </c>
      <c r="AL10" s="183">
        <v>29</v>
      </c>
      <c r="AM10" s="183">
        <v>27</v>
      </c>
      <c r="AN10" s="183">
        <v>26</v>
      </c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  <c r="CM10" s="183"/>
      <c r="CN10" s="183"/>
      <c r="CO10" s="183"/>
      <c r="CP10" s="183"/>
      <c r="CQ10" s="183"/>
      <c r="CR10" s="183"/>
      <c r="CS10" s="183"/>
      <c r="CT10" s="183"/>
      <c r="CU10" s="183"/>
      <c r="CV10" s="183"/>
      <c r="CW10" s="183"/>
      <c r="CX10" s="183"/>
      <c r="CY10" s="183"/>
      <c r="CZ10" s="183"/>
      <c r="DA10" s="183"/>
      <c r="DB10" s="183"/>
      <c r="DC10" s="183"/>
      <c r="DD10" s="183"/>
      <c r="DE10" s="183"/>
      <c r="DF10" s="183"/>
      <c r="DG10" s="183"/>
      <c r="DH10" s="183"/>
      <c r="DI10" s="183"/>
      <c r="DJ10" s="183"/>
      <c r="DK10" s="183"/>
      <c r="DL10" s="183"/>
      <c r="DM10" s="183"/>
      <c r="DN10" s="183"/>
      <c r="DO10" s="183"/>
      <c r="DP10" s="183"/>
      <c r="DQ10" s="183"/>
      <c r="DR10" s="183"/>
      <c r="DS10" s="183"/>
      <c r="DT10" s="183"/>
      <c r="DU10" s="183"/>
      <c r="DV10" s="183"/>
      <c r="DW10" s="183"/>
      <c r="DX10" s="183"/>
      <c r="DY10" s="183"/>
      <c r="DZ10" s="183"/>
      <c r="EA10" s="183"/>
      <c r="EB10" s="183"/>
      <c r="EC10" s="183"/>
      <c r="ED10" s="183"/>
      <c r="EE10" s="183"/>
      <c r="EF10" s="183"/>
      <c r="EG10" s="183"/>
      <c r="EH10" s="251" t="s">
        <v>65</v>
      </c>
      <c r="EI10" s="136" t="str">
        <f t="shared" si="1"/>
        <v>86790-0K230</v>
      </c>
      <c r="EJ10" s="250" t="s">
        <v>73</v>
      </c>
      <c r="EK10" s="136" t="str">
        <f>VLOOKUP(EJ10,'By Plant'!B:D,3,0)</f>
        <v>BP</v>
      </c>
      <c r="EL10" s="136" t="str">
        <f t="shared" si="2"/>
        <v>86790-0K230BPP1</v>
      </c>
      <c r="EM10" s="136">
        <f t="shared" si="3"/>
      </c>
      <c r="EN10" s="136" t="s">
        <v>163</v>
      </c>
      <c r="EO10" s="136" t="s">
        <v>62</v>
      </c>
      <c r="EP10" s="136" t="s">
        <v>207</v>
      </c>
      <c r="EQ10" s="136" t="str">
        <f t="shared" si="4"/>
        <v>86790-0K171BPKBN</v>
      </c>
      <c r="ER10" s="249" t="b">
        <v>1</v>
      </c>
      <c r="ES10" s="247" t="s">
        <v>186</v>
      </c>
      <c r="ET10" s="247">
        <v>4745</v>
      </c>
      <c r="EU10" s="247">
        <v>5243</v>
      </c>
      <c r="EV10" s="247">
        <v>3468</v>
      </c>
      <c r="EW10" s="247">
        <v>3284</v>
      </c>
    </row>
    <row r="11" ht="14.25" customHeight="1" spans="1:153" x14ac:dyDescent="0.25">
      <c r="A11" s="249" t="str">
        <f t="shared" si="0"/>
        <v>86790-0K310BP</v>
      </c>
      <c r="B11" s="177" t="s">
        <v>167</v>
      </c>
      <c r="C11" s="177" t="s">
        <v>190</v>
      </c>
      <c r="D11" s="177" t="s">
        <v>173</v>
      </c>
      <c r="E11" s="177" t="s">
        <v>332</v>
      </c>
      <c r="F11" s="177"/>
      <c r="G11" s="177" t="s">
        <v>334</v>
      </c>
      <c r="H11" s="177" t="s">
        <v>192</v>
      </c>
      <c r="I11" s="178">
        <v>25</v>
      </c>
      <c r="J11" s="183">
        <v>0</v>
      </c>
      <c r="K11" s="183">
        <v>0</v>
      </c>
      <c r="L11" s="183">
        <v>0</v>
      </c>
      <c r="M11" s="183">
        <v>0</v>
      </c>
      <c r="N11" s="183">
        <v>93</v>
      </c>
      <c r="O11" s="183">
        <v>90</v>
      </c>
      <c r="P11" s="183">
        <v>90</v>
      </c>
      <c r="Q11" s="183">
        <v>92</v>
      </c>
      <c r="R11" s="183">
        <v>89</v>
      </c>
      <c r="S11" s="183">
        <v>0</v>
      </c>
      <c r="T11" s="183">
        <v>0</v>
      </c>
      <c r="U11" s="183">
        <v>92</v>
      </c>
      <c r="V11" s="183">
        <v>90</v>
      </c>
      <c r="W11" s="183">
        <v>89</v>
      </c>
      <c r="X11" s="183">
        <v>94</v>
      </c>
      <c r="Y11" s="183">
        <v>94</v>
      </c>
      <c r="Z11" s="183">
        <v>86</v>
      </c>
      <c r="AA11" s="183">
        <v>0</v>
      </c>
      <c r="AB11" s="183">
        <v>64</v>
      </c>
      <c r="AC11" s="183">
        <v>52</v>
      </c>
      <c r="AD11" s="183">
        <v>58</v>
      </c>
      <c r="AE11" s="183">
        <v>53</v>
      </c>
      <c r="AF11" s="183">
        <v>51</v>
      </c>
      <c r="AG11" s="183">
        <v>0</v>
      </c>
      <c r="AH11" s="183">
        <v>0</v>
      </c>
      <c r="AI11" s="183">
        <v>58</v>
      </c>
      <c r="AJ11" s="183">
        <v>53</v>
      </c>
      <c r="AK11" s="183">
        <v>57</v>
      </c>
      <c r="AL11" s="183">
        <v>60</v>
      </c>
      <c r="AM11" s="183">
        <v>52</v>
      </c>
      <c r="AN11" s="183">
        <v>51</v>
      </c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3"/>
      <c r="CB11" s="183"/>
      <c r="CC11" s="183"/>
      <c r="CD11" s="183"/>
      <c r="CE11" s="183"/>
      <c r="CF11" s="183"/>
      <c r="CG11" s="183"/>
      <c r="CH11" s="183"/>
      <c r="CI11" s="183"/>
      <c r="CJ11" s="183"/>
      <c r="CK11" s="183"/>
      <c r="CL11" s="183"/>
      <c r="CM11" s="183"/>
      <c r="CN11" s="183"/>
      <c r="CO11" s="183"/>
      <c r="CP11" s="183"/>
      <c r="CQ11" s="183"/>
      <c r="CR11" s="183"/>
      <c r="CS11" s="183"/>
      <c r="CT11" s="183"/>
      <c r="CU11" s="183"/>
      <c r="CV11" s="183"/>
      <c r="CW11" s="183"/>
      <c r="CX11" s="183"/>
      <c r="CY11" s="183"/>
      <c r="CZ11" s="183"/>
      <c r="DA11" s="183"/>
      <c r="DB11" s="183"/>
      <c r="DC11" s="183"/>
      <c r="DD11" s="183"/>
      <c r="DE11" s="183"/>
      <c r="DF11" s="183"/>
      <c r="DG11" s="183"/>
      <c r="DH11" s="183"/>
      <c r="DI11" s="183"/>
      <c r="DJ11" s="183"/>
      <c r="DK11" s="183"/>
      <c r="DL11" s="183"/>
      <c r="DM11" s="183"/>
      <c r="DN11" s="183"/>
      <c r="DO11" s="183"/>
      <c r="DP11" s="183"/>
      <c r="DQ11" s="183"/>
      <c r="DR11" s="183"/>
      <c r="DS11" s="183"/>
      <c r="DT11" s="183"/>
      <c r="DU11" s="183"/>
      <c r="DV11" s="183"/>
      <c r="DW11" s="183"/>
      <c r="DX11" s="183"/>
      <c r="DY11" s="183"/>
      <c r="DZ11" s="183"/>
      <c r="EA11" s="183"/>
      <c r="EB11" s="183"/>
      <c r="EC11" s="183"/>
      <c r="ED11" s="183"/>
      <c r="EE11" s="183"/>
      <c r="EF11" s="183"/>
      <c r="EG11" s="183"/>
      <c r="EH11" s="249" t="s">
        <v>65</v>
      </c>
      <c r="EI11" s="136" t="str">
        <f t="shared" si="1"/>
        <v>86790-0K310</v>
      </c>
      <c r="EJ11" s="136" t="s">
        <v>118</v>
      </c>
      <c r="EK11" s="136" t="str">
        <f>VLOOKUP(EJ11,'By Plant'!B:D,3,0)</f>
        <v>BP</v>
      </c>
      <c r="EL11" s="136" t="str">
        <f t="shared" si="2"/>
        <v>86790-0K310BPP1</v>
      </c>
      <c r="EM11" s="136">
        <f t="shared" si="3"/>
      </c>
      <c r="EN11" s="136" t="s">
        <v>225</v>
      </c>
      <c r="EO11" s="136" t="s">
        <v>89</v>
      </c>
      <c r="EP11" s="136" t="s">
        <v>234</v>
      </c>
      <c r="EQ11" s="136" t="str">
        <f t="shared" si="4"/>
        <v>86790-BZ310GWZ1</v>
      </c>
      <c r="ER11" s="249" t="b">
        <v>1</v>
      </c>
      <c r="ES11" s="247" t="s">
        <v>221</v>
      </c>
      <c r="ET11" s="247">
        <v>3020</v>
      </c>
      <c r="EU11" s="247">
        <v>2820</v>
      </c>
      <c r="EV11" s="247">
        <v>2880</v>
      </c>
      <c r="EW11" s="247">
        <v>2620</v>
      </c>
    </row>
    <row r="12" ht="14.25" customHeight="1" spans="1:153" x14ac:dyDescent="0.25">
      <c r="A12" s="249" t="str">
        <f t="shared" si="0"/>
        <v>86790-0K310BP</v>
      </c>
      <c r="B12" s="177" t="s">
        <v>167</v>
      </c>
      <c r="C12" s="177" t="s">
        <v>190</v>
      </c>
      <c r="D12" s="177" t="s">
        <v>173</v>
      </c>
      <c r="E12" s="177" t="s">
        <v>332</v>
      </c>
      <c r="F12" s="177" t="s">
        <v>335</v>
      </c>
      <c r="G12" s="177" t="s">
        <v>174</v>
      </c>
      <c r="H12" s="177" t="s">
        <v>192</v>
      </c>
      <c r="I12" s="178">
        <v>25</v>
      </c>
      <c r="J12" s="183">
        <v>0</v>
      </c>
      <c r="K12" s="183">
        <v>0</v>
      </c>
      <c r="L12" s="183">
        <v>0</v>
      </c>
      <c r="M12" s="183">
        <v>0</v>
      </c>
      <c r="N12" s="183">
        <v>0</v>
      </c>
      <c r="O12" s="183">
        <v>0</v>
      </c>
      <c r="P12" s="183">
        <v>1</v>
      </c>
      <c r="Q12" s="183">
        <v>2</v>
      </c>
      <c r="R12" s="183">
        <v>1</v>
      </c>
      <c r="S12" s="183">
        <v>0</v>
      </c>
      <c r="T12" s="183">
        <v>0</v>
      </c>
      <c r="U12" s="183">
        <v>5</v>
      </c>
      <c r="V12" s="183">
        <v>13</v>
      </c>
      <c r="W12" s="183">
        <v>12</v>
      </c>
      <c r="X12" s="183">
        <v>13</v>
      </c>
      <c r="Y12" s="183">
        <v>15</v>
      </c>
      <c r="Z12" s="183">
        <v>15</v>
      </c>
      <c r="AA12" s="183">
        <v>0</v>
      </c>
      <c r="AB12" s="183">
        <v>14</v>
      </c>
      <c r="AC12" s="183">
        <v>16</v>
      </c>
      <c r="AD12" s="183">
        <v>14</v>
      </c>
      <c r="AE12" s="183">
        <v>15</v>
      </c>
      <c r="AF12" s="183">
        <v>19</v>
      </c>
      <c r="AG12" s="183">
        <v>0</v>
      </c>
      <c r="AH12" s="183">
        <v>0</v>
      </c>
      <c r="AI12" s="183">
        <v>18</v>
      </c>
      <c r="AJ12" s="183">
        <v>20</v>
      </c>
      <c r="AK12" s="183">
        <v>20</v>
      </c>
      <c r="AL12" s="183">
        <v>20</v>
      </c>
      <c r="AM12" s="183">
        <v>17</v>
      </c>
      <c r="AN12" s="183">
        <v>16</v>
      </c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3"/>
      <c r="BR12" s="183"/>
      <c r="BS12" s="183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183"/>
      <c r="CG12" s="183"/>
      <c r="CH12" s="183"/>
      <c r="CI12" s="183"/>
      <c r="CJ12" s="183"/>
      <c r="CK12" s="183"/>
      <c r="CL12" s="183"/>
      <c r="CM12" s="183"/>
      <c r="CN12" s="183"/>
      <c r="CO12" s="183"/>
      <c r="CP12" s="183"/>
      <c r="CQ12" s="183"/>
      <c r="CR12" s="183"/>
      <c r="CS12" s="183"/>
      <c r="CT12" s="183"/>
      <c r="CU12" s="183"/>
      <c r="CV12" s="183"/>
      <c r="CW12" s="183"/>
      <c r="CX12" s="183"/>
      <c r="CY12" s="183"/>
      <c r="CZ12" s="183"/>
      <c r="DA12" s="183"/>
      <c r="DB12" s="183"/>
      <c r="DC12" s="183"/>
      <c r="DD12" s="183"/>
      <c r="DE12" s="183"/>
      <c r="DF12" s="183"/>
      <c r="DG12" s="183"/>
      <c r="DH12" s="183"/>
      <c r="DI12" s="183"/>
      <c r="DJ12" s="183"/>
      <c r="DK12" s="183"/>
      <c r="DL12" s="183"/>
      <c r="DM12" s="183"/>
      <c r="DN12" s="183"/>
      <c r="DO12" s="183"/>
      <c r="DP12" s="183"/>
      <c r="DQ12" s="183"/>
      <c r="DR12" s="183"/>
      <c r="DS12" s="183"/>
      <c r="DT12" s="183"/>
      <c r="DU12" s="183"/>
      <c r="DV12" s="183"/>
      <c r="DW12" s="183"/>
      <c r="DX12" s="183"/>
      <c r="DY12" s="183"/>
      <c r="DZ12" s="183"/>
      <c r="EA12" s="183"/>
      <c r="EB12" s="183"/>
      <c r="EC12" s="183"/>
      <c r="ED12" s="183"/>
      <c r="EE12" s="183"/>
      <c r="EF12" s="183"/>
      <c r="EG12" s="183"/>
      <c r="EH12" s="249" t="s">
        <v>65</v>
      </c>
      <c r="EI12" s="136" t="str">
        <f t="shared" si="1"/>
        <v>86790-0K310</v>
      </c>
      <c r="EJ12" s="136" t="s">
        <v>118</v>
      </c>
      <c r="EK12" s="136" t="str">
        <f>VLOOKUP(EJ12,'By Plant'!B:D,3,0)</f>
        <v>BP</v>
      </c>
      <c r="EL12" s="136" t="str">
        <f t="shared" si="2"/>
        <v>86790-0K310BPE1</v>
      </c>
      <c r="EM12" s="136">
        <f t="shared" si="3"/>
      </c>
      <c r="EN12" s="136" t="s">
        <v>186</v>
      </c>
      <c r="EO12" s="136" t="s">
        <v>62</v>
      </c>
      <c r="EP12" s="136" t="s">
        <v>207</v>
      </c>
      <c r="EQ12" s="136" t="str">
        <f t="shared" si="4"/>
        <v>86790-0K190BPKBN</v>
      </c>
      <c r="ER12" s="249" t="b">
        <v>1</v>
      </c>
      <c r="ES12" s="247" t="s">
        <v>200</v>
      </c>
      <c r="ET12" s="247">
        <v>1160</v>
      </c>
      <c r="EU12" s="247">
        <v>2100</v>
      </c>
      <c r="EV12" s="247">
        <v>2040</v>
      </c>
      <c r="EW12" s="247">
        <v>1040</v>
      </c>
    </row>
    <row r="13" ht="14.25" customHeight="1" spans="1:153" x14ac:dyDescent="0.25">
      <c r="A13" s="249" t="str">
        <f t="shared" si="0"/>
        <v>86790-0K400BP</v>
      </c>
      <c r="B13" s="177" t="s">
        <v>169</v>
      </c>
      <c r="C13" s="177" t="s">
        <v>193</v>
      </c>
      <c r="D13" s="177" t="s">
        <v>173</v>
      </c>
      <c r="E13" s="177" t="s">
        <v>332</v>
      </c>
      <c r="F13" s="177"/>
      <c r="G13" s="177" t="s">
        <v>334</v>
      </c>
      <c r="H13" s="177" t="s">
        <v>192</v>
      </c>
      <c r="I13" s="178">
        <v>38</v>
      </c>
      <c r="J13" s="183">
        <v>0</v>
      </c>
      <c r="K13" s="183">
        <v>0</v>
      </c>
      <c r="L13" s="183">
        <v>0</v>
      </c>
      <c r="M13" s="183">
        <v>0</v>
      </c>
      <c r="N13" s="183">
        <v>93</v>
      </c>
      <c r="O13" s="183">
        <v>90</v>
      </c>
      <c r="P13" s="183">
        <v>90</v>
      </c>
      <c r="Q13" s="183">
        <v>92</v>
      </c>
      <c r="R13" s="183">
        <v>89</v>
      </c>
      <c r="S13" s="183">
        <v>0</v>
      </c>
      <c r="T13" s="183">
        <v>0</v>
      </c>
      <c r="U13" s="183">
        <v>92</v>
      </c>
      <c r="V13" s="183">
        <v>90</v>
      </c>
      <c r="W13" s="183">
        <v>89</v>
      </c>
      <c r="X13" s="183">
        <v>94</v>
      </c>
      <c r="Y13" s="183">
        <v>94</v>
      </c>
      <c r="Z13" s="183">
        <v>86</v>
      </c>
      <c r="AA13" s="183">
        <v>0</v>
      </c>
      <c r="AB13" s="183">
        <v>64</v>
      </c>
      <c r="AC13" s="183">
        <v>52</v>
      </c>
      <c r="AD13" s="183">
        <v>58</v>
      </c>
      <c r="AE13" s="183">
        <v>53</v>
      </c>
      <c r="AF13" s="183">
        <v>51</v>
      </c>
      <c r="AG13" s="183">
        <v>0</v>
      </c>
      <c r="AH13" s="183">
        <v>0</v>
      </c>
      <c r="AI13" s="183">
        <v>58</v>
      </c>
      <c r="AJ13" s="183">
        <v>53</v>
      </c>
      <c r="AK13" s="183">
        <v>57</v>
      </c>
      <c r="AL13" s="183">
        <v>60</v>
      </c>
      <c r="AM13" s="183">
        <v>52</v>
      </c>
      <c r="AN13" s="183">
        <v>51</v>
      </c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  <c r="CC13" s="183"/>
      <c r="CD13" s="183"/>
      <c r="CE13" s="183"/>
      <c r="CF13" s="183"/>
      <c r="CG13" s="183"/>
      <c r="CH13" s="183"/>
      <c r="CI13" s="183"/>
      <c r="CJ13" s="183"/>
      <c r="CK13" s="183"/>
      <c r="CL13" s="183"/>
      <c r="CM13" s="183"/>
      <c r="CN13" s="183"/>
      <c r="CO13" s="183"/>
      <c r="CP13" s="183"/>
      <c r="CQ13" s="183"/>
      <c r="CR13" s="183"/>
      <c r="CS13" s="183"/>
      <c r="CT13" s="183"/>
      <c r="CU13" s="183"/>
      <c r="CV13" s="183"/>
      <c r="CW13" s="183"/>
      <c r="CX13" s="183"/>
      <c r="CY13" s="183"/>
      <c r="CZ13" s="183"/>
      <c r="DA13" s="183"/>
      <c r="DB13" s="183"/>
      <c r="DC13" s="183"/>
      <c r="DD13" s="183"/>
      <c r="DE13" s="183"/>
      <c r="DF13" s="183"/>
      <c r="DG13" s="183"/>
      <c r="DH13" s="183"/>
      <c r="DI13" s="183"/>
      <c r="DJ13" s="183"/>
      <c r="DK13" s="183"/>
      <c r="DL13" s="183"/>
      <c r="DM13" s="183"/>
      <c r="DN13" s="183"/>
      <c r="DO13" s="183"/>
      <c r="DP13" s="183"/>
      <c r="DQ13" s="183"/>
      <c r="DR13" s="183"/>
      <c r="DS13" s="183"/>
      <c r="DT13" s="183"/>
      <c r="DU13" s="183"/>
      <c r="DV13" s="183"/>
      <c r="DW13" s="183"/>
      <c r="DX13" s="183"/>
      <c r="DY13" s="183"/>
      <c r="DZ13" s="183"/>
      <c r="EA13" s="183"/>
      <c r="EB13" s="183"/>
      <c r="EC13" s="183"/>
      <c r="ED13" s="183"/>
      <c r="EE13" s="183"/>
      <c r="EF13" s="183"/>
      <c r="EG13" s="183"/>
      <c r="EH13" s="249" t="s">
        <v>65</v>
      </c>
      <c r="EI13" s="136" t="str">
        <f t="shared" si="1"/>
        <v>86790-0K400</v>
      </c>
      <c r="EJ13" s="136" t="s">
        <v>119</v>
      </c>
      <c r="EK13" s="136" t="str">
        <f>VLOOKUP(EJ13,'By Plant'!B:D,3,0)</f>
        <v>BP</v>
      </c>
      <c r="EL13" s="136" t="str">
        <f t="shared" si="2"/>
        <v>86790-0K400BPP1</v>
      </c>
      <c r="EM13" s="136">
        <f t="shared" si="3"/>
      </c>
      <c r="ER13" s="247" t="b">
        <v>1</v>
      </c>
      <c r="ES13" s="247" t="s">
        <v>188</v>
      </c>
      <c r="ET13" s="247">
        <v>1082</v>
      </c>
      <c r="EU13" s="247">
        <v>1309</v>
      </c>
      <c r="EV13" s="247">
        <v>822</v>
      </c>
      <c r="EW13" s="247">
        <v>288</v>
      </c>
    </row>
    <row r="14" ht="14.25" customHeight="1" spans="1:153" x14ac:dyDescent="0.25">
      <c r="A14" s="249" t="str">
        <f t="shared" si="0"/>
        <v>86790-0K400BP</v>
      </c>
      <c r="B14" s="177" t="s">
        <v>169</v>
      </c>
      <c r="C14" s="177" t="s">
        <v>193</v>
      </c>
      <c r="D14" s="177" t="s">
        <v>173</v>
      </c>
      <c r="E14" s="177" t="s">
        <v>332</v>
      </c>
      <c r="F14" s="177" t="s">
        <v>335</v>
      </c>
      <c r="G14" s="177" t="s">
        <v>174</v>
      </c>
      <c r="H14" s="177" t="s">
        <v>192</v>
      </c>
      <c r="I14" s="178">
        <v>38</v>
      </c>
      <c r="J14" s="183">
        <v>0</v>
      </c>
      <c r="K14" s="183">
        <v>0</v>
      </c>
      <c r="L14" s="183">
        <v>0</v>
      </c>
      <c r="M14" s="183">
        <v>0</v>
      </c>
      <c r="N14" s="183">
        <v>0</v>
      </c>
      <c r="O14" s="183">
        <v>0</v>
      </c>
      <c r="P14" s="183">
        <v>1</v>
      </c>
      <c r="Q14" s="183">
        <v>2</v>
      </c>
      <c r="R14" s="183">
        <v>1</v>
      </c>
      <c r="S14" s="183">
        <v>0</v>
      </c>
      <c r="T14" s="183">
        <v>0</v>
      </c>
      <c r="U14" s="183">
        <v>5</v>
      </c>
      <c r="V14" s="183">
        <v>13</v>
      </c>
      <c r="W14" s="183">
        <v>12</v>
      </c>
      <c r="X14" s="183">
        <v>13</v>
      </c>
      <c r="Y14" s="183">
        <v>15</v>
      </c>
      <c r="Z14" s="183">
        <v>15</v>
      </c>
      <c r="AA14" s="183">
        <v>0</v>
      </c>
      <c r="AB14" s="183">
        <v>14</v>
      </c>
      <c r="AC14" s="183">
        <v>16</v>
      </c>
      <c r="AD14" s="183">
        <v>14</v>
      </c>
      <c r="AE14" s="183">
        <v>15</v>
      </c>
      <c r="AF14" s="183">
        <v>19</v>
      </c>
      <c r="AG14" s="183">
        <v>0</v>
      </c>
      <c r="AH14" s="183">
        <v>0</v>
      </c>
      <c r="AI14" s="183">
        <v>18</v>
      </c>
      <c r="AJ14" s="183">
        <v>20</v>
      </c>
      <c r="AK14" s="183">
        <v>20</v>
      </c>
      <c r="AL14" s="183">
        <v>20</v>
      </c>
      <c r="AM14" s="183">
        <v>17</v>
      </c>
      <c r="AN14" s="183">
        <v>16</v>
      </c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183"/>
      <c r="CD14" s="183"/>
      <c r="CE14" s="183"/>
      <c r="CF14" s="183"/>
      <c r="CG14" s="183"/>
      <c r="CH14" s="183"/>
      <c r="CI14" s="183"/>
      <c r="CJ14" s="183"/>
      <c r="CK14" s="183"/>
      <c r="CL14" s="183"/>
      <c r="CM14" s="183"/>
      <c r="CN14" s="183"/>
      <c r="CO14" s="183"/>
      <c r="CP14" s="183"/>
      <c r="CQ14" s="183"/>
      <c r="CR14" s="183"/>
      <c r="CS14" s="183"/>
      <c r="CT14" s="183"/>
      <c r="CU14" s="183"/>
      <c r="CV14" s="183"/>
      <c r="CW14" s="183"/>
      <c r="CX14" s="183"/>
      <c r="CY14" s="183"/>
      <c r="CZ14" s="183"/>
      <c r="DA14" s="183"/>
      <c r="DB14" s="183"/>
      <c r="DC14" s="183"/>
      <c r="DD14" s="183"/>
      <c r="DE14" s="183"/>
      <c r="DF14" s="183"/>
      <c r="DG14" s="183"/>
      <c r="DH14" s="183"/>
      <c r="DI14" s="183"/>
      <c r="DJ14" s="183"/>
      <c r="DK14" s="183"/>
      <c r="DL14" s="183"/>
      <c r="DM14" s="183"/>
      <c r="DN14" s="183"/>
      <c r="DO14" s="183"/>
      <c r="DP14" s="183"/>
      <c r="DQ14" s="183"/>
      <c r="DR14" s="183"/>
      <c r="DS14" s="183"/>
      <c r="DT14" s="183"/>
      <c r="DU14" s="183"/>
      <c r="DV14" s="183"/>
      <c r="DW14" s="183"/>
      <c r="DX14" s="183"/>
      <c r="DY14" s="183"/>
      <c r="DZ14" s="183"/>
      <c r="EA14" s="183"/>
      <c r="EB14" s="183"/>
      <c r="EC14" s="183"/>
      <c r="ED14" s="183"/>
      <c r="EE14" s="183"/>
      <c r="EF14" s="183"/>
      <c r="EG14" s="183"/>
      <c r="EH14" s="249" t="s">
        <v>65</v>
      </c>
      <c r="EI14" s="136" t="str">
        <f t="shared" si="1"/>
        <v>86790-0K400</v>
      </c>
      <c r="EJ14" s="136" t="s">
        <v>119</v>
      </c>
      <c r="EK14" s="136" t="str">
        <f>VLOOKUP(EJ14,'By Plant'!B:D,3,0)</f>
        <v>BP</v>
      </c>
      <c r="EL14" s="136" t="str">
        <f t="shared" si="2"/>
        <v>86790-0K400BPE1</v>
      </c>
      <c r="EM14" s="136">
        <f t="shared" si="3"/>
      </c>
      <c r="ER14" s="247" t="b">
        <v>1</v>
      </c>
      <c r="ES14" s="247" t="s">
        <v>167</v>
      </c>
      <c r="ET14" s="247">
        <v>1910</v>
      </c>
      <c r="EU14" s="247">
        <v>5903</v>
      </c>
      <c r="EV14" s="247">
        <v>5385</v>
      </c>
      <c r="EW14" s="247">
        <v>5966</v>
      </c>
    </row>
    <row r="15" ht="14.25" customHeight="1" spans="1:153" x14ac:dyDescent="0.25">
      <c r="A15" s="249" t="str">
        <f t="shared" si="0"/>
        <v>86790-0K220BPK</v>
      </c>
      <c r="B15" s="177" t="s">
        <v>150</v>
      </c>
      <c r="C15" s="177" t="s">
        <v>206</v>
      </c>
      <c r="D15" s="177" t="s">
        <v>173</v>
      </c>
      <c r="E15" s="177" t="s">
        <v>332</v>
      </c>
      <c r="F15" s="177"/>
      <c r="G15" s="177" t="s">
        <v>207</v>
      </c>
      <c r="H15" s="177" t="s">
        <v>154</v>
      </c>
      <c r="I15" s="178">
        <v>25</v>
      </c>
      <c r="J15" s="183">
        <v>0</v>
      </c>
      <c r="K15" s="183">
        <v>0</v>
      </c>
      <c r="L15" s="183">
        <v>0</v>
      </c>
      <c r="M15" s="183">
        <v>0</v>
      </c>
      <c r="N15" s="183">
        <v>40</v>
      </c>
      <c r="O15" s="183">
        <v>40</v>
      </c>
      <c r="P15" s="183">
        <v>60</v>
      </c>
      <c r="Q15" s="183">
        <v>40</v>
      </c>
      <c r="R15" s="183">
        <v>40</v>
      </c>
      <c r="S15" s="183">
        <v>0</v>
      </c>
      <c r="T15" s="183">
        <v>0</v>
      </c>
      <c r="U15" s="183">
        <v>40</v>
      </c>
      <c r="V15" s="183">
        <v>40</v>
      </c>
      <c r="W15" s="183">
        <v>40</v>
      </c>
      <c r="X15" s="183">
        <v>60</v>
      </c>
      <c r="Y15" s="183">
        <v>40</v>
      </c>
      <c r="Z15" s="183">
        <v>40</v>
      </c>
      <c r="AA15" s="183">
        <v>0</v>
      </c>
      <c r="AB15" s="183">
        <v>40</v>
      </c>
      <c r="AC15" s="183">
        <v>40</v>
      </c>
      <c r="AD15" s="183">
        <v>60</v>
      </c>
      <c r="AE15" s="183">
        <v>40</v>
      </c>
      <c r="AF15" s="183">
        <v>40</v>
      </c>
      <c r="AG15" s="183">
        <v>0</v>
      </c>
      <c r="AH15" s="183">
        <v>0</v>
      </c>
      <c r="AI15" s="183">
        <v>40</v>
      </c>
      <c r="AJ15" s="183">
        <v>40</v>
      </c>
      <c r="AK15" s="183">
        <v>60</v>
      </c>
      <c r="AL15" s="183">
        <v>40</v>
      </c>
      <c r="AM15" s="183">
        <v>40</v>
      </c>
      <c r="AN15" s="183">
        <v>40</v>
      </c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  <c r="BU15" s="183"/>
      <c r="BV15" s="183"/>
      <c r="BW15" s="183"/>
      <c r="BX15" s="183"/>
      <c r="BY15" s="183"/>
      <c r="BZ15" s="183"/>
      <c r="CA15" s="183"/>
      <c r="CB15" s="183"/>
      <c r="CC15" s="183"/>
      <c r="CD15" s="183"/>
      <c r="CE15" s="183"/>
      <c r="CF15" s="183"/>
      <c r="CG15" s="183"/>
      <c r="CH15" s="183"/>
      <c r="CI15" s="183"/>
      <c r="CJ15" s="183"/>
      <c r="CK15" s="183"/>
      <c r="CL15" s="183"/>
      <c r="CM15" s="183"/>
      <c r="CN15" s="183"/>
      <c r="CO15" s="183"/>
      <c r="CP15" s="183"/>
      <c r="CQ15" s="183"/>
      <c r="CR15" s="183"/>
      <c r="CS15" s="183"/>
      <c r="CT15" s="183"/>
      <c r="CU15" s="183"/>
      <c r="CV15" s="183"/>
      <c r="CW15" s="183"/>
      <c r="CX15" s="183"/>
      <c r="CY15" s="183"/>
      <c r="CZ15" s="183"/>
      <c r="DA15" s="183"/>
      <c r="DB15" s="183"/>
      <c r="DC15" s="183"/>
      <c r="DD15" s="183"/>
      <c r="DE15" s="183"/>
      <c r="DF15" s="183"/>
      <c r="DG15" s="183"/>
      <c r="DH15" s="183"/>
      <c r="DI15" s="183"/>
      <c r="DJ15" s="183"/>
      <c r="DK15" s="183"/>
      <c r="DL15" s="183"/>
      <c r="DM15" s="183"/>
      <c r="DN15" s="183"/>
      <c r="DO15" s="183"/>
      <c r="DP15" s="183"/>
      <c r="DQ15" s="183"/>
      <c r="DR15" s="183"/>
      <c r="DS15" s="183"/>
      <c r="DT15" s="183"/>
      <c r="DU15" s="183"/>
      <c r="DV15" s="183"/>
      <c r="DW15" s="183"/>
      <c r="DX15" s="183"/>
      <c r="DY15" s="183"/>
      <c r="DZ15" s="183"/>
      <c r="EA15" s="183"/>
      <c r="EB15" s="183"/>
      <c r="EC15" s="183"/>
      <c r="ED15" s="183"/>
      <c r="EE15" s="183"/>
      <c r="EF15" s="183"/>
      <c r="EG15" s="183"/>
      <c r="EH15" s="249" t="s">
        <v>62</v>
      </c>
      <c r="EI15" s="136" t="str">
        <f t="shared" si="1"/>
        <v>86790-0K220</v>
      </c>
      <c r="EJ15" s="250" t="s">
        <v>32</v>
      </c>
      <c r="EK15" s="136" t="str">
        <f>VLOOKUP(EJ15,'By Plant'!B:D,3,0)</f>
        <v>BPK</v>
      </c>
      <c r="EL15" s="136" t="str">
        <f t="shared" si="2"/>
        <v>86790-0K220BPKD1</v>
      </c>
      <c r="EM15" s="136">
        <f t="shared" si="3"/>
      </c>
      <c r="ER15" s="247" t="b">
        <v>1</v>
      </c>
      <c r="ES15" s="247" t="s">
        <v>169</v>
      </c>
      <c r="ET15" s="247">
        <v>1910</v>
      </c>
      <c r="EU15" s="247">
        <v>5915</v>
      </c>
      <c r="EV15" s="247">
        <v>5397</v>
      </c>
      <c r="EW15" s="247">
        <v>6002</v>
      </c>
    </row>
    <row r="16" ht="14.25" customHeight="1" spans="1:153" x14ac:dyDescent="0.25">
      <c r="A16" s="249" t="str">
        <f t="shared" si="0"/>
        <v>86790-0K051BPKTP1</v>
      </c>
      <c r="B16" s="177" t="s">
        <v>150</v>
      </c>
      <c r="C16" s="177" t="s">
        <v>206</v>
      </c>
      <c r="D16" s="177" t="s">
        <v>173</v>
      </c>
      <c r="E16" s="177" t="s">
        <v>332</v>
      </c>
      <c r="F16" s="177"/>
      <c r="G16" s="177" t="s">
        <v>202</v>
      </c>
      <c r="H16" s="177" t="s">
        <v>154</v>
      </c>
      <c r="I16" s="178">
        <v>30</v>
      </c>
      <c r="J16" s="183">
        <v>0</v>
      </c>
      <c r="K16" s="183">
        <v>0</v>
      </c>
      <c r="L16" s="183">
        <v>0</v>
      </c>
      <c r="M16" s="183">
        <v>0</v>
      </c>
      <c r="N16" s="183">
        <v>0</v>
      </c>
      <c r="O16" s="183">
        <v>0</v>
      </c>
      <c r="P16" s="183">
        <v>0</v>
      </c>
      <c r="Q16" s="183">
        <v>0</v>
      </c>
      <c r="R16" s="183">
        <v>0</v>
      </c>
      <c r="S16" s="183">
        <v>0</v>
      </c>
      <c r="T16" s="183">
        <v>0</v>
      </c>
      <c r="U16" s="183">
        <v>0</v>
      </c>
      <c r="V16" s="183">
        <v>0</v>
      </c>
      <c r="W16" s="183">
        <v>0</v>
      </c>
      <c r="X16" s="183">
        <v>0</v>
      </c>
      <c r="Y16" s="183">
        <v>0</v>
      </c>
      <c r="Z16" s="183">
        <v>0</v>
      </c>
      <c r="AA16" s="183">
        <v>0</v>
      </c>
      <c r="AB16" s="183">
        <v>0</v>
      </c>
      <c r="AC16" s="183">
        <v>0</v>
      </c>
      <c r="AD16" s="183">
        <v>0</v>
      </c>
      <c r="AE16" s="183">
        <v>0</v>
      </c>
      <c r="AF16" s="183">
        <v>0</v>
      </c>
      <c r="AG16" s="183">
        <v>0</v>
      </c>
      <c r="AH16" s="183">
        <v>0</v>
      </c>
      <c r="AI16" s="183">
        <v>0</v>
      </c>
      <c r="AJ16" s="183">
        <v>0</v>
      </c>
      <c r="AK16" s="183">
        <v>0</v>
      </c>
      <c r="AL16" s="183">
        <v>0</v>
      </c>
      <c r="AM16" s="183">
        <v>0</v>
      </c>
      <c r="AN16" s="183">
        <v>0</v>
      </c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  <c r="CC16" s="183"/>
      <c r="CD16" s="183"/>
      <c r="CE16" s="183"/>
      <c r="CF16" s="183"/>
      <c r="CG16" s="183"/>
      <c r="CH16" s="183"/>
      <c r="CI16" s="183"/>
      <c r="CJ16" s="183"/>
      <c r="CK16" s="183"/>
      <c r="CL16" s="183"/>
      <c r="CM16" s="183"/>
      <c r="CN16" s="183"/>
      <c r="CO16" s="183"/>
      <c r="CP16" s="183"/>
      <c r="CQ16" s="183"/>
      <c r="CR16" s="183"/>
      <c r="CS16" s="183"/>
      <c r="CT16" s="183"/>
      <c r="CU16" s="183"/>
      <c r="CV16" s="183"/>
      <c r="CW16" s="183"/>
      <c r="CX16" s="183"/>
      <c r="CY16" s="183"/>
      <c r="CZ16" s="183"/>
      <c r="DA16" s="183"/>
      <c r="DB16" s="183"/>
      <c r="DC16" s="183"/>
      <c r="DD16" s="183"/>
      <c r="DE16" s="183"/>
      <c r="DF16" s="183"/>
      <c r="DG16" s="183"/>
      <c r="DH16" s="183"/>
      <c r="DI16" s="183"/>
      <c r="DJ16" s="183"/>
      <c r="DK16" s="183"/>
      <c r="DL16" s="183"/>
      <c r="DM16" s="183"/>
      <c r="DN16" s="183"/>
      <c r="DO16" s="183"/>
      <c r="DP16" s="183"/>
      <c r="DQ16" s="183"/>
      <c r="DR16" s="183"/>
      <c r="DS16" s="183"/>
      <c r="DT16" s="183"/>
      <c r="DU16" s="183"/>
      <c r="DV16" s="183"/>
      <c r="DW16" s="183"/>
      <c r="DX16" s="183"/>
      <c r="DY16" s="183"/>
      <c r="DZ16" s="183"/>
      <c r="EA16" s="183"/>
      <c r="EB16" s="183"/>
      <c r="EC16" s="183"/>
      <c r="ED16" s="183"/>
      <c r="EE16" s="183"/>
      <c r="EF16" s="183"/>
      <c r="EG16" s="183"/>
      <c r="EH16" s="249" t="s">
        <v>62</v>
      </c>
      <c r="EI16" s="136" t="str">
        <f t="shared" si="1"/>
        <v>86790-0K051</v>
      </c>
      <c r="EJ16" s="250" t="s">
        <v>101</v>
      </c>
      <c r="EK16" s="136" t="str">
        <f>VLOOKUP(EJ16,'By Plant'!B:D,3,0)</f>
        <v>BP</v>
      </c>
      <c r="EL16" s="136" t="str">
        <f t="shared" si="2"/>
        <v>86790-0K051BPKBN</v>
      </c>
      <c r="EM16" s="136" t="str">
        <f t="shared" si="3"/>
        <v>TP1</v>
      </c>
      <c r="ER16" s="247" t="b">
        <v>1</v>
      </c>
      <c r="ES16" s="247" t="s">
        <v>251</v>
      </c>
      <c r="ET16" s="247">
        <v>5651</v>
      </c>
      <c r="EU16" s="247">
        <v>7044</v>
      </c>
      <c r="EV16" s="247">
        <v>5224</v>
      </c>
      <c r="EW16" s="247">
        <v>7912</v>
      </c>
    </row>
    <row r="17" ht="14.25" customHeight="1" spans="1:153" x14ac:dyDescent="0.25">
      <c r="A17" s="249" t="str">
        <f t="shared" si="0"/>
        <v>86790-0K051BPKTP1</v>
      </c>
      <c r="B17" s="177" t="s">
        <v>23</v>
      </c>
      <c r="C17" s="177" t="s">
        <v>210</v>
      </c>
      <c r="D17" s="177" t="s">
        <v>173</v>
      </c>
      <c r="E17" s="177" t="s">
        <v>332</v>
      </c>
      <c r="F17" s="177"/>
      <c r="G17" s="177" t="s">
        <v>207</v>
      </c>
      <c r="H17" s="177" t="s">
        <v>154</v>
      </c>
      <c r="I17" s="178">
        <v>10</v>
      </c>
      <c r="J17" s="183">
        <v>0</v>
      </c>
      <c r="K17" s="183">
        <v>0</v>
      </c>
      <c r="L17" s="183">
        <v>0</v>
      </c>
      <c r="M17" s="183">
        <v>0</v>
      </c>
      <c r="N17" s="183">
        <v>0</v>
      </c>
      <c r="O17" s="183">
        <v>0</v>
      </c>
      <c r="P17" s="183">
        <v>0</v>
      </c>
      <c r="Q17" s="183">
        <v>0</v>
      </c>
      <c r="R17" s="183">
        <v>0</v>
      </c>
      <c r="S17" s="183">
        <v>0</v>
      </c>
      <c r="T17" s="183">
        <v>0</v>
      </c>
      <c r="U17" s="183">
        <v>0</v>
      </c>
      <c r="V17" s="183">
        <v>0</v>
      </c>
      <c r="W17" s="183">
        <v>0</v>
      </c>
      <c r="X17" s="183">
        <v>0</v>
      </c>
      <c r="Y17" s="183">
        <v>0</v>
      </c>
      <c r="Z17" s="183">
        <v>0</v>
      </c>
      <c r="AA17" s="183">
        <v>0</v>
      </c>
      <c r="AB17" s="183">
        <v>0</v>
      </c>
      <c r="AC17" s="183">
        <v>0</v>
      </c>
      <c r="AD17" s="183">
        <v>0</v>
      </c>
      <c r="AE17" s="183">
        <v>0</v>
      </c>
      <c r="AF17" s="183">
        <v>0</v>
      </c>
      <c r="AG17" s="183">
        <v>0</v>
      </c>
      <c r="AH17" s="183">
        <v>0</v>
      </c>
      <c r="AI17" s="183">
        <v>0</v>
      </c>
      <c r="AJ17" s="183">
        <v>0</v>
      </c>
      <c r="AK17" s="183">
        <v>0</v>
      </c>
      <c r="AL17" s="183">
        <v>0</v>
      </c>
      <c r="AM17" s="183">
        <v>0</v>
      </c>
      <c r="AN17" s="183">
        <v>0</v>
      </c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O17" s="183"/>
      <c r="CP17" s="183"/>
      <c r="CQ17" s="183"/>
      <c r="CR17" s="183"/>
      <c r="CS17" s="183"/>
      <c r="CT17" s="183"/>
      <c r="CU17" s="183"/>
      <c r="CV17" s="183"/>
      <c r="CW17" s="183"/>
      <c r="CX17" s="183"/>
      <c r="CY17" s="183"/>
      <c r="CZ17" s="183"/>
      <c r="DA17" s="183"/>
      <c r="DB17" s="183"/>
      <c r="DC17" s="183"/>
      <c r="DD17" s="183"/>
      <c r="DE17" s="183"/>
      <c r="DF17" s="183"/>
      <c r="DG17" s="183"/>
      <c r="DH17" s="183"/>
      <c r="DI17" s="183"/>
      <c r="DJ17" s="183"/>
      <c r="DK17" s="183"/>
      <c r="DL17" s="183"/>
      <c r="DM17" s="183"/>
      <c r="DN17" s="183"/>
      <c r="DO17" s="183"/>
      <c r="DP17" s="183"/>
      <c r="DQ17" s="183"/>
      <c r="DR17" s="183"/>
      <c r="DS17" s="183"/>
      <c r="DT17" s="183"/>
      <c r="DU17" s="183"/>
      <c r="DV17" s="183"/>
      <c r="DW17" s="183"/>
      <c r="DX17" s="183"/>
      <c r="DY17" s="183"/>
      <c r="DZ17" s="183"/>
      <c r="EA17" s="183"/>
      <c r="EB17" s="183"/>
      <c r="EC17" s="183"/>
      <c r="ED17" s="183"/>
      <c r="EE17" s="183"/>
      <c r="EF17" s="183"/>
      <c r="EG17" s="183"/>
      <c r="EH17" s="249" t="s">
        <v>62</v>
      </c>
      <c r="EI17" s="136" t="str">
        <f t="shared" si="1"/>
        <v>86790-0K051</v>
      </c>
      <c r="EJ17" s="250" t="s">
        <v>101</v>
      </c>
      <c r="EK17" s="136" t="str">
        <f>VLOOKUP(EJ17,'By Plant'!B:D,3,0)</f>
        <v>BP</v>
      </c>
      <c r="EL17" s="136" t="str">
        <f t="shared" si="2"/>
        <v>86790-0K051BPKBN</v>
      </c>
      <c r="EM17" s="136" t="str">
        <f t="shared" si="3"/>
        <v>TP1</v>
      </c>
      <c r="ER17" s="247" t="b">
        <v>1</v>
      </c>
      <c r="ES17" s="247" t="s">
        <v>256</v>
      </c>
      <c r="ET17" s="247">
        <v>772</v>
      </c>
      <c r="EU17" s="247">
        <v>1388</v>
      </c>
      <c r="EV17" s="247">
        <v>733</v>
      </c>
      <c r="EW17" s="247">
        <v>1353</v>
      </c>
    </row>
    <row r="18" ht="14.25" customHeight="1" spans="1:153" x14ac:dyDescent="0.25">
      <c r="A18" s="249" t="str">
        <f t="shared" si="0"/>
        <v>86790-0K051BPKTP1</v>
      </c>
      <c r="B18" s="177" t="s">
        <v>23</v>
      </c>
      <c r="C18" s="177" t="s">
        <v>210</v>
      </c>
      <c r="D18" s="177" t="s">
        <v>173</v>
      </c>
      <c r="E18" s="177" t="s">
        <v>332</v>
      </c>
      <c r="F18" s="177"/>
      <c r="G18" s="177" t="s">
        <v>202</v>
      </c>
      <c r="H18" s="177" t="s">
        <v>154</v>
      </c>
      <c r="I18" s="178">
        <v>20</v>
      </c>
      <c r="J18" s="183">
        <v>0</v>
      </c>
      <c r="K18" s="183">
        <v>0</v>
      </c>
      <c r="L18" s="183">
        <v>0</v>
      </c>
      <c r="M18" s="183">
        <v>0</v>
      </c>
      <c r="N18" s="183">
        <v>10</v>
      </c>
      <c r="O18" s="183">
        <v>30</v>
      </c>
      <c r="P18" s="183">
        <v>20</v>
      </c>
      <c r="Q18" s="183">
        <v>20</v>
      </c>
      <c r="R18" s="183">
        <v>20</v>
      </c>
      <c r="S18" s="183">
        <v>0</v>
      </c>
      <c r="T18" s="183">
        <v>0</v>
      </c>
      <c r="U18" s="183">
        <v>20</v>
      </c>
      <c r="V18" s="183">
        <v>20</v>
      </c>
      <c r="W18" s="183">
        <v>30</v>
      </c>
      <c r="X18" s="183">
        <v>30</v>
      </c>
      <c r="Y18" s="183">
        <v>30</v>
      </c>
      <c r="Z18" s="183">
        <v>30</v>
      </c>
      <c r="AA18" s="183">
        <v>0</v>
      </c>
      <c r="AB18" s="183">
        <v>30</v>
      </c>
      <c r="AC18" s="183">
        <v>20</v>
      </c>
      <c r="AD18" s="183">
        <v>30</v>
      </c>
      <c r="AE18" s="183">
        <v>30</v>
      </c>
      <c r="AF18" s="183">
        <v>30</v>
      </c>
      <c r="AG18" s="183">
        <v>0</v>
      </c>
      <c r="AH18" s="183">
        <v>0</v>
      </c>
      <c r="AI18" s="183">
        <v>30</v>
      </c>
      <c r="AJ18" s="183">
        <v>40</v>
      </c>
      <c r="AK18" s="183">
        <v>40</v>
      </c>
      <c r="AL18" s="183">
        <v>40</v>
      </c>
      <c r="AM18" s="183">
        <v>30</v>
      </c>
      <c r="AN18" s="183">
        <v>30</v>
      </c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3"/>
      <c r="BR18" s="183"/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N18" s="183"/>
      <c r="CO18" s="183"/>
      <c r="CP18" s="183"/>
      <c r="CQ18" s="183"/>
      <c r="CR18" s="183"/>
      <c r="CS18" s="183"/>
      <c r="CT18" s="183"/>
      <c r="CU18" s="183"/>
      <c r="CV18" s="183"/>
      <c r="CW18" s="183"/>
      <c r="CX18" s="183"/>
      <c r="CY18" s="183"/>
      <c r="CZ18" s="183"/>
      <c r="DA18" s="183"/>
      <c r="DB18" s="183"/>
      <c r="DC18" s="183"/>
      <c r="DD18" s="183"/>
      <c r="DE18" s="183"/>
      <c r="DF18" s="183"/>
      <c r="DG18" s="183"/>
      <c r="DH18" s="183"/>
      <c r="DI18" s="183"/>
      <c r="DJ18" s="183"/>
      <c r="DK18" s="183"/>
      <c r="DL18" s="183"/>
      <c r="DM18" s="183"/>
      <c r="DN18" s="183"/>
      <c r="DO18" s="183"/>
      <c r="DP18" s="183"/>
      <c r="DQ18" s="183"/>
      <c r="DR18" s="183"/>
      <c r="DS18" s="183"/>
      <c r="DT18" s="183"/>
      <c r="DU18" s="183"/>
      <c r="DV18" s="183"/>
      <c r="DW18" s="183"/>
      <c r="DX18" s="183"/>
      <c r="DY18" s="183"/>
      <c r="DZ18" s="183"/>
      <c r="EA18" s="183"/>
      <c r="EB18" s="183"/>
      <c r="EC18" s="183"/>
      <c r="ED18" s="183"/>
      <c r="EE18" s="183"/>
      <c r="EF18" s="183"/>
      <c r="EG18" s="183"/>
      <c r="EH18" s="249" t="s">
        <v>62</v>
      </c>
      <c r="EI18" s="136" t="str">
        <f t="shared" si="1"/>
        <v>86790-0K051</v>
      </c>
      <c r="EJ18" s="250" t="s">
        <v>101</v>
      </c>
      <c r="EK18" s="136" t="str">
        <f>VLOOKUP(EJ18,'By Plant'!B:D,3,0)</f>
        <v>BP</v>
      </c>
      <c r="EL18" s="136" t="str">
        <f t="shared" si="2"/>
        <v>86790-0K051BPKBN</v>
      </c>
      <c r="EM18" s="136" t="str">
        <f t="shared" si="3"/>
        <v>TP1</v>
      </c>
      <c r="ER18" s="247" t="b">
        <v>1</v>
      </c>
      <c r="ES18" s="247" t="s">
        <v>244</v>
      </c>
      <c r="ET18" s="247">
        <v>2088</v>
      </c>
      <c r="EU18" s="247">
        <v>1980</v>
      </c>
      <c r="EV18" s="247">
        <v>1800</v>
      </c>
      <c r="EW18" s="247">
        <v>1836</v>
      </c>
    </row>
    <row r="19" ht="14.25" customHeight="1" spans="1:153" x14ac:dyDescent="0.25">
      <c r="A19" s="249" t="str">
        <f t="shared" si="0"/>
        <v>86790-0K051BPKSN1</v>
      </c>
      <c r="B19" s="177" t="s">
        <v>212</v>
      </c>
      <c r="C19" s="177" t="s">
        <v>213</v>
      </c>
      <c r="D19" s="177" t="s">
        <v>173</v>
      </c>
      <c r="E19" s="177" t="s">
        <v>332</v>
      </c>
      <c r="F19" s="177"/>
      <c r="G19" s="177" t="s">
        <v>202</v>
      </c>
      <c r="H19" s="177" t="s">
        <v>154</v>
      </c>
      <c r="I19" s="178">
        <v>20</v>
      </c>
      <c r="J19" s="183">
        <v>0</v>
      </c>
      <c r="K19" s="183">
        <v>0</v>
      </c>
      <c r="L19" s="183">
        <v>0</v>
      </c>
      <c r="M19" s="183">
        <v>0</v>
      </c>
      <c r="N19" s="183">
        <v>330</v>
      </c>
      <c r="O19" s="183">
        <v>300</v>
      </c>
      <c r="P19" s="183">
        <v>390</v>
      </c>
      <c r="Q19" s="183">
        <v>360</v>
      </c>
      <c r="R19" s="183">
        <v>330</v>
      </c>
      <c r="S19" s="183">
        <v>0</v>
      </c>
      <c r="T19" s="183">
        <v>0</v>
      </c>
      <c r="U19" s="183">
        <v>330</v>
      </c>
      <c r="V19" s="183">
        <v>360</v>
      </c>
      <c r="W19" s="183">
        <v>330</v>
      </c>
      <c r="X19" s="183">
        <v>300</v>
      </c>
      <c r="Y19" s="183">
        <v>330</v>
      </c>
      <c r="Z19" s="183">
        <v>330</v>
      </c>
      <c r="AA19" s="183">
        <v>0</v>
      </c>
      <c r="AB19" s="183">
        <v>330</v>
      </c>
      <c r="AC19" s="183">
        <v>330</v>
      </c>
      <c r="AD19" s="183">
        <v>300</v>
      </c>
      <c r="AE19" s="183">
        <v>330</v>
      </c>
      <c r="AF19" s="183">
        <v>360</v>
      </c>
      <c r="AG19" s="183">
        <v>0</v>
      </c>
      <c r="AH19" s="183">
        <v>0</v>
      </c>
      <c r="AI19" s="183">
        <v>360</v>
      </c>
      <c r="AJ19" s="183">
        <v>300</v>
      </c>
      <c r="AK19" s="183">
        <v>330</v>
      </c>
      <c r="AL19" s="183">
        <v>330</v>
      </c>
      <c r="AM19" s="183">
        <v>300</v>
      </c>
      <c r="AN19" s="183">
        <v>300</v>
      </c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83"/>
      <c r="BU19" s="183"/>
      <c r="BV19" s="183"/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  <c r="CM19" s="183"/>
      <c r="CN19" s="183"/>
      <c r="CO19" s="183"/>
      <c r="CP19" s="183"/>
      <c r="CQ19" s="183"/>
      <c r="CR19" s="183"/>
      <c r="CS19" s="183"/>
      <c r="CT19" s="183"/>
      <c r="CU19" s="183"/>
      <c r="CV19" s="183"/>
      <c r="CW19" s="183"/>
      <c r="CX19" s="183"/>
      <c r="CY19" s="183"/>
      <c r="CZ19" s="183"/>
      <c r="DA19" s="183"/>
      <c r="DB19" s="183"/>
      <c r="DC19" s="183"/>
      <c r="DD19" s="183"/>
      <c r="DE19" s="183"/>
      <c r="DF19" s="183"/>
      <c r="DG19" s="183"/>
      <c r="DH19" s="183"/>
      <c r="DI19" s="183"/>
      <c r="DJ19" s="183"/>
      <c r="DK19" s="183"/>
      <c r="DL19" s="183"/>
      <c r="DM19" s="183"/>
      <c r="DN19" s="183"/>
      <c r="DO19" s="183"/>
      <c r="DP19" s="183"/>
      <c r="DQ19" s="183"/>
      <c r="DR19" s="183"/>
      <c r="DS19" s="183"/>
      <c r="DT19" s="183"/>
      <c r="DU19" s="183"/>
      <c r="DV19" s="183"/>
      <c r="DW19" s="183"/>
      <c r="DX19" s="183"/>
      <c r="DY19" s="183"/>
      <c r="DZ19" s="183"/>
      <c r="EA19" s="183"/>
      <c r="EB19" s="183"/>
      <c r="EC19" s="183"/>
      <c r="ED19" s="183"/>
      <c r="EE19" s="183"/>
      <c r="EF19" s="183"/>
      <c r="EG19" s="183"/>
      <c r="EH19" s="249" t="s">
        <v>62</v>
      </c>
      <c r="EI19" s="136" t="str">
        <f t="shared" si="1"/>
        <v>86790-0K051</v>
      </c>
      <c r="EJ19" s="250" t="s">
        <v>101</v>
      </c>
      <c r="EK19" s="136" t="str">
        <f>VLOOKUP(EJ19,'By Plant'!B:D,3,0)</f>
        <v>BP</v>
      </c>
      <c r="EL19" s="136" t="str">
        <f t="shared" si="2"/>
        <v>86790-0K051BPKD1</v>
      </c>
      <c r="EM19" s="136" t="str">
        <f t="shared" si="3"/>
        <v>SN1</v>
      </c>
      <c r="ER19" s="247" t="b">
        <v>1</v>
      </c>
      <c r="ES19" s="247" t="s">
        <v>247</v>
      </c>
      <c r="ET19" s="247">
        <v>8210</v>
      </c>
      <c r="EU19" s="247">
        <v>5430</v>
      </c>
      <c r="EV19" s="247">
        <v>5520</v>
      </c>
      <c r="EW19" s="247">
        <v>5170</v>
      </c>
    </row>
    <row r="20" ht="14.25" customHeight="1" spans="1:153" x14ac:dyDescent="0.25">
      <c r="A20" s="249" t="str">
        <f t="shared" si="0"/>
        <v>86790-0K110BPK</v>
      </c>
      <c r="B20" s="177" t="s">
        <v>161</v>
      </c>
      <c r="C20" s="177" t="s">
        <v>215</v>
      </c>
      <c r="D20" s="177" t="s">
        <v>173</v>
      </c>
      <c r="E20" s="177" t="s">
        <v>332</v>
      </c>
      <c r="F20" s="177"/>
      <c r="G20" s="177" t="s">
        <v>202</v>
      </c>
      <c r="H20" s="177" t="s">
        <v>154</v>
      </c>
      <c r="I20" s="178">
        <v>16</v>
      </c>
      <c r="J20" s="183">
        <v>0</v>
      </c>
      <c r="K20" s="183">
        <v>0</v>
      </c>
      <c r="L20" s="183">
        <v>0</v>
      </c>
      <c r="M20" s="183">
        <v>0</v>
      </c>
      <c r="N20" s="183">
        <v>260</v>
      </c>
      <c r="O20" s="183">
        <v>200</v>
      </c>
      <c r="P20" s="183">
        <v>260</v>
      </c>
      <c r="Q20" s="183">
        <v>260</v>
      </c>
      <c r="R20" s="183">
        <v>240</v>
      </c>
      <c r="S20" s="183">
        <v>0</v>
      </c>
      <c r="T20" s="183">
        <v>0</v>
      </c>
      <c r="U20" s="183">
        <v>280</v>
      </c>
      <c r="V20" s="183">
        <v>280</v>
      </c>
      <c r="W20" s="183">
        <v>280</v>
      </c>
      <c r="X20" s="183">
        <v>260</v>
      </c>
      <c r="Y20" s="183">
        <v>260</v>
      </c>
      <c r="Z20" s="183">
        <v>300</v>
      </c>
      <c r="AA20" s="183">
        <v>0</v>
      </c>
      <c r="AB20" s="183">
        <v>240</v>
      </c>
      <c r="AC20" s="183">
        <v>260</v>
      </c>
      <c r="AD20" s="183">
        <v>280</v>
      </c>
      <c r="AE20" s="183">
        <v>280</v>
      </c>
      <c r="AF20" s="183">
        <v>260</v>
      </c>
      <c r="AG20" s="183">
        <v>0</v>
      </c>
      <c r="AH20" s="183">
        <v>0</v>
      </c>
      <c r="AI20" s="183">
        <v>240</v>
      </c>
      <c r="AJ20" s="183">
        <v>300</v>
      </c>
      <c r="AK20" s="183">
        <v>320</v>
      </c>
      <c r="AL20" s="183">
        <v>320</v>
      </c>
      <c r="AM20" s="183">
        <v>280</v>
      </c>
      <c r="AN20" s="183">
        <v>300</v>
      </c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O20" s="183"/>
      <c r="CP20" s="183"/>
      <c r="CQ20" s="183"/>
      <c r="CR20" s="183"/>
      <c r="CS20" s="183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3"/>
      <c r="DQ20" s="183"/>
      <c r="DR20" s="183"/>
      <c r="DS20" s="183"/>
      <c r="DT20" s="183"/>
      <c r="DU20" s="183"/>
      <c r="DV20" s="183"/>
      <c r="DW20" s="183"/>
      <c r="DX20" s="183"/>
      <c r="DY20" s="183"/>
      <c r="DZ20" s="183"/>
      <c r="EA20" s="183"/>
      <c r="EB20" s="183"/>
      <c r="EC20" s="183"/>
      <c r="ED20" s="183"/>
      <c r="EE20" s="183"/>
      <c r="EF20" s="183"/>
      <c r="EG20" s="183"/>
      <c r="EH20" s="249" t="s">
        <v>62</v>
      </c>
      <c r="EI20" s="136" t="str">
        <f t="shared" si="1"/>
        <v>86790-0K110</v>
      </c>
      <c r="EJ20" s="250" t="s">
        <v>67</v>
      </c>
      <c r="EK20" s="136" t="str">
        <f>VLOOKUP(EJ20,'By Plant'!B:D,3,0)</f>
        <v>BP</v>
      </c>
      <c r="EL20" s="136" t="str">
        <f t="shared" si="2"/>
        <v>86790-0K110BPKD1</v>
      </c>
      <c r="EM20" s="136">
        <f t="shared" si="3"/>
      </c>
      <c r="ER20" s="247" t="b">
        <v>1</v>
      </c>
      <c r="ES20" s="247" t="s">
        <v>225</v>
      </c>
      <c r="ET20" s="247">
        <v>12003</v>
      </c>
      <c r="EU20" s="247">
        <v>11815</v>
      </c>
      <c r="EV20" s="247">
        <v>12076</v>
      </c>
      <c r="EW20" s="247">
        <v>10271</v>
      </c>
    </row>
    <row r="21" ht="14.25" customHeight="1" spans="1:153" x14ac:dyDescent="0.25">
      <c r="A21" s="249" t="str">
        <f t="shared" si="0"/>
        <v>86790-0K110BPKTP1</v>
      </c>
      <c r="B21" s="177" t="s">
        <v>163</v>
      </c>
      <c r="C21" s="177" t="s">
        <v>217</v>
      </c>
      <c r="D21" s="177" t="s">
        <v>173</v>
      </c>
      <c r="E21" s="177" t="s">
        <v>332</v>
      </c>
      <c r="F21" s="177"/>
      <c r="G21" s="177" t="s">
        <v>207</v>
      </c>
      <c r="H21" s="177" t="s">
        <v>154</v>
      </c>
      <c r="I21" s="178">
        <v>8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v>10</v>
      </c>
      <c r="P21" s="183">
        <v>10</v>
      </c>
      <c r="Q21" s="183">
        <v>10</v>
      </c>
      <c r="R21" s="183">
        <v>10</v>
      </c>
      <c r="S21" s="183">
        <v>0</v>
      </c>
      <c r="T21" s="183">
        <v>0</v>
      </c>
      <c r="U21" s="183">
        <v>10</v>
      </c>
      <c r="V21" s="183">
        <v>10</v>
      </c>
      <c r="W21" s="183">
        <v>10</v>
      </c>
      <c r="X21" s="183">
        <v>0</v>
      </c>
      <c r="Y21" s="183">
        <v>0</v>
      </c>
      <c r="Z21" s="183">
        <v>10</v>
      </c>
      <c r="AA21" s="183">
        <v>0</v>
      </c>
      <c r="AB21" s="183">
        <v>0</v>
      </c>
      <c r="AC21" s="183">
        <v>0</v>
      </c>
      <c r="AD21" s="183">
        <v>10</v>
      </c>
      <c r="AE21" s="183">
        <v>0</v>
      </c>
      <c r="AF21" s="183">
        <v>0</v>
      </c>
      <c r="AG21" s="183">
        <v>0</v>
      </c>
      <c r="AH21" s="183">
        <v>0</v>
      </c>
      <c r="AI21" s="183">
        <v>10</v>
      </c>
      <c r="AJ21" s="183">
        <v>0</v>
      </c>
      <c r="AK21" s="183">
        <v>0</v>
      </c>
      <c r="AL21" s="183">
        <v>0</v>
      </c>
      <c r="AM21" s="183">
        <v>10</v>
      </c>
      <c r="AN21" s="183">
        <v>10</v>
      </c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83"/>
      <c r="DL21" s="183"/>
      <c r="DM21" s="183"/>
      <c r="DN21" s="183"/>
      <c r="DO21" s="183"/>
      <c r="DP21" s="183"/>
      <c r="DQ21" s="183"/>
      <c r="DR21" s="183"/>
      <c r="DS21" s="183"/>
      <c r="DT21" s="183"/>
      <c r="DU21" s="183"/>
      <c r="DV21" s="183"/>
      <c r="DW21" s="183"/>
      <c r="DX21" s="183"/>
      <c r="DY21" s="183"/>
      <c r="DZ21" s="183"/>
      <c r="EA21" s="183"/>
      <c r="EB21" s="183"/>
      <c r="EC21" s="183"/>
      <c r="ED21" s="183"/>
      <c r="EE21" s="183"/>
      <c r="EF21" s="183"/>
      <c r="EG21" s="183"/>
      <c r="EH21" s="249" t="s">
        <v>62</v>
      </c>
      <c r="EI21" s="136" t="str">
        <f t="shared" si="1"/>
        <v>86790-0K110</v>
      </c>
      <c r="EJ21" s="250" t="s">
        <v>67</v>
      </c>
      <c r="EK21" s="136" t="str">
        <f>VLOOKUP(EJ21,'By Plant'!B:D,3,0)</f>
        <v>BP</v>
      </c>
      <c r="EL21" s="136" t="str">
        <f t="shared" si="2"/>
        <v>86790-0K110BPKBN</v>
      </c>
      <c r="EM21" s="136" t="str">
        <f t="shared" si="3"/>
        <v>TP1</v>
      </c>
      <c r="ER21" s="247" t="b">
        <v>1</v>
      </c>
      <c r="ES21" s="247" t="s">
        <v>263</v>
      </c>
      <c r="ET21" s="247">
        <v>1335</v>
      </c>
      <c r="EU21" s="247">
        <v>1767</v>
      </c>
      <c r="EV21" s="247">
        <v>1200</v>
      </c>
      <c r="EW21" s="247">
        <v>1425</v>
      </c>
    </row>
    <row r="22" ht="14.25" customHeight="1" spans="1:153" x14ac:dyDescent="0.25">
      <c r="A22" s="249" t="str">
        <f t="shared" si="0"/>
        <v>86790-0K141BPKTP1</v>
      </c>
      <c r="B22" s="177" t="s">
        <v>184</v>
      </c>
      <c r="C22" s="177" t="s">
        <v>218</v>
      </c>
      <c r="D22" s="177" t="s">
        <v>173</v>
      </c>
      <c r="E22" s="177" t="s">
        <v>332</v>
      </c>
      <c r="F22" s="177"/>
      <c r="G22" s="177" t="s">
        <v>202</v>
      </c>
      <c r="H22" s="177" t="s">
        <v>154</v>
      </c>
      <c r="I22" s="178">
        <v>16</v>
      </c>
      <c r="J22" s="183">
        <v>0</v>
      </c>
      <c r="K22" s="183">
        <v>0</v>
      </c>
      <c r="L22" s="183">
        <v>0</v>
      </c>
      <c r="M22" s="183">
        <v>0</v>
      </c>
      <c r="N22" s="183">
        <v>0</v>
      </c>
      <c r="O22" s="183">
        <v>0</v>
      </c>
      <c r="P22" s="183">
        <v>0</v>
      </c>
      <c r="Q22" s="183">
        <v>0</v>
      </c>
      <c r="R22" s="183">
        <v>0</v>
      </c>
      <c r="S22" s="183">
        <v>0</v>
      </c>
      <c r="T22" s="183">
        <v>0</v>
      </c>
      <c r="U22" s="183">
        <v>0</v>
      </c>
      <c r="V22" s="183">
        <v>0</v>
      </c>
      <c r="W22" s="183">
        <v>0</v>
      </c>
      <c r="X22" s="183">
        <v>0</v>
      </c>
      <c r="Y22" s="183">
        <v>0</v>
      </c>
      <c r="Z22" s="183">
        <v>0</v>
      </c>
      <c r="AA22" s="183">
        <v>0</v>
      </c>
      <c r="AB22" s="183">
        <v>0</v>
      </c>
      <c r="AC22" s="183">
        <v>0</v>
      </c>
      <c r="AD22" s="183">
        <v>0</v>
      </c>
      <c r="AE22" s="183">
        <v>0</v>
      </c>
      <c r="AF22" s="183">
        <v>0</v>
      </c>
      <c r="AG22" s="183">
        <v>0</v>
      </c>
      <c r="AH22" s="183">
        <v>0</v>
      </c>
      <c r="AI22" s="183">
        <v>0</v>
      </c>
      <c r="AJ22" s="183">
        <v>0</v>
      </c>
      <c r="AK22" s="183">
        <v>0</v>
      </c>
      <c r="AL22" s="183">
        <v>0</v>
      </c>
      <c r="AM22" s="183">
        <v>0</v>
      </c>
      <c r="AN22" s="183">
        <v>0</v>
      </c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  <c r="BC22" s="183"/>
      <c r="BD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183"/>
      <c r="BU22" s="183"/>
      <c r="BV22" s="183"/>
      <c r="BW22" s="183"/>
      <c r="BX22" s="183"/>
      <c r="BY22" s="183"/>
      <c r="BZ22" s="183"/>
      <c r="CA22" s="183"/>
      <c r="CB22" s="183"/>
      <c r="CC22" s="183"/>
      <c r="CD22" s="183"/>
      <c r="CE22" s="183"/>
      <c r="CF22" s="183"/>
      <c r="CG22" s="183"/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183"/>
      <c r="CV22" s="183"/>
      <c r="CW22" s="183"/>
      <c r="CX22" s="183"/>
      <c r="CY22" s="183"/>
      <c r="CZ22" s="183"/>
      <c r="DA22" s="183"/>
      <c r="DB22" s="183"/>
      <c r="DC22" s="183"/>
      <c r="DD22" s="183"/>
      <c r="DE22" s="183"/>
      <c r="DF22" s="183"/>
      <c r="DG22" s="183"/>
      <c r="DH22" s="183"/>
      <c r="DI22" s="183"/>
      <c r="DJ22" s="183"/>
      <c r="DK22" s="183"/>
      <c r="DL22" s="183"/>
      <c r="DM22" s="183"/>
      <c r="DN22" s="183"/>
      <c r="DO22" s="183"/>
      <c r="DP22" s="183"/>
      <c r="DQ22" s="183"/>
      <c r="DR22" s="183"/>
      <c r="DS22" s="183"/>
      <c r="DT22" s="183"/>
      <c r="DU22" s="183"/>
      <c r="DV22" s="183"/>
      <c r="DW22" s="183"/>
      <c r="DX22" s="183"/>
      <c r="DY22" s="183"/>
      <c r="DZ22" s="183"/>
      <c r="EA22" s="183"/>
      <c r="EB22" s="183"/>
      <c r="EC22" s="183"/>
      <c r="ED22" s="183"/>
      <c r="EE22" s="183"/>
      <c r="EF22" s="183"/>
      <c r="EG22" s="183"/>
      <c r="EH22" s="249" t="s">
        <v>62</v>
      </c>
      <c r="EI22" s="136" t="str">
        <f t="shared" si="1"/>
        <v>86790-0K141</v>
      </c>
      <c r="EJ22" s="250" t="s">
        <v>67</v>
      </c>
      <c r="EK22" s="136" t="str">
        <f>VLOOKUP(EJ22,'By Plant'!B:D,3,0)</f>
        <v>BP</v>
      </c>
      <c r="EL22" s="136" t="str">
        <f t="shared" si="2"/>
        <v>86790-0K141BPKBN</v>
      </c>
      <c r="EM22" s="136" t="str">
        <f t="shared" si="3"/>
        <v>TP1</v>
      </c>
      <c r="ER22" s="247" t="b">
        <v>1</v>
      </c>
      <c r="ES22" s="247" t="s">
        <v>265</v>
      </c>
      <c r="ET22" s="247">
        <v>873</v>
      </c>
      <c r="EU22" s="247">
        <v>1134</v>
      </c>
      <c r="EV22" s="247">
        <v>1356</v>
      </c>
      <c r="EW22" s="247">
        <v>1468</v>
      </c>
    </row>
    <row r="23" ht="14.25" customHeight="1" spans="1:153" x14ac:dyDescent="0.25">
      <c r="A23" s="249" t="str">
        <f t="shared" si="0"/>
        <v>86790-0K120BPK</v>
      </c>
      <c r="B23" s="177" t="s">
        <v>186</v>
      </c>
      <c r="C23" s="177" t="s">
        <v>219</v>
      </c>
      <c r="D23" s="177" t="s">
        <v>173</v>
      </c>
      <c r="E23" s="177" t="s">
        <v>332</v>
      </c>
      <c r="F23" s="177"/>
      <c r="G23" s="177" t="s">
        <v>202</v>
      </c>
      <c r="H23" s="177" t="s">
        <v>154</v>
      </c>
      <c r="I23" s="178">
        <v>42</v>
      </c>
      <c r="J23" s="183">
        <v>0</v>
      </c>
      <c r="K23" s="183">
        <v>0</v>
      </c>
      <c r="L23" s="183">
        <v>0</v>
      </c>
      <c r="M23" s="183">
        <v>0</v>
      </c>
      <c r="N23" s="183">
        <v>20</v>
      </c>
      <c r="O23" s="183">
        <v>0</v>
      </c>
      <c r="P23" s="183">
        <v>20</v>
      </c>
      <c r="Q23" s="183">
        <v>20</v>
      </c>
      <c r="R23" s="183">
        <v>0</v>
      </c>
      <c r="S23" s="183">
        <v>0</v>
      </c>
      <c r="T23" s="183">
        <v>0</v>
      </c>
      <c r="U23" s="183">
        <v>20</v>
      </c>
      <c r="V23" s="183">
        <v>0</v>
      </c>
      <c r="W23" s="183">
        <v>20</v>
      </c>
      <c r="X23" s="183">
        <v>20</v>
      </c>
      <c r="Y23" s="183">
        <v>0</v>
      </c>
      <c r="Z23" s="183">
        <v>20</v>
      </c>
      <c r="AA23" s="183">
        <v>0</v>
      </c>
      <c r="AB23" s="183">
        <v>20</v>
      </c>
      <c r="AC23" s="183">
        <v>0</v>
      </c>
      <c r="AD23" s="183">
        <v>20</v>
      </c>
      <c r="AE23" s="183">
        <v>20</v>
      </c>
      <c r="AF23" s="183">
        <v>0</v>
      </c>
      <c r="AG23" s="183">
        <v>0</v>
      </c>
      <c r="AH23" s="183">
        <v>0</v>
      </c>
      <c r="AI23" s="183">
        <v>20</v>
      </c>
      <c r="AJ23" s="183">
        <v>0</v>
      </c>
      <c r="AK23" s="183">
        <v>20</v>
      </c>
      <c r="AL23" s="183">
        <v>20</v>
      </c>
      <c r="AM23" s="183">
        <v>0</v>
      </c>
      <c r="AN23" s="183">
        <v>20</v>
      </c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3"/>
      <c r="BB23" s="183"/>
      <c r="BC23" s="183"/>
      <c r="BD23" s="183"/>
      <c r="BE23" s="183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3"/>
      <c r="BZ23" s="183"/>
      <c r="CA23" s="183"/>
      <c r="CB23" s="183"/>
      <c r="CC23" s="183"/>
      <c r="CD23" s="183"/>
      <c r="CE23" s="183"/>
      <c r="CF23" s="183"/>
      <c r="CG23" s="183"/>
      <c r="CH23" s="183"/>
      <c r="CI23" s="183"/>
      <c r="CJ23" s="183"/>
      <c r="CK23" s="183"/>
      <c r="CL23" s="183"/>
      <c r="CM23" s="183"/>
      <c r="CN23" s="183"/>
      <c r="CO23" s="183"/>
      <c r="CP23" s="183"/>
      <c r="CQ23" s="183"/>
      <c r="CR23" s="183"/>
      <c r="CS23" s="183"/>
      <c r="CT23" s="183"/>
      <c r="CU23" s="183"/>
      <c r="CV23" s="183"/>
      <c r="CW23" s="183"/>
      <c r="CX23" s="183"/>
      <c r="CY23" s="183"/>
      <c r="CZ23" s="183"/>
      <c r="DA23" s="183"/>
      <c r="DB23" s="183"/>
      <c r="DC23" s="183"/>
      <c r="DD23" s="183"/>
      <c r="DE23" s="183"/>
      <c r="DF23" s="183"/>
      <c r="DG23" s="183"/>
      <c r="DH23" s="183"/>
      <c r="DI23" s="183"/>
      <c r="DJ23" s="183"/>
      <c r="DK23" s="183"/>
      <c r="DL23" s="183"/>
      <c r="DM23" s="183"/>
      <c r="DN23" s="183"/>
      <c r="DO23" s="183"/>
      <c r="DP23" s="183"/>
      <c r="DQ23" s="183"/>
      <c r="DR23" s="183"/>
      <c r="DS23" s="183"/>
      <c r="DT23" s="183"/>
      <c r="DU23" s="183"/>
      <c r="DV23" s="183"/>
      <c r="DW23" s="183"/>
      <c r="DX23" s="183"/>
      <c r="DY23" s="183"/>
      <c r="DZ23" s="183"/>
      <c r="EA23" s="183"/>
      <c r="EB23" s="183"/>
      <c r="EC23" s="183"/>
      <c r="ED23" s="183"/>
      <c r="EE23" s="183"/>
      <c r="EF23" s="183"/>
      <c r="EG23" s="183"/>
      <c r="EH23" s="249" t="s">
        <v>62</v>
      </c>
      <c r="EI23" s="136" t="str">
        <f t="shared" si="1"/>
        <v>86790-0K120</v>
      </c>
      <c r="EJ23" s="136" t="s">
        <v>29</v>
      </c>
      <c r="EK23" s="136" t="str">
        <f>VLOOKUP(EJ23,'By Plant'!B:D,3,0)</f>
        <v>BPK</v>
      </c>
      <c r="EL23" s="136" t="str">
        <f t="shared" si="2"/>
        <v>86790-0K120BPKD1</v>
      </c>
      <c r="EM23" s="136">
        <f t="shared" si="3"/>
      </c>
    </row>
    <row r="24" ht="14.25" customHeight="1" spans="1:163" x14ac:dyDescent="0.25">
      <c r="A24" s="249" t="str">
        <f t="shared" si="0"/>
        <v>86790-0K141BPK</v>
      </c>
      <c r="B24" s="177" t="s">
        <v>186</v>
      </c>
      <c r="C24" s="177" t="s">
        <v>219</v>
      </c>
      <c r="D24" s="177" t="s">
        <v>173</v>
      </c>
      <c r="E24" s="177" t="s">
        <v>332</v>
      </c>
      <c r="F24" s="177"/>
      <c r="G24" s="177" t="s">
        <v>207</v>
      </c>
      <c r="H24" s="177" t="s">
        <v>154</v>
      </c>
      <c r="I24" s="178">
        <v>6</v>
      </c>
      <c r="J24" s="183">
        <v>0</v>
      </c>
      <c r="K24" s="183">
        <v>0</v>
      </c>
      <c r="L24" s="183">
        <v>0</v>
      </c>
      <c r="M24" s="183">
        <v>0</v>
      </c>
      <c r="N24" s="183">
        <v>64</v>
      </c>
      <c r="O24" s="183">
        <v>48</v>
      </c>
      <c r="P24" s="183">
        <v>80</v>
      </c>
      <c r="Q24" s="183">
        <v>80</v>
      </c>
      <c r="R24" s="183">
        <v>48</v>
      </c>
      <c r="S24" s="183">
        <v>0</v>
      </c>
      <c r="T24" s="183">
        <v>0</v>
      </c>
      <c r="U24" s="183">
        <v>48</v>
      </c>
      <c r="V24" s="183">
        <v>48</v>
      </c>
      <c r="W24" s="183">
        <v>48</v>
      </c>
      <c r="X24" s="183">
        <v>48</v>
      </c>
      <c r="Y24" s="183">
        <v>48</v>
      </c>
      <c r="Z24" s="183">
        <v>48</v>
      </c>
      <c r="AA24" s="183">
        <v>0</v>
      </c>
      <c r="AB24" s="183">
        <v>48</v>
      </c>
      <c r="AC24" s="183">
        <v>48</v>
      </c>
      <c r="AD24" s="183">
        <v>32</v>
      </c>
      <c r="AE24" s="183">
        <v>48</v>
      </c>
      <c r="AF24" s="183">
        <v>48</v>
      </c>
      <c r="AG24" s="183">
        <v>0</v>
      </c>
      <c r="AH24" s="183">
        <v>0</v>
      </c>
      <c r="AI24" s="183">
        <v>48</v>
      </c>
      <c r="AJ24" s="183">
        <v>64</v>
      </c>
      <c r="AK24" s="183">
        <v>32</v>
      </c>
      <c r="AL24" s="183">
        <v>48</v>
      </c>
      <c r="AM24" s="183">
        <v>48</v>
      </c>
      <c r="AN24" s="183">
        <v>48</v>
      </c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3"/>
      <c r="BR24" s="183"/>
      <c r="BS24" s="183"/>
      <c r="BT24" s="183"/>
      <c r="BU24" s="183"/>
      <c r="BV24" s="183"/>
      <c r="BW24" s="183"/>
      <c r="BX24" s="183"/>
      <c r="BY24" s="183"/>
      <c r="BZ24" s="183"/>
      <c r="CA24" s="183"/>
      <c r="CB24" s="183"/>
      <c r="CC24" s="183"/>
      <c r="CD24" s="183"/>
      <c r="CE24" s="183"/>
      <c r="CF24" s="183"/>
      <c r="CG24" s="183"/>
      <c r="CH24" s="183"/>
      <c r="CI24" s="183"/>
      <c r="CJ24" s="183"/>
      <c r="CK24" s="183"/>
      <c r="CL24" s="183"/>
      <c r="CM24" s="183"/>
      <c r="CN24" s="183"/>
      <c r="CO24" s="183"/>
      <c r="CP24" s="183"/>
      <c r="CQ24" s="183"/>
      <c r="CR24" s="183"/>
      <c r="CS24" s="183"/>
      <c r="CT24" s="183"/>
      <c r="CU24" s="183"/>
      <c r="CV24" s="183"/>
      <c r="CW24" s="183"/>
      <c r="CX24" s="183"/>
      <c r="CY24" s="183"/>
      <c r="CZ24" s="183"/>
      <c r="DA24" s="183"/>
      <c r="DB24" s="183"/>
      <c r="DC24" s="183"/>
      <c r="DD24" s="183"/>
      <c r="DE24" s="183"/>
      <c r="DF24" s="183"/>
      <c r="DG24" s="183"/>
      <c r="DH24" s="183"/>
      <c r="DI24" s="183"/>
      <c r="DJ24" s="183"/>
      <c r="DK24" s="183"/>
      <c r="DL24" s="183"/>
      <c r="DM24" s="183"/>
      <c r="DN24" s="183"/>
      <c r="DO24" s="183"/>
      <c r="DP24" s="183"/>
      <c r="DQ24" s="183"/>
      <c r="DR24" s="183"/>
      <c r="DS24" s="183"/>
      <c r="DT24" s="183"/>
      <c r="DU24" s="183"/>
      <c r="DV24" s="183"/>
      <c r="DW24" s="183"/>
      <c r="DX24" s="183"/>
      <c r="DY24" s="183"/>
      <c r="DZ24" s="183"/>
      <c r="EA24" s="183"/>
      <c r="EB24" s="183"/>
      <c r="EC24" s="183"/>
      <c r="ED24" s="183"/>
      <c r="EE24" s="183"/>
      <c r="EF24" s="183"/>
      <c r="EG24" s="183"/>
      <c r="EH24" s="249" t="s">
        <v>62</v>
      </c>
      <c r="EI24" s="136" t="str">
        <f t="shared" si="1"/>
        <v>86790-0K141</v>
      </c>
      <c r="EJ24" s="250" t="s">
        <v>39</v>
      </c>
      <c r="EK24" s="136" t="str">
        <f>VLOOKUP(EJ24,'By Plant'!B:D,3,0)</f>
        <v>BPK</v>
      </c>
      <c r="EL24" s="136" t="str">
        <f t="shared" si="2"/>
        <v>86790-0K141BPKD1</v>
      </c>
      <c r="EM24" s="136">
        <f t="shared" si="3"/>
      </c>
      <c r="FG24" s="186">
        <f>SUM(FC24:FF24)</f>
        <v>273657</v>
      </c>
    </row>
    <row r="25" ht="14.25" customHeight="1" spans="1:157" x14ac:dyDescent="0.25">
      <c r="A25" s="249" t="str">
        <f t="shared" si="0"/>
        <v>86790-0K171BPKTP1</v>
      </c>
      <c r="B25" s="177" t="s">
        <v>221</v>
      </c>
      <c r="C25" s="177" t="s">
        <v>222</v>
      </c>
      <c r="D25" s="177" t="s">
        <v>173</v>
      </c>
      <c r="E25" s="177" t="s">
        <v>332</v>
      </c>
      <c r="F25" s="177"/>
      <c r="G25" s="177" t="s">
        <v>202</v>
      </c>
      <c r="H25" s="177" t="s">
        <v>154</v>
      </c>
      <c r="I25" s="178">
        <v>20</v>
      </c>
      <c r="J25" s="183">
        <v>0</v>
      </c>
      <c r="K25" s="183">
        <v>0</v>
      </c>
      <c r="L25" s="183">
        <v>0</v>
      </c>
      <c r="M25" s="183">
        <v>0</v>
      </c>
      <c r="N25" s="183">
        <v>10</v>
      </c>
      <c r="O25" s="183">
        <v>0</v>
      </c>
      <c r="P25" s="183">
        <v>10</v>
      </c>
      <c r="Q25" s="183">
        <v>0</v>
      </c>
      <c r="R25" s="183">
        <v>10</v>
      </c>
      <c r="S25" s="183">
        <v>0</v>
      </c>
      <c r="T25" s="183">
        <v>0</v>
      </c>
      <c r="U25" s="183">
        <v>10</v>
      </c>
      <c r="V25" s="183">
        <v>0</v>
      </c>
      <c r="W25" s="183">
        <v>10</v>
      </c>
      <c r="X25" s="183">
        <v>10</v>
      </c>
      <c r="Y25" s="183">
        <v>10</v>
      </c>
      <c r="Z25" s="183">
        <v>10</v>
      </c>
      <c r="AA25" s="183">
        <v>0</v>
      </c>
      <c r="AB25" s="183">
        <v>20</v>
      </c>
      <c r="AC25" s="183">
        <v>0</v>
      </c>
      <c r="AD25" s="183">
        <v>20</v>
      </c>
      <c r="AE25" s="183">
        <v>10</v>
      </c>
      <c r="AF25" s="183">
        <v>10</v>
      </c>
      <c r="AG25" s="183">
        <v>0</v>
      </c>
      <c r="AH25" s="183">
        <v>0</v>
      </c>
      <c r="AI25" s="183">
        <v>20</v>
      </c>
      <c r="AJ25" s="183">
        <v>20</v>
      </c>
      <c r="AK25" s="183">
        <v>20</v>
      </c>
      <c r="AL25" s="183">
        <v>20</v>
      </c>
      <c r="AM25" s="183">
        <v>20</v>
      </c>
      <c r="AN25" s="183">
        <v>20</v>
      </c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3"/>
      <c r="BR25" s="183"/>
      <c r="BS25" s="183"/>
      <c r="BT25" s="183"/>
      <c r="BU25" s="183"/>
      <c r="BV25" s="183"/>
      <c r="BW25" s="183"/>
      <c r="BX25" s="183"/>
      <c r="BY25" s="183"/>
      <c r="BZ25" s="183"/>
      <c r="CA25" s="183"/>
      <c r="CB25" s="183"/>
      <c r="CC25" s="183"/>
      <c r="CD25" s="183"/>
      <c r="CE25" s="183"/>
      <c r="CF25" s="183"/>
      <c r="CG25" s="183"/>
      <c r="CH25" s="183"/>
      <c r="CI25" s="183"/>
      <c r="CJ25" s="183"/>
      <c r="CK25" s="183"/>
      <c r="CL25" s="183"/>
      <c r="CM25" s="183"/>
      <c r="CN25" s="183"/>
      <c r="CO25" s="183"/>
      <c r="CP25" s="183"/>
      <c r="CQ25" s="183"/>
      <c r="CR25" s="183"/>
      <c r="CS25" s="183"/>
      <c r="CT25" s="183"/>
      <c r="CU25" s="183"/>
      <c r="CV25" s="183"/>
      <c r="CW25" s="183"/>
      <c r="CX25" s="183"/>
      <c r="CY25" s="183"/>
      <c r="CZ25" s="183"/>
      <c r="DA25" s="183"/>
      <c r="DB25" s="183"/>
      <c r="DC25" s="183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3"/>
      <c r="DQ25" s="183"/>
      <c r="DR25" s="183"/>
      <c r="DS25" s="183"/>
      <c r="DT25" s="183"/>
      <c r="DU25" s="183"/>
      <c r="DV25" s="183"/>
      <c r="DW25" s="183"/>
      <c r="DX25" s="183"/>
      <c r="DY25" s="183"/>
      <c r="DZ25" s="183"/>
      <c r="EA25" s="183"/>
      <c r="EB25" s="183"/>
      <c r="EC25" s="183"/>
      <c r="ED25" s="183"/>
      <c r="EE25" s="183"/>
      <c r="EF25" s="183"/>
      <c r="EG25" s="183"/>
      <c r="EH25" s="249" t="s">
        <v>62</v>
      </c>
      <c r="EI25" s="136" t="str">
        <f t="shared" si="1"/>
        <v>86790-0K171</v>
      </c>
      <c r="EJ25" s="250" t="s">
        <v>41</v>
      </c>
      <c r="EK25" s="136" t="str">
        <f>VLOOKUP(EJ25,'By Plant'!B:D,3,0)</f>
        <v>SR</v>
      </c>
      <c r="EL25" s="136" t="str">
        <f t="shared" si="2"/>
        <v>86790-0K171BPKBN</v>
      </c>
      <c r="EM25" s="136" t="str">
        <f t="shared" si="3"/>
        <v>TP1</v>
      </c>
      <c r="ER25" s="136" t="b">
        <f t="shared" ref="ER25:ER44" si="5">ES25=LEFT(FB4,11)</f>
        <v>1</v>
      </c>
      <c r="ES25" s="136"/>
      <c r="ET25" s="185"/>
      <c r="EU25" s="185"/>
      <c r="EV25" s="185"/>
      <c r="EW25" s="185"/>
      <c r="EZ25" s="136" t="s">
        <v>101</v>
      </c>
      <c r="FA25" s="136" t="str">
        <f t="shared" ref="FA25:FA35" si="6">LEFT(ES25,11)</f>
        <v>86790-0K051</v>
      </c>
    </row>
    <row r="26" ht="14.25" customHeight="1" spans="1:157" x14ac:dyDescent="0.25">
      <c r="A26" s="249" t="str">
        <f t="shared" si="0"/>
        <v>86790-0K171BPK</v>
      </c>
      <c r="B26" s="177" t="s">
        <v>200</v>
      </c>
      <c r="C26" s="177" t="s">
        <v>201</v>
      </c>
      <c r="D26" s="177" t="s">
        <v>173</v>
      </c>
      <c r="E26" s="177" t="s">
        <v>332</v>
      </c>
      <c r="F26" s="177"/>
      <c r="G26" s="177" t="s">
        <v>202</v>
      </c>
      <c r="H26" s="177" t="s">
        <v>203</v>
      </c>
      <c r="I26" s="178">
        <v>20</v>
      </c>
      <c r="J26" s="183">
        <v>0</v>
      </c>
      <c r="K26" s="183">
        <v>0</v>
      </c>
      <c r="L26" s="183">
        <v>0</v>
      </c>
      <c r="M26" s="183">
        <v>0</v>
      </c>
      <c r="N26" s="183">
        <v>0</v>
      </c>
      <c r="O26" s="183">
        <v>0</v>
      </c>
      <c r="P26" s="183">
        <v>0</v>
      </c>
      <c r="Q26" s="183">
        <v>0</v>
      </c>
      <c r="R26" s="183">
        <v>0</v>
      </c>
      <c r="S26" s="183">
        <v>0</v>
      </c>
      <c r="T26" s="183">
        <v>0</v>
      </c>
      <c r="U26" s="183">
        <v>0</v>
      </c>
      <c r="V26" s="183">
        <v>0</v>
      </c>
      <c r="W26" s="183">
        <v>0</v>
      </c>
      <c r="X26" s="183">
        <v>0</v>
      </c>
      <c r="Y26" s="183">
        <v>0</v>
      </c>
      <c r="Z26" s="183">
        <v>0</v>
      </c>
      <c r="AA26" s="183">
        <v>0</v>
      </c>
      <c r="AB26" s="183">
        <v>0</v>
      </c>
      <c r="AC26" s="183">
        <v>0</v>
      </c>
      <c r="AD26" s="183">
        <v>0</v>
      </c>
      <c r="AE26" s="183">
        <v>0</v>
      </c>
      <c r="AF26" s="183">
        <v>0</v>
      </c>
      <c r="AG26" s="183">
        <v>0</v>
      </c>
      <c r="AH26" s="183">
        <v>0</v>
      </c>
      <c r="AI26" s="183">
        <v>0</v>
      </c>
      <c r="AJ26" s="183">
        <v>0</v>
      </c>
      <c r="AK26" s="183">
        <v>0</v>
      </c>
      <c r="AL26" s="183">
        <v>0</v>
      </c>
      <c r="AM26" s="183">
        <v>0</v>
      </c>
      <c r="AN26" s="183">
        <v>0</v>
      </c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  <c r="BA26" s="183"/>
      <c r="BB26" s="183"/>
      <c r="BC26" s="183"/>
      <c r="BD26" s="183"/>
      <c r="BE26" s="183"/>
      <c r="BF26" s="183"/>
      <c r="BG26" s="183"/>
      <c r="BH26" s="183"/>
      <c r="BI26" s="183"/>
      <c r="BJ26" s="183"/>
      <c r="BK26" s="183"/>
      <c r="BL26" s="183"/>
      <c r="BM26" s="183"/>
      <c r="BN26" s="183"/>
      <c r="BO26" s="183"/>
      <c r="BP26" s="183"/>
      <c r="BQ26" s="183"/>
      <c r="BR26" s="183"/>
      <c r="BS26" s="183"/>
      <c r="BT26" s="183"/>
      <c r="BU26" s="183"/>
      <c r="BV26" s="183"/>
      <c r="BW26" s="183"/>
      <c r="BX26" s="183"/>
      <c r="BY26" s="183"/>
      <c r="BZ26" s="183"/>
      <c r="CA26" s="183"/>
      <c r="CB26" s="183"/>
      <c r="CC26" s="183"/>
      <c r="CD26" s="183"/>
      <c r="CE26" s="183"/>
      <c r="CF26" s="183"/>
      <c r="CG26" s="183"/>
      <c r="CH26" s="183"/>
      <c r="CI26" s="183"/>
      <c r="CJ26" s="183"/>
      <c r="CK26" s="183"/>
      <c r="CL26" s="183"/>
      <c r="CM26" s="183"/>
      <c r="CN26" s="183"/>
      <c r="CO26" s="183"/>
      <c r="CP26" s="183"/>
      <c r="CQ26" s="183"/>
      <c r="CR26" s="183"/>
      <c r="CS26" s="183"/>
      <c r="CT26" s="183"/>
      <c r="CU26" s="183"/>
      <c r="CV26" s="183"/>
      <c r="CW26" s="183"/>
      <c r="CX26" s="183"/>
      <c r="CY26" s="183"/>
      <c r="CZ26" s="183"/>
      <c r="DA26" s="183"/>
      <c r="DB26" s="183"/>
      <c r="DC26" s="183"/>
      <c r="DD26" s="183"/>
      <c r="DE26" s="183"/>
      <c r="DF26" s="183"/>
      <c r="DG26" s="183"/>
      <c r="DH26" s="183"/>
      <c r="DI26" s="183"/>
      <c r="DJ26" s="183"/>
      <c r="DK26" s="183"/>
      <c r="DL26" s="183"/>
      <c r="DM26" s="183"/>
      <c r="DN26" s="183"/>
      <c r="DO26" s="183"/>
      <c r="DP26" s="183"/>
      <c r="DQ26" s="183"/>
      <c r="DR26" s="183"/>
      <c r="DS26" s="183"/>
      <c r="DT26" s="183"/>
      <c r="DU26" s="183"/>
      <c r="DV26" s="183"/>
      <c r="DW26" s="183"/>
      <c r="DX26" s="183"/>
      <c r="DY26" s="183"/>
      <c r="DZ26" s="183"/>
      <c r="EA26" s="183"/>
      <c r="EB26" s="183"/>
      <c r="EC26" s="183"/>
      <c r="ED26" s="183"/>
      <c r="EE26" s="183"/>
      <c r="EF26" s="183"/>
      <c r="EG26" s="183"/>
      <c r="EH26" s="249" t="s">
        <v>62</v>
      </c>
      <c r="EI26" s="136" t="str">
        <f t="shared" si="1"/>
        <v>86790-0K171</v>
      </c>
      <c r="EJ26" s="250" t="s">
        <v>41</v>
      </c>
      <c r="EK26" s="136" t="str">
        <f>VLOOKUP(EJ26,'By Plant'!B:D,3,0)</f>
        <v>SR</v>
      </c>
      <c r="EL26" s="136" t="str">
        <f t="shared" si="2"/>
        <v>86790-0K171BPKD1</v>
      </c>
      <c r="EM26" s="136">
        <f t="shared" si="3"/>
      </c>
      <c r="ER26" s="136" t="b">
        <f t="shared" si="5"/>
        <v>1</v>
      </c>
      <c r="ES26" s="136"/>
      <c r="ET26" s="185"/>
      <c r="EU26" s="185"/>
      <c r="EV26" s="185"/>
      <c r="EW26" s="185"/>
      <c r="EZ26" s="136" t="s">
        <v>59</v>
      </c>
      <c r="FA26" s="136" t="str">
        <f t="shared" si="6"/>
        <v>86790-0K080</v>
      </c>
    </row>
    <row r="27" ht="14.25" customHeight="1" spans="1:157" x14ac:dyDescent="0.25">
      <c r="A27" s="249" t="str">
        <f t="shared" si="0"/>
        <v>86790-0K171BPKTP1</v>
      </c>
      <c r="B27" s="177" t="s">
        <v>188</v>
      </c>
      <c r="C27" s="177" t="s">
        <v>223</v>
      </c>
      <c r="D27" s="177" t="s">
        <v>173</v>
      </c>
      <c r="E27" s="177" t="s">
        <v>332</v>
      </c>
      <c r="F27" s="177"/>
      <c r="G27" s="177" t="s">
        <v>202</v>
      </c>
      <c r="H27" s="177" t="s">
        <v>154</v>
      </c>
      <c r="I27" s="178">
        <v>16</v>
      </c>
      <c r="J27" s="183">
        <v>0</v>
      </c>
      <c r="K27" s="183">
        <v>0</v>
      </c>
      <c r="L27" s="183">
        <v>0</v>
      </c>
      <c r="M27" s="183">
        <v>0</v>
      </c>
      <c r="N27" s="183">
        <v>0</v>
      </c>
      <c r="O27" s="183">
        <v>0</v>
      </c>
      <c r="P27" s="183">
        <v>0</v>
      </c>
      <c r="Q27" s="183">
        <v>0</v>
      </c>
      <c r="R27" s="183">
        <v>0</v>
      </c>
      <c r="S27" s="183">
        <v>0</v>
      </c>
      <c r="T27" s="183">
        <v>0</v>
      </c>
      <c r="U27" s="183">
        <v>0</v>
      </c>
      <c r="V27" s="183">
        <v>0</v>
      </c>
      <c r="W27" s="183">
        <v>0</v>
      </c>
      <c r="X27" s="183">
        <v>0</v>
      </c>
      <c r="Y27" s="183">
        <v>0</v>
      </c>
      <c r="Z27" s="183">
        <v>0</v>
      </c>
      <c r="AA27" s="183">
        <v>0</v>
      </c>
      <c r="AB27" s="183">
        <v>0</v>
      </c>
      <c r="AC27" s="183">
        <v>0</v>
      </c>
      <c r="AD27" s="183">
        <v>0</v>
      </c>
      <c r="AE27" s="183">
        <v>0</v>
      </c>
      <c r="AF27" s="183">
        <v>0</v>
      </c>
      <c r="AG27" s="183">
        <v>0</v>
      </c>
      <c r="AH27" s="183">
        <v>0</v>
      </c>
      <c r="AI27" s="183">
        <v>0</v>
      </c>
      <c r="AJ27" s="183">
        <v>0</v>
      </c>
      <c r="AK27" s="183">
        <v>0</v>
      </c>
      <c r="AL27" s="183">
        <v>0</v>
      </c>
      <c r="AM27" s="183">
        <v>0</v>
      </c>
      <c r="AN27" s="183">
        <v>0</v>
      </c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3"/>
      <c r="BR27" s="183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83"/>
      <c r="CM27" s="183"/>
      <c r="CN27" s="183"/>
      <c r="CO27" s="183"/>
      <c r="CP27" s="183"/>
      <c r="CQ27" s="183"/>
      <c r="CR27" s="183"/>
      <c r="CS27" s="183"/>
      <c r="CT27" s="183"/>
      <c r="CU27" s="183"/>
      <c r="CV27" s="183"/>
      <c r="CW27" s="183"/>
      <c r="CX27" s="183"/>
      <c r="CY27" s="183"/>
      <c r="CZ27" s="183"/>
      <c r="DA27" s="183"/>
      <c r="DB27" s="183"/>
      <c r="DC27" s="183"/>
      <c r="DD27" s="183"/>
      <c r="DE27" s="183"/>
      <c r="DF27" s="183"/>
      <c r="DG27" s="183"/>
      <c r="DH27" s="183"/>
      <c r="DI27" s="183"/>
      <c r="DJ27" s="183"/>
      <c r="DK27" s="183"/>
      <c r="DL27" s="183"/>
      <c r="DM27" s="183"/>
      <c r="DN27" s="183"/>
      <c r="DO27" s="183"/>
      <c r="DP27" s="183"/>
      <c r="DQ27" s="183"/>
      <c r="DR27" s="183"/>
      <c r="DS27" s="183"/>
      <c r="DT27" s="183"/>
      <c r="DU27" s="183"/>
      <c r="DV27" s="183"/>
      <c r="DW27" s="183"/>
      <c r="DX27" s="183"/>
      <c r="DY27" s="183"/>
      <c r="DZ27" s="183"/>
      <c r="EA27" s="183"/>
      <c r="EB27" s="183"/>
      <c r="EC27" s="183"/>
      <c r="ED27" s="183"/>
      <c r="EE27" s="183"/>
      <c r="EF27" s="183"/>
      <c r="EG27" s="183"/>
      <c r="EH27" s="249" t="s">
        <v>62</v>
      </c>
      <c r="EI27" s="136" t="str">
        <f t="shared" si="1"/>
        <v>86790-0K171</v>
      </c>
      <c r="EJ27" s="136" t="s">
        <v>41</v>
      </c>
      <c r="EK27" s="136" t="str">
        <f>VLOOKUP(EJ27,'By Plant'!B:D,3,0)</f>
        <v>SR</v>
      </c>
      <c r="EL27" s="136" t="str">
        <f t="shared" si="2"/>
        <v>86790-0K171BPKBN</v>
      </c>
      <c r="EM27" s="136" t="str">
        <f t="shared" si="3"/>
        <v>TP1</v>
      </c>
      <c r="ER27" s="136" t="b">
        <f t="shared" si="5"/>
        <v>1</v>
      </c>
      <c r="ES27" s="136"/>
      <c r="ET27" s="185"/>
      <c r="EU27" s="185"/>
      <c r="EV27" s="185"/>
      <c r="EW27" s="185"/>
      <c r="EZ27" s="136" t="s">
        <v>67</v>
      </c>
      <c r="FA27" s="136" t="str">
        <f t="shared" si="6"/>
        <v>86790-0K110</v>
      </c>
    </row>
    <row r="28" ht="14.25" customHeight="1" spans="1:157" x14ac:dyDescent="0.25">
      <c r="A28" s="249" t="str">
        <f t="shared" si="0"/>
        <v>86790-0K181BPK</v>
      </c>
      <c r="B28" s="177" t="s">
        <v>167</v>
      </c>
      <c r="C28" s="177" t="s">
        <v>340</v>
      </c>
      <c r="D28" s="177" t="s">
        <v>173</v>
      </c>
      <c r="E28" s="177" t="s">
        <v>332</v>
      </c>
      <c r="F28" s="177"/>
      <c r="G28" s="177" t="s">
        <v>202</v>
      </c>
      <c r="H28" s="177" t="s">
        <v>192</v>
      </c>
      <c r="I28" s="178">
        <v>60</v>
      </c>
      <c r="J28" s="183">
        <v>0</v>
      </c>
      <c r="K28" s="183">
        <v>0</v>
      </c>
      <c r="L28" s="183">
        <v>0</v>
      </c>
      <c r="M28" s="183">
        <v>0</v>
      </c>
      <c r="N28" s="183">
        <v>16</v>
      </c>
      <c r="O28" s="183">
        <v>16</v>
      </c>
      <c r="P28" s="183">
        <v>16</v>
      </c>
      <c r="Q28" s="183">
        <v>0</v>
      </c>
      <c r="R28" s="183">
        <v>16</v>
      </c>
      <c r="S28" s="183">
        <v>0</v>
      </c>
      <c r="T28" s="183">
        <v>0</v>
      </c>
      <c r="U28" s="183">
        <v>16</v>
      </c>
      <c r="V28" s="183">
        <v>16</v>
      </c>
      <c r="W28" s="183">
        <v>0</v>
      </c>
      <c r="X28" s="183">
        <v>16</v>
      </c>
      <c r="Y28" s="183">
        <v>32</v>
      </c>
      <c r="Z28" s="183">
        <v>0</v>
      </c>
      <c r="AA28" s="183">
        <v>0</v>
      </c>
      <c r="AB28" s="183">
        <v>16</v>
      </c>
      <c r="AC28" s="183">
        <v>32</v>
      </c>
      <c r="AD28" s="183">
        <v>0</v>
      </c>
      <c r="AE28" s="183">
        <v>16</v>
      </c>
      <c r="AF28" s="183">
        <v>0</v>
      </c>
      <c r="AG28" s="183">
        <v>0</v>
      </c>
      <c r="AH28" s="183">
        <v>0</v>
      </c>
      <c r="AI28" s="183">
        <v>32</v>
      </c>
      <c r="AJ28" s="183">
        <v>16</v>
      </c>
      <c r="AK28" s="183">
        <v>16</v>
      </c>
      <c r="AL28" s="183">
        <v>16</v>
      </c>
      <c r="AM28" s="183">
        <v>16</v>
      </c>
      <c r="AN28" s="183">
        <v>16</v>
      </c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3"/>
      <c r="BK28" s="183"/>
      <c r="BL28" s="183"/>
      <c r="BM28" s="183"/>
      <c r="BN28" s="183"/>
      <c r="BO28" s="183"/>
      <c r="BP28" s="183"/>
      <c r="BQ28" s="183"/>
      <c r="BR28" s="183"/>
      <c r="BS28" s="183"/>
      <c r="BT28" s="183"/>
      <c r="BU28" s="183"/>
      <c r="BV28" s="183"/>
      <c r="BW28" s="183"/>
      <c r="BX28" s="183"/>
      <c r="BY28" s="183"/>
      <c r="BZ28" s="183"/>
      <c r="CA28" s="183"/>
      <c r="CB28" s="183"/>
      <c r="CC28" s="183"/>
      <c r="CD28" s="183"/>
      <c r="CE28" s="183"/>
      <c r="CF28" s="183"/>
      <c r="CG28" s="183"/>
      <c r="CH28" s="183"/>
      <c r="CI28" s="183"/>
      <c r="CJ28" s="183"/>
      <c r="CK28" s="183"/>
      <c r="CL28" s="183"/>
      <c r="CM28" s="183"/>
      <c r="CN28" s="183"/>
      <c r="CO28" s="183"/>
      <c r="CP28" s="183"/>
      <c r="CQ28" s="183"/>
      <c r="CR28" s="183"/>
      <c r="CS28" s="183"/>
      <c r="CT28" s="183"/>
      <c r="CU28" s="183"/>
      <c r="CV28" s="183"/>
      <c r="CW28" s="183"/>
      <c r="CX28" s="183"/>
      <c r="CY28" s="183"/>
      <c r="CZ28" s="183"/>
      <c r="DA28" s="183"/>
      <c r="DB28" s="183"/>
      <c r="DC28" s="183"/>
      <c r="DD28" s="183"/>
      <c r="DE28" s="183"/>
      <c r="DF28" s="183"/>
      <c r="DG28" s="183"/>
      <c r="DH28" s="183"/>
      <c r="DI28" s="183"/>
      <c r="DJ28" s="183"/>
      <c r="DK28" s="183"/>
      <c r="DL28" s="183"/>
      <c r="DM28" s="183"/>
      <c r="DN28" s="183"/>
      <c r="DO28" s="183"/>
      <c r="DP28" s="183"/>
      <c r="DQ28" s="183"/>
      <c r="DR28" s="183"/>
      <c r="DS28" s="183"/>
      <c r="DT28" s="183"/>
      <c r="DU28" s="183"/>
      <c r="DV28" s="183"/>
      <c r="DW28" s="183"/>
      <c r="DX28" s="183"/>
      <c r="DY28" s="183"/>
      <c r="DZ28" s="183"/>
      <c r="EA28" s="183"/>
      <c r="EB28" s="183"/>
      <c r="EC28" s="183"/>
      <c r="ED28" s="183"/>
      <c r="EE28" s="183"/>
      <c r="EF28" s="183"/>
      <c r="EG28" s="183"/>
      <c r="EH28" s="249" t="s">
        <v>62</v>
      </c>
      <c r="EI28" s="136" t="str">
        <f t="shared" si="1"/>
        <v>86790-0K181</v>
      </c>
      <c r="EJ28" s="136" t="s">
        <v>42</v>
      </c>
      <c r="EK28" s="136" t="str">
        <f>VLOOKUP(EJ28,'By Plant'!B:D,3,0)</f>
        <v>BP</v>
      </c>
      <c r="EL28" s="136" t="str">
        <f t="shared" si="2"/>
        <v>86790-0K181BPKD1</v>
      </c>
      <c r="EM28" s="136">
        <f t="shared" si="3"/>
      </c>
      <c r="ER28" s="136" t="b">
        <f t="shared" si="5"/>
        <v>1</v>
      </c>
      <c r="ES28" s="136"/>
      <c r="ET28" s="185"/>
      <c r="EU28" s="185"/>
      <c r="EV28" s="185"/>
      <c r="EW28" s="185"/>
      <c r="EZ28" s="136" t="s">
        <v>29</v>
      </c>
      <c r="FA28" s="136" t="str">
        <f t="shared" si="6"/>
        <v>86790-0K120</v>
      </c>
    </row>
    <row r="29" ht="14.25" customHeight="1" spans="1:157" x14ac:dyDescent="0.25">
      <c r="A29" s="249" t="str">
        <f t="shared" si="0"/>
        <v>86790-0K190BPK</v>
      </c>
      <c r="B29" s="177" t="s">
        <v>169</v>
      </c>
      <c r="C29" s="177" t="s">
        <v>341</v>
      </c>
      <c r="D29" s="177" t="s">
        <v>173</v>
      </c>
      <c r="E29" s="177" t="s">
        <v>332</v>
      </c>
      <c r="F29" s="177"/>
      <c r="G29" s="177" t="s">
        <v>202</v>
      </c>
      <c r="H29" s="177" t="s">
        <v>192</v>
      </c>
      <c r="I29" s="178">
        <v>84</v>
      </c>
      <c r="J29" s="183">
        <v>0</v>
      </c>
      <c r="K29" s="183">
        <v>0</v>
      </c>
      <c r="L29" s="183">
        <v>0</v>
      </c>
      <c r="M29" s="183">
        <v>0</v>
      </c>
      <c r="N29" s="183">
        <v>126</v>
      </c>
      <c r="O29" s="183">
        <v>84</v>
      </c>
      <c r="P29" s="183">
        <v>168</v>
      </c>
      <c r="Q29" s="183">
        <v>168</v>
      </c>
      <c r="R29" s="183">
        <v>168</v>
      </c>
      <c r="S29" s="183">
        <v>0</v>
      </c>
      <c r="T29" s="183">
        <v>0</v>
      </c>
      <c r="U29" s="183">
        <v>168</v>
      </c>
      <c r="V29" s="183">
        <v>168</v>
      </c>
      <c r="W29" s="183">
        <v>126</v>
      </c>
      <c r="X29" s="183">
        <v>210</v>
      </c>
      <c r="Y29" s="183">
        <v>210</v>
      </c>
      <c r="Z29" s="183">
        <v>126</v>
      </c>
      <c r="AA29" s="183">
        <v>0</v>
      </c>
      <c r="AB29" s="183">
        <v>168</v>
      </c>
      <c r="AC29" s="183">
        <v>168</v>
      </c>
      <c r="AD29" s="183">
        <v>210</v>
      </c>
      <c r="AE29" s="183">
        <v>168</v>
      </c>
      <c r="AF29" s="183">
        <v>168</v>
      </c>
      <c r="AG29" s="183">
        <v>0</v>
      </c>
      <c r="AH29" s="183">
        <v>0</v>
      </c>
      <c r="AI29" s="183">
        <v>168</v>
      </c>
      <c r="AJ29" s="183">
        <v>168</v>
      </c>
      <c r="AK29" s="183">
        <v>210</v>
      </c>
      <c r="AL29" s="183">
        <v>168</v>
      </c>
      <c r="AM29" s="183">
        <v>126</v>
      </c>
      <c r="AN29" s="183">
        <v>252</v>
      </c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  <c r="BU29" s="183"/>
      <c r="BV29" s="183"/>
      <c r="BW29" s="183"/>
      <c r="BX29" s="183"/>
      <c r="BY29" s="183"/>
      <c r="BZ29" s="183"/>
      <c r="CA29" s="183"/>
      <c r="CB29" s="183"/>
      <c r="CC29" s="183"/>
      <c r="CD29" s="183"/>
      <c r="CE29" s="183"/>
      <c r="CF29" s="183"/>
      <c r="CG29" s="183"/>
      <c r="CH29" s="183"/>
      <c r="CI29" s="183"/>
      <c r="CJ29" s="183"/>
      <c r="CK29" s="183"/>
      <c r="CL29" s="183"/>
      <c r="CM29" s="183"/>
      <c r="CN29" s="183"/>
      <c r="CO29" s="183"/>
      <c r="CP29" s="183"/>
      <c r="CQ29" s="183"/>
      <c r="CR29" s="183"/>
      <c r="CS29" s="183"/>
      <c r="CT29" s="183"/>
      <c r="CU29" s="183"/>
      <c r="CV29" s="183"/>
      <c r="CW29" s="183"/>
      <c r="CX29" s="183"/>
      <c r="CY29" s="183"/>
      <c r="CZ29" s="183"/>
      <c r="DA29" s="183"/>
      <c r="DB29" s="183"/>
      <c r="DC29" s="183"/>
      <c r="DD29" s="183"/>
      <c r="DE29" s="183"/>
      <c r="DF29" s="183"/>
      <c r="DG29" s="183"/>
      <c r="DH29" s="183"/>
      <c r="DI29" s="183"/>
      <c r="DJ29" s="183"/>
      <c r="DK29" s="183"/>
      <c r="DL29" s="183"/>
      <c r="DM29" s="183"/>
      <c r="DN29" s="183"/>
      <c r="DO29" s="183"/>
      <c r="DP29" s="183"/>
      <c r="DQ29" s="183"/>
      <c r="DR29" s="183"/>
      <c r="DS29" s="183"/>
      <c r="DT29" s="183"/>
      <c r="DU29" s="183"/>
      <c r="DV29" s="183"/>
      <c r="DW29" s="183"/>
      <c r="DX29" s="183"/>
      <c r="DY29" s="183"/>
      <c r="DZ29" s="183"/>
      <c r="EA29" s="183"/>
      <c r="EB29" s="183"/>
      <c r="EC29" s="183"/>
      <c r="ED29" s="183"/>
      <c r="EE29" s="183"/>
      <c r="EF29" s="183"/>
      <c r="EG29" s="183"/>
      <c r="EH29" s="249" t="s">
        <v>62</v>
      </c>
      <c r="EI29" s="136" t="str">
        <f t="shared" si="1"/>
        <v>86790-0K190</v>
      </c>
      <c r="EJ29" s="136" t="s">
        <v>114</v>
      </c>
      <c r="EK29" s="136" t="str">
        <f>VLOOKUP(EJ29,'By Plant'!B:D,3,0)</f>
        <v>BP</v>
      </c>
      <c r="EL29" s="136" t="str">
        <f t="shared" si="2"/>
        <v>86790-0K190BPKD1</v>
      </c>
      <c r="EM29" s="136">
        <f t="shared" si="3"/>
      </c>
      <c r="ER29" s="136" t="b">
        <f t="shared" si="5"/>
        <v>1</v>
      </c>
      <c r="ES29" s="136"/>
      <c r="ET29" s="185"/>
      <c r="EU29" s="185"/>
      <c r="EV29" s="185"/>
      <c r="EW29" s="185"/>
      <c r="EZ29" s="136" t="s">
        <v>39</v>
      </c>
      <c r="FA29" s="136" t="str">
        <f t="shared" si="6"/>
        <v>86790-0K141</v>
      </c>
    </row>
    <row r="30" ht="14.25" customHeight="1" spans="1:157" x14ac:dyDescent="0.25">
      <c r="A30" s="249" t="str">
        <f t="shared" si="0"/>
        <v>86790-0K190BPKTP1</v>
      </c>
      <c r="B30" s="177" t="s">
        <v>225</v>
      </c>
      <c r="C30" s="177" t="s">
        <v>226</v>
      </c>
      <c r="D30" s="177" t="s">
        <v>173</v>
      </c>
      <c r="E30" s="177" t="s">
        <v>332</v>
      </c>
      <c r="F30" s="177"/>
      <c r="G30" s="177" t="s">
        <v>202</v>
      </c>
      <c r="H30" s="177" t="s">
        <v>228</v>
      </c>
      <c r="I30" s="178">
        <v>15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v>0</v>
      </c>
      <c r="P30" s="183">
        <v>0</v>
      </c>
      <c r="Q30" s="183">
        <v>0</v>
      </c>
      <c r="R30" s="183">
        <v>0</v>
      </c>
      <c r="S30" s="183">
        <v>0</v>
      </c>
      <c r="T30" s="183">
        <v>0</v>
      </c>
      <c r="U30" s="183">
        <v>0</v>
      </c>
      <c r="V30" s="183">
        <v>0</v>
      </c>
      <c r="W30" s="183">
        <v>10</v>
      </c>
      <c r="X30" s="183">
        <v>0</v>
      </c>
      <c r="Y30" s="183">
        <v>0</v>
      </c>
      <c r="Z30" s="183">
        <v>10</v>
      </c>
      <c r="AA30" s="183">
        <v>0</v>
      </c>
      <c r="AB30" s="183">
        <v>0</v>
      </c>
      <c r="AC30" s="183">
        <v>0</v>
      </c>
      <c r="AD30" s="183">
        <v>10</v>
      </c>
      <c r="AE30" s="183">
        <v>0</v>
      </c>
      <c r="AF30" s="183">
        <v>0</v>
      </c>
      <c r="AG30" s="183">
        <v>0</v>
      </c>
      <c r="AH30" s="183">
        <v>0</v>
      </c>
      <c r="AI30" s="183">
        <v>10</v>
      </c>
      <c r="AJ30" s="183">
        <v>0</v>
      </c>
      <c r="AK30" s="183">
        <v>0</v>
      </c>
      <c r="AL30" s="183">
        <v>0</v>
      </c>
      <c r="AM30" s="183">
        <v>10</v>
      </c>
      <c r="AN30" s="183">
        <v>10</v>
      </c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  <c r="BU30" s="183"/>
      <c r="BV30" s="183"/>
      <c r="BW30" s="183"/>
      <c r="BX30" s="183"/>
      <c r="BY30" s="183"/>
      <c r="BZ30" s="183"/>
      <c r="CA30" s="183"/>
      <c r="CB30" s="183"/>
      <c r="CC30" s="183"/>
      <c r="CD30" s="183"/>
      <c r="CE30" s="183"/>
      <c r="CF30" s="183"/>
      <c r="CG30" s="183"/>
      <c r="CH30" s="183"/>
      <c r="CI30" s="183"/>
      <c r="CJ30" s="183"/>
      <c r="CK30" s="183"/>
      <c r="CL30" s="183"/>
      <c r="CM30" s="183"/>
      <c r="CN30" s="183"/>
      <c r="CO30" s="183"/>
      <c r="CP30" s="183"/>
      <c r="CQ30" s="183"/>
      <c r="CR30" s="183"/>
      <c r="CS30" s="183"/>
      <c r="CT30" s="183"/>
      <c r="CU30" s="183"/>
      <c r="CV30" s="183"/>
      <c r="CW30" s="183"/>
      <c r="CX30" s="183"/>
      <c r="CY30" s="183"/>
      <c r="CZ30" s="183"/>
      <c r="DA30" s="183"/>
      <c r="DB30" s="183"/>
      <c r="DC30" s="183"/>
      <c r="DD30" s="183"/>
      <c r="DE30" s="183"/>
      <c r="DF30" s="183"/>
      <c r="DG30" s="183"/>
      <c r="DH30" s="183"/>
      <c r="DI30" s="183"/>
      <c r="DJ30" s="183"/>
      <c r="DK30" s="183"/>
      <c r="DL30" s="183"/>
      <c r="DM30" s="183"/>
      <c r="DN30" s="183"/>
      <c r="DO30" s="183"/>
      <c r="DP30" s="183"/>
      <c r="DQ30" s="183"/>
      <c r="DR30" s="183"/>
      <c r="DS30" s="183"/>
      <c r="DT30" s="183"/>
      <c r="DU30" s="183"/>
      <c r="DV30" s="183"/>
      <c r="DW30" s="183"/>
      <c r="DX30" s="183"/>
      <c r="DY30" s="183"/>
      <c r="DZ30" s="183"/>
      <c r="EA30" s="183"/>
      <c r="EB30" s="183"/>
      <c r="EC30" s="183"/>
      <c r="ED30" s="183"/>
      <c r="EE30" s="183"/>
      <c r="EF30" s="183"/>
      <c r="EG30" s="183"/>
      <c r="EH30" s="249" t="s">
        <v>62</v>
      </c>
      <c r="EI30" s="136" t="str">
        <f t="shared" si="1"/>
        <v>86790-0K190</v>
      </c>
      <c r="EJ30" s="136" t="s">
        <v>114</v>
      </c>
      <c r="EK30" s="136" t="str">
        <f>VLOOKUP(EJ30,'By Plant'!B:D,3,0)</f>
        <v>BP</v>
      </c>
      <c r="EL30" s="136" t="str">
        <f t="shared" si="2"/>
        <v>86790-0K190BPKBN</v>
      </c>
      <c r="EM30" s="136" t="str">
        <f t="shared" si="3"/>
        <v>TP1</v>
      </c>
      <c r="ER30" s="136" t="b">
        <f t="shared" si="5"/>
        <v>1</v>
      </c>
      <c r="ES30" s="136"/>
      <c r="ET30" s="185"/>
      <c r="EU30" s="185"/>
      <c r="EV30" s="185"/>
      <c r="EW30" s="185"/>
      <c r="EZ30" s="136" t="s">
        <v>41</v>
      </c>
      <c r="FA30" s="136" t="str">
        <f t="shared" si="6"/>
        <v>86790-0K171</v>
      </c>
    </row>
    <row r="31" ht="14.25" customHeight="1" spans="1:157" x14ac:dyDescent="0.25">
      <c r="A31" s="249" t="str">
        <f t="shared" si="0"/>
        <v>86790-0K200BPK</v>
      </c>
      <c r="B31" s="177" t="s">
        <v>251</v>
      </c>
      <c r="C31" s="177" t="s">
        <v>252</v>
      </c>
      <c r="D31" s="177" t="s">
        <v>173</v>
      </c>
      <c r="E31" s="177" t="s">
        <v>332</v>
      </c>
      <c r="F31" s="177"/>
      <c r="G31" s="177" t="s">
        <v>239</v>
      </c>
      <c r="H31" s="177" t="s">
        <v>253</v>
      </c>
      <c r="I31" s="178">
        <v>21</v>
      </c>
      <c r="J31" s="183">
        <v>0</v>
      </c>
      <c r="K31" s="183">
        <v>0</v>
      </c>
      <c r="L31" s="183">
        <v>0</v>
      </c>
      <c r="M31" s="183">
        <v>0</v>
      </c>
      <c r="N31" s="183">
        <v>140</v>
      </c>
      <c r="O31" s="183">
        <v>160</v>
      </c>
      <c r="P31" s="183">
        <v>140</v>
      </c>
      <c r="Q31" s="183">
        <v>140</v>
      </c>
      <c r="R31" s="183">
        <v>160</v>
      </c>
      <c r="S31" s="183">
        <v>0</v>
      </c>
      <c r="T31" s="183">
        <v>0</v>
      </c>
      <c r="U31" s="183">
        <v>140</v>
      </c>
      <c r="V31" s="183">
        <v>180</v>
      </c>
      <c r="W31" s="183">
        <v>140</v>
      </c>
      <c r="X31" s="183">
        <v>140</v>
      </c>
      <c r="Y31" s="183">
        <v>160</v>
      </c>
      <c r="Z31" s="183">
        <v>140</v>
      </c>
      <c r="AA31" s="183">
        <v>0</v>
      </c>
      <c r="AB31" s="183">
        <v>140</v>
      </c>
      <c r="AC31" s="183">
        <v>160</v>
      </c>
      <c r="AD31" s="183">
        <v>140</v>
      </c>
      <c r="AE31" s="183">
        <v>140</v>
      </c>
      <c r="AF31" s="183">
        <v>180</v>
      </c>
      <c r="AG31" s="183">
        <v>0</v>
      </c>
      <c r="AH31" s="183">
        <v>0</v>
      </c>
      <c r="AI31" s="183">
        <v>140</v>
      </c>
      <c r="AJ31" s="183">
        <v>160</v>
      </c>
      <c r="AK31" s="183">
        <v>140</v>
      </c>
      <c r="AL31" s="183">
        <v>140</v>
      </c>
      <c r="AM31" s="183">
        <v>160</v>
      </c>
      <c r="AN31" s="183">
        <v>140</v>
      </c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  <c r="BU31" s="183"/>
      <c r="BV31" s="183"/>
      <c r="BW31" s="183"/>
      <c r="BX31" s="183"/>
      <c r="BY31" s="183"/>
      <c r="BZ31" s="183"/>
      <c r="CA31" s="183"/>
      <c r="CB31" s="183"/>
      <c r="CC31" s="183"/>
      <c r="CD31" s="183"/>
      <c r="CE31" s="183"/>
      <c r="CF31" s="183"/>
      <c r="CG31" s="183"/>
      <c r="CH31" s="183"/>
      <c r="CI31" s="183"/>
      <c r="CJ31" s="183"/>
      <c r="CK31" s="183"/>
      <c r="CL31" s="183"/>
      <c r="CM31" s="183"/>
      <c r="CN31" s="183"/>
      <c r="CO31" s="183"/>
      <c r="CP31" s="183"/>
      <c r="CQ31" s="183"/>
      <c r="CR31" s="183"/>
      <c r="CS31" s="183"/>
      <c r="CT31" s="183"/>
      <c r="CU31" s="183"/>
      <c r="CV31" s="183"/>
      <c r="CW31" s="183"/>
      <c r="CX31" s="183"/>
      <c r="CY31" s="183"/>
      <c r="CZ31" s="183"/>
      <c r="DA31" s="183"/>
      <c r="DB31" s="183"/>
      <c r="DC31" s="183"/>
      <c r="DD31" s="183"/>
      <c r="DE31" s="183"/>
      <c r="DF31" s="183"/>
      <c r="DG31" s="183"/>
      <c r="DH31" s="183"/>
      <c r="DI31" s="183"/>
      <c r="DJ31" s="183"/>
      <c r="DK31" s="183"/>
      <c r="DL31" s="183"/>
      <c r="DM31" s="183"/>
      <c r="DN31" s="183"/>
      <c r="DO31" s="183"/>
      <c r="DP31" s="183"/>
      <c r="DQ31" s="183"/>
      <c r="DR31" s="183"/>
      <c r="DS31" s="183"/>
      <c r="DT31" s="183"/>
      <c r="DU31" s="183"/>
      <c r="DV31" s="183"/>
      <c r="DW31" s="183"/>
      <c r="DX31" s="183"/>
      <c r="DY31" s="183"/>
      <c r="DZ31" s="183"/>
      <c r="EA31" s="183"/>
      <c r="EB31" s="183"/>
      <c r="EC31" s="183"/>
      <c r="ED31" s="183"/>
      <c r="EE31" s="183"/>
      <c r="EF31" s="183"/>
      <c r="EG31" s="183"/>
      <c r="EH31" s="249" t="s">
        <v>89</v>
      </c>
      <c r="EI31" s="136" t="str">
        <f t="shared" si="1"/>
        <v>86790-0K200</v>
      </c>
      <c r="EJ31" s="136" t="s">
        <v>31</v>
      </c>
      <c r="EK31" s="136" t="str">
        <f>VLOOKUP(EJ31,'By Plant'!B:D,3,0)</f>
        <v>BPK</v>
      </c>
      <c r="EL31" s="136" t="str">
        <f t="shared" si="2"/>
        <v>86790-0K200BPKD1</v>
      </c>
      <c r="EM31" s="136">
        <f t="shared" si="3"/>
      </c>
      <c r="ER31" s="136" t="b">
        <f t="shared" si="5"/>
        <v>1</v>
      </c>
      <c r="ES31" s="136"/>
      <c r="ET31" s="185"/>
      <c r="EU31" s="185"/>
      <c r="EV31" s="185"/>
      <c r="EW31" s="185"/>
      <c r="EZ31" s="136" t="s">
        <v>42</v>
      </c>
      <c r="FA31" s="136" t="str">
        <f t="shared" si="6"/>
        <v>86790-0K181</v>
      </c>
    </row>
    <row r="32" ht="14.25" customHeight="1" spans="1:157" x14ac:dyDescent="0.25">
      <c r="A32" s="249" t="str">
        <f t="shared" si="0"/>
        <v>86790-0K230BPK</v>
      </c>
      <c r="B32" s="177" t="s">
        <v>256</v>
      </c>
      <c r="C32" s="177" t="s">
        <v>257</v>
      </c>
      <c r="D32" s="177" t="s">
        <v>173</v>
      </c>
      <c r="E32" s="177" t="s">
        <v>332</v>
      </c>
      <c r="F32" s="177" t="s">
        <v>343</v>
      </c>
      <c r="G32" s="177" t="s">
        <v>239</v>
      </c>
      <c r="H32" s="177" t="s">
        <v>253</v>
      </c>
      <c r="I32" s="178">
        <v>8</v>
      </c>
      <c r="J32" s="183">
        <v>0</v>
      </c>
      <c r="K32" s="183">
        <v>0</v>
      </c>
      <c r="L32" s="183">
        <v>0</v>
      </c>
      <c r="M32" s="183">
        <v>0</v>
      </c>
      <c r="N32" s="183">
        <v>16</v>
      </c>
      <c r="O32" s="183">
        <v>16</v>
      </c>
      <c r="P32" s="183">
        <v>32</v>
      </c>
      <c r="Q32" s="183">
        <v>32</v>
      </c>
      <c r="R32" s="183">
        <v>32</v>
      </c>
      <c r="S32" s="183">
        <v>0</v>
      </c>
      <c r="T32" s="183">
        <v>0</v>
      </c>
      <c r="U32" s="183">
        <v>16</v>
      </c>
      <c r="V32" s="183">
        <v>48</v>
      </c>
      <c r="W32" s="183">
        <v>16</v>
      </c>
      <c r="X32" s="183">
        <v>16</v>
      </c>
      <c r="Y32" s="183">
        <v>48</v>
      </c>
      <c r="Z32" s="183">
        <v>16</v>
      </c>
      <c r="AA32" s="183">
        <v>0</v>
      </c>
      <c r="AB32" s="183">
        <v>32</v>
      </c>
      <c r="AC32" s="183">
        <v>16</v>
      </c>
      <c r="AD32" s="183">
        <v>32</v>
      </c>
      <c r="AE32" s="183">
        <v>32</v>
      </c>
      <c r="AF32" s="183">
        <v>16</v>
      </c>
      <c r="AG32" s="183">
        <v>0</v>
      </c>
      <c r="AH32" s="183">
        <v>0</v>
      </c>
      <c r="AI32" s="183">
        <v>48</v>
      </c>
      <c r="AJ32" s="183">
        <v>16</v>
      </c>
      <c r="AK32" s="183">
        <v>16</v>
      </c>
      <c r="AL32" s="183">
        <v>32</v>
      </c>
      <c r="AM32" s="183">
        <v>16</v>
      </c>
      <c r="AN32" s="183">
        <v>16</v>
      </c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  <c r="BD32" s="183"/>
      <c r="BE32" s="183"/>
      <c r="BF32" s="183"/>
      <c r="BG32" s="183"/>
      <c r="BH32" s="183"/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  <c r="BU32" s="183"/>
      <c r="BV32" s="183"/>
      <c r="BW32" s="183"/>
      <c r="BX32" s="183"/>
      <c r="BY32" s="183"/>
      <c r="BZ32" s="183"/>
      <c r="CA32" s="183"/>
      <c r="CB32" s="183"/>
      <c r="CC32" s="183"/>
      <c r="CD32" s="183"/>
      <c r="CE32" s="183"/>
      <c r="CF32" s="183"/>
      <c r="CG32" s="183"/>
      <c r="CH32" s="183"/>
      <c r="CI32" s="183"/>
      <c r="CJ32" s="183"/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  <c r="CW32" s="183"/>
      <c r="CX32" s="183"/>
      <c r="CY32" s="183"/>
      <c r="CZ32" s="183"/>
      <c r="DA32" s="183"/>
      <c r="DB32" s="183"/>
      <c r="DC32" s="183"/>
      <c r="DD32" s="183"/>
      <c r="DE32" s="183"/>
      <c r="DF32" s="183"/>
      <c r="DG32" s="183"/>
      <c r="DH32" s="183"/>
      <c r="DI32" s="183"/>
      <c r="DJ32" s="183"/>
      <c r="DK32" s="183"/>
      <c r="DL32" s="183"/>
      <c r="DM32" s="183"/>
      <c r="DN32" s="183"/>
      <c r="DO32" s="183"/>
      <c r="DP32" s="183"/>
      <c r="DQ32" s="183"/>
      <c r="DR32" s="183"/>
      <c r="DS32" s="183"/>
      <c r="DT32" s="183"/>
      <c r="DU32" s="183"/>
      <c r="DV32" s="183"/>
      <c r="DW32" s="183"/>
      <c r="DX32" s="183"/>
      <c r="DY32" s="183"/>
      <c r="DZ32" s="183"/>
      <c r="EA32" s="183"/>
      <c r="EB32" s="183"/>
      <c r="EC32" s="183"/>
      <c r="ED32" s="183"/>
      <c r="EE32" s="183"/>
      <c r="EF32" s="183"/>
      <c r="EG32" s="183"/>
      <c r="EH32" s="249" t="s">
        <v>89</v>
      </c>
      <c r="EI32" s="136" t="str">
        <f t="shared" si="1"/>
        <v>86790-0K230</v>
      </c>
      <c r="EJ32" s="136" t="s">
        <v>73</v>
      </c>
      <c r="EK32" s="136" t="str">
        <f>VLOOKUP(EJ32,'By Plant'!B:D,3,0)</f>
        <v>BP</v>
      </c>
      <c r="EL32" s="136" t="str">
        <f t="shared" si="2"/>
        <v>86790-0K230BPKD1</v>
      </c>
      <c r="EM32" s="136">
        <f t="shared" si="3"/>
      </c>
      <c r="ER32" s="136" t="b">
        <f t="shared" si="5"/>
        <v>1</v>
      </c>
      <c r="ES32" s="136"/>
      <c r="ET32" s="185"/>
      <c r="EU32" s="185"/>
      <c r="EV32" s="185"/>
      <c r="EW32" s="185"/>
      <c r="EZ32" s="136" t="s">
        <v>114</v>
      </c>
      <c r="FA32" s="136" t="str">
        <f t="shared" si="6"/>
        <v>86790-0K190</v>
      </c>
    </row>
    <row r="33" ht="14.25" customHeight="1" spans="1:157" x14ac:dyDescent="0.25">
      <c r="A33" s="249" t="str">
        <f t="shared" si="0"/>
        <v>86790-BZ310BPK</v>
      </c>
      <c r="B33" s="177" t="s">
        <v>244</v>
      </c>
      <c r="C33" s="177" t="s">
        <v>245</v>
      </c>
      <c r="D33" s="177" t="s">
        <v>173</v>
      </c>
      <c r="E33" s="177" t="s">
        <v>332</v>
      </c>
      <c r="F33" s="177"/>
      <c r="G33" s="177" t="s">
        <v>234</v>
      </c>
      <c r="H33" s="177" t="s">
        <v>235</v>
      </c>
      <c r="I33" s="178">
        <v>36</v>
      </c>
      <c r="J33" s="183">
        <v>0</v>
      </c>
      <c r="K33" s="183">
        <v>0</v>
      </c>
      <c r="L33" s="183">
        <v>0</v>
      </c>
      <c r="M33" s="183">
        <v>0</v>
      </c>
      <c r="N33" s="183">
        <v>90</v>
      </c>
      <c r="O33" s="183">
        <v>90</v>
      </c>
      <c r="P33" s="183">
        <v>90</v>
      </c>
      <c r="Q33" s="183">
        <v>90</v>
      </c>
      <c r="R33" s="183">
        <v>90</v>
      </c>
      <c r="S33" s="183">
        <v>0</v>
      </c>
      <c r="T33" s="183">
        <v>0</v>
      </c>
      <c r="U33" s="183">
        <v>90</v>
      </c>
      <c r="V33" s="183">
        <v>90</v>
      </c>
      <c r="W33" s="183">
        <v>90</v>
      </c>
      <c r="X33" s="183">
        <v>90</v>
      </c>
      <c r="Y33" s="183">
        <v>90</v>
      </c>
      <c r="Z33" s="183">
        <v>90</v>
      </c>
      <c r="AA33" s="183">
        <v>0</v>
      </c>
      <c r="AB33" s="183">
        <v>90</v>
      </c>
      <c r="AC33" s="183">
        <v>90</v>
      </c>
      <c r="AD33" s="183">
        <v>90</v>
      </c>
      <c r="AE33" s="183">
        <v>75</v>
      </c>
      <c r="AF33" s="183">
        <v>90</v>
      </c>
      <c r="AG33" s="183">
        <v>0</v>
      </c>
      <c r="AH33" s="183">
        <v>0</v>
      </c>
      <c r="AI33" s="183">
        <v>90</v>
      </c>
      <c r="AJ33" s="183">
        <v>90</v>
      </c>
      <c r="AK33" s="183">
        <v>90</v>
      </c>
      <c r="AL33" s="183">
        <v>90</v>
      </c>
      <c r="AM33" s="183">
        <v>90</v>
      </c>
      <c r="AN33" s="183">
        <v>90</v>
      </c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N33" s="183"/>
      <c r="CO33" s="183"/>
      <c r="CP33" s="183"/>
      <c r="CQ33" s="183"/>
      <c r="CR33" s="183"/>
      <c r="CS33" s="183"/>
      <c r="CT33" s="183"/>
      <c r="CU33" s="183"/>
      <c r="CV33" s="183"/>
      <c r="CW33" s="183"/>
      <c r="CX33" s="183"/>
      <c r="CY33" s="183"/>
      <c r="CZ33" s="183"/>
      <c r="DA33" s="183"/>
      <c r="DB33" s="183"/>
      <c r="DC33" s="183"/>
      <c r="DD33" s="183"/>
      <c r="DE33" s="183"/>
      <c r="DF33" s="183"/>
      <c r="DG33" s="183"/>
      <c r="DH33" s="183"/>
      <c r="DI33" s="183"/>
      <c r="DJ33" s="183"/>
      <c r="DK33" s="183"/>
      <c r="DL33" s="183"/>
      <c r="DM33" s="183"/>
      <c r="DN33" s="183"/>
      <c r="DO33" s="183"/>
      <c r="DP33" s="183"/>
      <c r="DQ33" s="183"/>
      <c r="DR33" s="183"/>
      <c r="DS33" s="183"/>
      <c r="DT33" s="183"/>
      <c r="DU33" s="183"/>
      <c r="DV33" s="183"/>
      <c r="DW33" s="183"/>
      <c r="DX33" s="183"/>
      <c r="DY33" s="183"/>
      <c r="DZ33" s="183"/>
      <c r="EA33" s="183"/>
      <c r="EB33" s="183"/>
      <c r="EC33" s="183"/>
      <c r="ED33" s="183"/>
      <c r="EE33" s="183"/>
      <c r="EF33" s="183"/>
      <c r="EG33" s="183"/>
      <c r="EH33" s="251" t="s">
        <v>89</v>
      </c>
      <c r="EI33" s="136" t="str">
        <f t="shared" si="1"/>
        <v>86790-BZ310</v>
      </c>
      <c r="EJ33" s="136" t="s">
        <v>98</v>
      </c>
      <c r="EK33" s="136" t="str">
        <f>VLOOKUP(EJ33,'By Plant'!B:D,3,0)</f>
        <v>GW</v>
      </c>
      <c r="EL33" s="136" t="str">
        <f t="shared" si="2"/>
        <v>86790-BZ310BPKD1</v>
      </c>
      <c r="EM33" s="136">
        <f t="shared" si="3"/>
      </c>
      <c r="ER33" s="136" t="b">
        <f t="shared" si="5"/>
        <v>1</v>
      </c>
      <c r="ES33" s="136"/>
      <c r="ET33" s="185"/>
      <c r="EU33" s="185"/>
      <c r="EV33" s="185"/>
      <c r="EW33" s="185"/>
      <c r="EZ33" s="136" t="s">
        <v>31</v>
      </c>
      <c r="FA33" s="136" t="str">
        <f t="shared" si="6"/>
        <v>86790-0K200</v>
      </c>
    </row>
    <row r="34" ht="14.25" customHeight="1" spans="1:157" x14ac:dyDescent="0.25">
      <c r="A34" s="249" t="str">
        <f t="shared" si="0"/>
        <v>86790-0K310BPK</v>
      </c>
      <c r="B34" s="177" t="s">
        <v>247</v>
      </c>
      <c r="C34" s="177" t="s">
        <v>248</v>
      </c>
      <c r="D34" s="177" t="s">
        <v>173</v>
      </c>
      <c r="E34" s="177" t="s">
        <v>332</v>
      </c>
      <c r="F34" s="177"/>
      <c r="G34" s="177" t="s">
        <v>234</v>
      </c>
      <c r="H34" s="177" t="s">
        <v>235</v>
      </c>
      <c r="I34" s="178">
        <v>10</v>
      </c>
      <c r="J34" s="183">
        <v>0</v>
      </c>
      <c r="K34" s="183">
        <v>0</v>
      </c>
      <c r="L34" s="183">
        <v>0</v>
      </c>
      <c r="M34" s="183">
        <v>0</v>
      </c>
      <c r="N34" s="183">
        <v>0</v>
      </c>
      <c r="O34" s="183">
        <v>0</v>
      </c>
      <c r="P34" s="183">
        <v>0</v>
      </c>
      <c r="Q34" s="183">
        <v>0</v>
      </c>
      <c r="R34" s="183">
        <v>0</v>
      </c>
      <c r="S34" s="183">
        <v>0</v>
      </c>
      <c r="T34" s="183">
        <v>0</v>
      </c>
      <c r="U34" s="183">
        <v>0</v>
      </c>
      <c r="V34" s="183">
        <v>0</v>
      </c>
      <c r="W34" s="183">
        <v>0</v>
      </c>
      <c r="X34" s="183">
        <v>0</v>
      </c>
      <c r="Y34" s="183">
        <v>0</v>
      </c>
      <c r="Z34" s="183">
        <v>0</v>
      </c>
      <c r="AA34" s="183">
        <v>0</v>
      </c>
      <c r="AB34" s="183">
        <v>0</v>
      </c>
      <c r="AC34" s="183">
        <v>0</v>
      </c>
      <c r="AD34" s="183">
        <v>0</v>
      </c>
      <c r="AE34" s="183">
        <v>0</v>
      </c>
      <c r="AF34" s="183">
        <v>0</v>
      </c>
      <c r="AG34" s="183">
        <v>0</v>
      </c>
      <c r="AH34" s="183">
        <v>0</v>
      </c>
      <c r="AI34" s="183">
        <v>0</v>
      </c>
      <c r="AJ34" s="183">
        <v>0</v>
      </c>
      <c r="AK34" s="183">
        <v>0</v>
      </c>
      <c r="AL34" s="183">
        <v>0</v>
      </c>
      <c r="AM34" s="183">
        <v>0</v>
      </c>
      <c r="AN34" s="183">
        <v>0</v>
      </c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N34" s="183"/>
      <c r="CO34" s="183"/>
      <c r="CP34" s="183"/>
      <c r="CQ34" s="183"/>
      <c r="CR34" s="183"/>
      <c r="CS34" s="183"/>
      <c r="CT34" s="183"/>
      <c r="CU34" s="183"/>
      <c r="CV34" s="183"/>
      <c r="CW34" s="183"/>
      <c r="CX34" s="183"/>
      <c r="CY34" s="183"/>
      <c r="CZ34" s="183"/>
      <c r="DA34" s="183"/>
      <c r="DB34" s="183"/>
      <c r="DC34" s="183"/>
      <c r="DD34" s="183"/>
      <c r="DE34" s="183"/>
      <c r="DF34" s="183"/>
      <c r="DG34" s="183"/>
      <c r="DH34" s="183"/>
      <c r="DI34" s="183"/>
      <c r="DJ34" s="183"/>
      <c r="DK34" s="183"/>
      <c r="DL34" s="183"/>
      <c r="DM34" s="183"/>
      <c r="DN34" s="183"/>
      <c r="DO34" s="183"/>
      <c r="DP34" s="183"/>
      <c r="DQ34" s="183"/>
      <c r="DR34" s="183"/>
      <c r="DS34" s="183"/>
      <c r="DT34" s="183"/>
      <c r="DU34" s="183"/>
      <c r="DV34" s="183"/>
      <c r="DW34" s="183"/>
      <c r="DX34" s="183"/>
      <c r="DY34" s="183"/>
      <c r="DZ34" s="183"/>
      <c r="EA34" s="183"/>
      <c r="EB34" s="183"/>
      <c r="EC34" s="183"/>
      <c r="ED34" s="183"/>
      <c r="EE34" s="183"/>
      <c r="EF34" s="183"/>
      <c r="EG34" s="183"/>
      <c r="EH34" s="251" t="s">
        <v>89</v>
      </c>
      <c r="EI34" s="136" t="str">
        <f t="shared" si="1"/>
        <v>86790-0K310</v>
      </c>
      <c r="EJ34" s="136" t="s">
        <v>118</v>
      </c>
      <c r="EL34" s="136" t="str">
        <f t="shared" si="2"/>
        <v>86790-0K310BPKD1</v>
      </c>
      <c r="EM34" s="136">
        <f t="shared" ref="EM34:EM54" si="7">IFERROR(VLOOKUP(EL36,$EQ$5:$ER$12,2,0),"")</f>
      </c>
      <c r="ER34" s="136" t="b">
        <f t="shared" si="5"/>
        <v>1</v>
      </c>
      <c r="ES34" s="136"/>
      <c r="ET34" s="185"/>
      <c r="EU34" s="185"/>
      <c r="EV34" s="185"/>
      <c r="EW34" s="185"/>
      <c r="EZ34" s="136" t="s">
        <v>32</v>
      </c>
      <c r="FA34" s="136" t="str">
        <f t="shared" si="6"/>
        <v>86790-0K220</v>
      </c>
    </row>
    <row r="35" ht="14.25" customHeight="1" spans="1:157" x14ac:dyDescent="0.25">
      <c r="A35" s="249" t="str">
        <f t="shared" si="0"/>
        <v>86790-0K400BPK</v>
      </c>
      <c r="B35" s="177" t="s">
        <v>225</v>
      </c>
      <c r="C35" s="177" t="s">
        <v>259</v>
      </c>
      <c r="D35" s="177" t="s">
        <v>173</v>
      </c>
      <c r="E35" s="177" t="s">
        <v>332</v>
      </c>
      <c r="F35" s="177"/>
      <c r="G35" s="177" t="s">
        <v>234</v>
      </c>
      <c r="H35" s="177" t="s">
        <v>240</v>
      </c>
      <c r="I35" s="178">
        <v>15</v>
      </c>
      <c r="J35" s="183">
        <v>0</v>
      </c>
      <c r="K35" s="183">
        <v>0</v>
      </c>
      <c r="L35" s="183">
        <v>0</v>
      </c>
      <c r="M35" s="183">
        <v>0</v>
      </c>
      <c r="N35" s="183">
        <v>0</v>
      </c>
      <c r="O35" s="183">
        <v>0</v>
      </c>
      <c r="P35" s="183">
        <v>0</v>
      </c>
      <c r="Q35" s="183">
        <v>0</v>
      </c>
      <c r="R35" s="183">
        <v>0</v>
      </c>
      <c r="S35" s="183">
        <v>0</v>
      </c>
      <c r="T35" s="183">
        <v>0</v>
      </c>
      <c r="U35" s="183">
        <v>0</v>
      </c>
      <c r="V35" s="183">
        <v>0</v>
      </c>
      <c r="W35" s="183">
        <v>0</v>
      </c>
      <c r="X35" s="183">
        <v>0</v>
      </c>
      <c r="Y35" s="183">
        <v>0</v>
      </c>
      <c r="Z35" s="183">
        <v>0</v>
      </c>
      <c r="AA35" s="183">
        <v>0</v>
      </c>
      <c r="AB35" s="183">
        <v>0</v>
      </c>
      <c r="AC35" s="183">
        <v>0</v>
      </c>
      <c r="AD35" s="183">
        <v>0</v>
      </c>
      <c r="AE35" s="183">
        <v>0</v>
      </c>
      <c r="AF35" s="183">
        <v>0</v>
      </c>
      <c r="AG35" s="183">
        <v>0</v>
      </c>
      <c r="AH35" s="183">
        <v>0</v>
      </c>
      <c r="AI35" s="183">
        <v>0</v>
      </c>
      <c r="AJ35" s="183">
        <v>0</v>
      </c>
      <c r="AK35" s="183">
        <v>0</v>
      </c>
      <c r="AL35" s="183">
        <v>0</v>
      </c>
      <c r="AM35" s="183">
        <v>0</v>
      </c>
      <c r="AN35" s="183">
        <v>0</v>
      </c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3"/>
      <c r="BY35" s="183"/>
      <c r="BZ35" s="183"/>
      <c r="CA35" s="183"/>
      <c r="CB35" s="183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183"/>
      <c r="CN35" s="183"/>
      <c r="CO35" s="183"/>
      <c r="CP35" s="183"/>
      <c r="CQ35" s="183"/>
      <c r="CR35" s="183"/>
      <c r="CS35" s="183"/>
      <c r="CT35" s="183"/>
      <c r="CU35" s="183"/>
      <c r="CV35" s="183"/>
      <c r="CW35" s="183"/>
      <c r="CX35" s="183"/>
      <c r="CY35" s="183"/>
      <c r="CZ35" s="183"/>
      <c r="DA35" s="183"/>
      <c r="DB35" s="183"/>
      <c r="DC35" s="183"/>
      <c r="DD35" s="183"/>
      <c r="DE35" s="183"/>
      <c r="DF35" s="183"/>
      <c r="DG35" s="183"/>
      <c r="DH35" s="183"/>
      <c r="DI35" s="183"/>
      <c r="DJ35" s="183"/>
      <c r="DK35" s="183"/>
      <c r="DL35" s="183"/>
      <c r="DM35" s="183"/>
      <c r="DN35" s="183"/>
      <c r="DO35" s="183"/>
      <c r="DP35" s="183"/>
      <c r="DQ35" s="183"/>
      <c r="DR35" s="183"/>
      <c r="DS35" s="183"/>
      <c r="DT35" s="183"/>
      <c r="DU35" s="183"/>
      <c r="DV35" s="183"/>
      <c r="DW35" s="183"/>
      <c r="DX35" s="183"/>
      <c r="DY35" s="183"/>
      <c r="DZ35" s="183"/>
      <c r="EA35" s="183"/>
      <c r="EB35" s="183"/>
      <c r="EC35" s="183"/>
      <c r="ED35" s="183"/>
      <c r="EE35" s="183"/>
      <c r="EF35" s="183"/>
      <c r="EG35" s="183"/>
      <c r="EH35" s="251" t="s">
        <v>89</v>
      </c>
      <c r="EI35" s="136" t="str">
        <f t="shared" si="1"/>
        <v>86790-0K400</v>
      </c>
      <c r="EJ35" s="136" t="s">
        <v>119</v>
      </c>
      <c r="EL35" s="136" t="str">
        <f t="shared" si="2"/>
        <v>86790-0K400BPKD1</v>
      </c>
      <c r="EM35" s="136">
        <f t="shared" si="7"/>
      </c>
      <c r="ER35" s="136" t="b">
        <f t="shared" si="5"/>
        <v>1</v>
      </c>
      <c r="ES35" s="136"/>
      <c r="ET35" s="185"/>
      <c r="EU35" s="185"/>
      <c r="EV35" s="185"/>
      <c r="EW35" s="185"/>
      <c r="EZ35" s="136" t="s">
        <v>73</v>
      </c>
      <c r="FA35" s="136" t="str">
        <f t="shared" si="6"/>
        <v>86790-0K230</v>
      </c>
    </row>
    <row r="36" ht="14.25" customHeight="1" spans="1:157" x14ac:dyDescent="0.25">
      <c r="A36" s="249" t="str">
        <f t="shared" ref="A36:A56" si="8">EI36&amp;EH36&amp;EM34</f>
        <v>86790-BZ271GW</v>
      </c>
      <c r="B36" s="177" t="s">
        <v>225</v>
      </c>
      <c r="C36" s="177" t="s">
        <v>260</v>
      </c>
      <c r="D36" s="177" t="s">
        <v>173</v>
      </c>
      <c r="E36" s="177" t="s">
        <v>332</v>
      </c>
      <c r="F36" s="177"/>
      <c r="G36" s="177" t="s">
        <v>239</v>
      </c>
      <c r="H36" s="177" t="s">
        <v>240</v>
      </c>
      <c r="I36" s="178">
        <v>15</v>
      </c>
      <c r="J36" s="183">
        <v>0</v>
      </c>
      <c r="K36" s="183">
        <v>0</v>
      </c>
      <c r="L36" s="183">
        <v>0</v>
      </c>
      <c r="M36" s="183">
        <v>0</v>
      </c>
      <c r="N36" s="183">
        <v>144</v>
      </c>
      <c r="O36" s="183">
        <v>108</v>
      </c>
      <c r="P36" s="183">
        <v>72</v>
      </c>
      <c r="Q36" s="183">
        <v>108</v>
      </c>
      <c r="R36" s="183">
        <v>144</v>
      </c>
      <c r="S36" s="183">
        <v>0</v>
      </c>
      <c r="T36" s="183">
        <v>0</v>
      </c>
      <c r="U36" s="183">
        <v>108</v>
      </c>
      <c r="V36" s="183">
        <v>72</v>
      </c>
      <c r="W36" s="183">
        <v>144</v>
      </c>
      <c r="X36" s="183">
        <v>72</v>
      </c>
      <c r="Y36" s="183">
        <v>108</v>
      </c>
      <c r="Z36" s="183">
        <v>108</v>
      </c>
      <c r="AA36" s="183">
        <v>0</v>
      </c>
      <c r="AB36" s="183">
        <v>108</v>
      </c>
      <c r="AC36" s="183">
        <v>108</v>
      </c>
      <c r="AD36" s="183">
        <v>72</v>
      </c>
      <c r="AE36" s="183">
        <v>108</v>
      </c>
      <c r="AF36" s="183">
        <v>72</v>
      </c>
      <c r="AG36" s="183">
        <v>0</v>
      </c>
      <c r="AH36" s="183">
        <v>0</v>
      </c>
      <c r="AI36" s="183">
        <v>144</v>
      </c>
      <c r="AJ36" s="183">
        <v>72</v>
      </c>
      <c r="AK36" s="183">
        <v>72</v>
      </c>
      <c r="AL36" s="183">
        <v>144</v>
      </c>
      <c r="AM36" s="183">
        <v>72</v>
      </c>
      <c r="AN36" s="183">
        <v>72</v>
      </c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3"/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3"/>
      <c r="CW36" s="183"/>
      <c r="CX36" s="183"/>
      <c r="CY36" s="183"/>
      <c r="CZ36" s="183"/>
      <c r="DA36" s="183"/>
      <c r="DB36" s="183"/>
      <c r="DC36" s="183"/>
      <c r="DD36" s="183"/>
      <c r="DE36" s="183"/>
      <c r="DF36" s="183"/>
      <c r="DG36" s="183"/>
      <c r="DH36" s="183"/>
      <c r="DI36" s="183"/>
      <c r="DJ36" s="183"/>
      <c r="DK36" s="183"/>
      <c r="DL36" s="183"/>
      <c r="DM36" s="183"/>
      <c r="DN36" s="183"/>
      <c r="DO36" s="183"/>
      <c r="DP36" s="183"/>
      <c r="DQ36" s="183"/>
      <c r="DR36" s="183"/>
      <c r="DS36" s="183"/>
      <c r="DT36" s="183"/>
      <c r="DU36" s="183"/>
      <c r="DV36" s="183"/>
      <c r="DW36" s="183"/>
      <c r="DX36" s="183"/>
      <c r="DY36" s="183"/>
      <c r="DZ36" s="183"/>
      <c r="EA36" s="183"/>
      <c r="EB36" s="183"/>
      <c r="EC36" s="183"/>
      <c r="ED36" s="183"/>
      <c r="EE36" s="183"/>
      <c r="EF36" s="183"/>
      <c r="EG36" s="183"/>
      <c r="EH36" s="249" t="s">
        <v>89</v>
      </c>
      <c r="EI36" s="136" t="str">
        <f t="shared" si="1"/>
        <v>86790-BZ271</v>
      </c>
      <c r="EJ36" s="136" t="s">
        <v>111</v>
      </c>
      <c r="EK36" s="136" t="str">
        <f>VLOOKUP(EJ36,'By Plant'!B:D,3,0)</f>
        <v>GW</v>
      </c>
      <c r="EL36" s="136" t="str">
        <f t="shared" si="2"/>
        <v>86790-BZ271GWZ1</v>
      </c>
      <c r="EM36" s="136">
        <f t="shared" si="7"/>
      </c>
      <c r="ER36" s="136" t="b">
        <f t="shared" si="5"/>
        <v>1</v>
      </c>
      <c r="ES36" s="236"/>
      <c r="ET36" s="185"/>
      <c r="EU36" s="185"/>
      <c r="EV36" s="185"/>
      <c r="EW36" s="185"/>
      <c r="EZ36" s="236" t="s">
        <v>118</v>
      </c>
      <c r="FA36" s="236" t="s">
        <v>118</v>
      </c>
    </row>
    <row r="37" ht="14.25" customHeight="1" spans="1:157" x14ac:dyDescent="0.25">
      <c r="A37" s="249" t="str">
        <f t="shared" si="8"/>
        <v>86790-BZ280GW</v>
      </c>
      <c r="B37" s="177" t="s">
        <v>263</v>
      </c>
      <c r="C37" s="177" t="s">
        <v>264</v>
      </c>
      <c r="D37" s="177" t="s">
        <v>173</v>
      </c>
      <c r="E37" s="177" t="s">
        <v>332</v>
      </c>
      <c r="F37" s="177" t="s">
        <v>343</v>
      </c>
      <c r="G37" s="177" t="s">
        <v>239</v>
      </c>
      <c r="H37" s="177" t="s">
        <v>240</v>
      </c>
      <c r="I37" s="178">
        <v>6</v>
      </c>
      <c r="J37" s="183">
        <v>0</v>
      </c>
      <c r="K37" s="183">
        <v>0</v>
      </c>
      <c r="L37" s="183">
        <v>0</v>
      </c>
      <c r="M37" s="183">
        <v>0</v>
      </c>
      <c r="N37" s="183">
        <v>390</v>
      </c>
      <c r="O37" s="183">
        <v>400</v>
      </c>
      <c r="P37" s="183">
        <v>400</v>
      </c>
      <c r="Q37" s="183">
        <v>390</v>
      </c>
      <c r="R37" s="183">
        <v>400</v>
      </c>
      <c r="S37" s="183">
        <v>0</v>
      </c>
      <c r="T37" s="183">
        <v>0</v>
      </c>
      <c r="U37" s="183">
        <v>440</v>
      </c>
      <c r="V37" s="183">
        <v>450</v>
      </c>
      <c r="W37" s="183">
        <v>450</v>
      </c>
      <c r="X37" s="183">
        <v>450</v>
      </c>
      <c r="Y37" s="183">
        <v>250</v>
      </c>
      <c r="Z37" s="183">
        <v>250</v>
      </c>
      <c r="AA37" s="183">
        <v>0</v>
      </c>
      <c r="AB37" s="183">
        <v>250</v>
      </c>
      <c r="AC37" s="183">
        <v>250</v>
      </c>
      <c r="AD37" s="183">
        <v>200</v>
      </c>
      <c r="AE37" s="183">
        <v>200</v>
      </c>
      <c r="AF37" s="183">
        <v>190</v>
      </c>
      <c r="AG37" s="183">
        <v>0</v>
      </c>
      <c r="AH37" s="183">
        <v>0</v>
      </c>
      <c r="AI37" s="183">
        <v>250</v>
      </c>
      <c r="AJ37" s="183">
        <v>220</v>
      </c>
      <c r="AK37" s="183">
        <v>210</v>
      </c>
      <c r="AL37" s="183">
        <v>240</v>
      </c>
      <c r="AM37" s="183">
        <v>240</v>
      </c>
      <c r="AN37" s="183">
        <v>250</v>
      </c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  <c r="CW37" s="183"/>
      <c r="CX37" s="183"/>
      <c r="CY37" s="183"/>
      <c r="CZ37" s="183"/>
      <c r="DA37" s="183"/>
      <c r="DB37" s="183"/>
      <c r="DC37" s="183"/>
      <c r="DD37" s="183"/>
      <c r="DE37" s="183"/>
      <c r="DF37" s="183"/>
      <c r="DG37" s="183"/>
      <c r="DH37" s="183"/>
      <c r="DI37" s="183"/>
      <c r="DJ37" s="183"/>
      <c r="DK37" s="183"/>
      <c r="DL37" s="183"/>
      <c r="DM37" s="183"/>
      <c r="DN37" s="183"/>
      <c r="DO37" s="183"/>
      <c r="DP37" s="183"/>
      <c r="DQ37" s="183"/>
      <c r="DR37" s="183"/>
      <c r="DS37" s="183"/>
      <c r="DT37" s="183"/>
      <c r="DU37" s="183"/>
      <c r="DV37" s="183"/>
      <c r="DW37" s="183"/>
      <c r="DX37" s="183"/>
      <c r="DY37" s="183"/>
      <c r="DZ37" s="183"/>
      <c r="EA37" s="183"/>
      <c r="EB37" s="183"/>
      <c r="EC37" s="183"/>
      <c r="ED37" s="183"/>
      <c r="EE37" s="183"/>
      <c r="EF37" s="183"/>
      <c r="EG37" s="183"/>
      <c r="EH37" s="249" t="s">
        <v>89</v>
      </c>
      <c r="EI37" s="136" t="str">
        <f t="shared" si="1"/>
        <v>86790-BZ280</v>
      </c>
      <c r="EJ37" s="136" t="s">
        <v>92</v>
      </c>
      <c r="EK37" s="136" t="str">
        <f>VLOOKUP(EJ37,'By Plant'!B:D,3,0)</f>
        <v>GW</v>
      </c>
      <c r="EL37" s="136" t="str">
        <f t="shared" si="2"/>
        <v>86790-BZ280GWZ1</v>
      </c>
      <c r="EM37" s="136">
        <f t="shared" si="7"/>
      </c>
      <c r="ER37" s="136" t="b">
        <f t="shared" si="5"/>
        <v>1</v>
      </c>
      <c r="ES37" s="236"/>
      <c r="ET37" s="185"/>
      <c r="EU37" s="185"/>
      <c r="EV37" s="185"/>
      <c r="EW37" s="185"/>
      <c r="EZ37" s="236" t="s">
        <v>119</v>
      </c>
      <c r="FA37" s="236" t="s">
        <v>119</v>
      </c>
    </row>
    <row r="38" ht="14.25" customHeight="1" spans="1:157" x14ac:dyDescent="0.25">
      <c r="A38" s="249" t="str">
        <f t="shared" si="8"/>
        <v>86790-BZ210GW</v>
      </c>
      <c r="B38" s="177" t="s">
        <v>265</v>
      </c>
      <c r="C38" s="177" t="s">
        <v>266</v>
      </c>
      <c r="D38" s="177" t="s">
        <v>173</v>
      </c>
      <c r="E38" s="177" t="s">
        <v>332</v>
      </c>
      <c r="F38" s="177" t="s">
        <v>343</v>
      </c>
      <c r="G38" s="177" t="s">
        <v>239</v>
      </c>
      <c r="H38" s="177" t="s">
        <v>253</v>
      </c>
      <c r="I38" s="178">
        <v>8</v>
      </c>
      <c r="J38" s="183">
        <v>0</v>
      </c>
      <c r="K38" s="183">
        <v>0</v>
      </c>
      <c r="L38" s="183">
        <v>0</v>
      </c>
      <c r="M38" s="183">
        <v>0</v>
      </c>
      <c r="N38" s="183">
        <v>335</v>
      </c>
      <c r="O38" s="183">
        <v>386</v>
      </c>
      <c r="P38" s="183">
        <v>403</v>
      </c>
      <c r="Q38" s="183">
        <v>384</v>
      </c>
      <c r="R38" s="183">
        <v>381</v>
      </c>
      <c r="S38" s="183">
        <v>0</v>
      </c>
      <c r="T38" s="183">
        <v>0</v>
      </c>
      <c r="U38" s="183">
        <v>406</v>
      </c>
      <c r="V38" s="183">
        <v>386</v>
      </c>
      <c r="W38" s="183">
        <v>405</v>
      </c>
      <c r="X38" s="183">
        <v>378</v>
      </c>
      <c r="Y38" s="183">
        <v>383</v>
      </c>
      <c r="Z38" s="183">
        <v>360</v>
      </c>
      <c r="AA38" s="183">
        <v>0</v>
      </c>
      <c r="AB38" s="183">
        <v>408</v>
      </c>
      <c r="AC38" s="183">
        <v>385</v>
      </c>
      <c r="AD38" s="183">
        <v>408</v>
      </c>
      <c r="AE38" s="183">
        <v>380</v>
      </c>
      <c r="AF38" s="183">
        <v>360</v>
      </c>
      <c r="AG38" s="183">
        <v>0</v>
      </c>
      <c r="AH38" s="183">
        <v>0</v>
      </c>
      <c r="AI38" s="183">
        <v>390</v>
      </c>
      <c r="AJ38" s="183">
        <v>352</v>
      </c>
      <c r="AK38" s="183">
        <v>367</v>
      </c>
      <c r="AL38" s="183">
        <v>354</v>
      </c>
      <c r="AM38" s="183">
        <v>359</v>
      </c>
      <c r="AN38" s="183">
        <v>357</v>
      </c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  <c r="BU38" s="183"/>
      <c r="BV38" s="183"/>
      <c r="BW38" s="183"/>
      <c r="BX38" s="183"/>
      <c r="BY38" s="183"/>
      <c r="BZ38" s="183"/>
      <c r="CA38" s="183"/>
      <c r="CB38" s="183"/>
      <c r="CC38" s="183"/>
      <c r="CD38" s="183"/>
      <c r="CE38" s="183"/>
      <c r="CF38" s="183"/>
      <c r="CG38" s="183"/>
      <c r="CH38" s="183"/>
      <c r="CI38" s="183"/>
      <c r="CJ38" s="183"/>
      <c r="CK38" s="183"/>
      <c r="CL38" s="183"/>
      <c r="CM38" s="183"/>
      <c r="CN38" s="183"/>
      <c r="CO38" s="183"/>
      <c r="CP38" s="183"/>
      <c r="CQ38" s="183"/>
      <c r="CR38" s="183"/>
      <c r="CS38" s="183"/>
      <c r="CT38" s="183"/>
      <c r="CU38" s="183"/>
      <c r="CV38" s="183"/>
      <c r="CW38" s="183"/>
      <c r="CX38" s="183"/>
      <c r="CY38" s="183"/>
      <c r="CZ38" s="183"/>
      <c r="DA38" s="183"/>
      <c r="DB38" s="183"/>
      <c r="DC38" s="183"/>
      <c r="DD38" s="183"/>
      <c r="DE38" s="183"/>
      <c r="DF38" s="183"/>
      <c r="DG38" s="183"/>
      <c r="DH38" s="183"/>
      <c r="DI38" s="183"/>
      <c r="DJ38" s="183"/>
      <c r="DK38" s="183"/>
      <c r="DL38" s="183"/>
      <c r="DM38" s="183"/>
      <c r="DN38" s="183"/>
      <c r="DO38" s="183"/>
      <c r="DP38" s="183"/>
      <c r="DQ38" s="183"/>
      <c r="DR38" s="183"/>
      <c r="DS38" s="183"/>
      <c r="DT38" s="183"/>
      <c r="DU38" s="183"/>
      <c r="DV38" s="183"/>
      <c r="DW38" s="183"/>
      <c r="DX38" s="183"/>
      <c r="DY38" s="183"/>
      <c r="DZ38" s="183"/>
      <c r="EA38" s="183"/>
      <c r="EB38" s="183"/>
      <c r="EC38" s="183"/>
      <c r="ED38" s="183"/>
      <c r="EE38" s="183"/>
      <c r="EF38" s="183"/>
      <c r="EG38" s="183"/>
      <c r="EH38" s="249" t="s">
        <v>89</v>
      </c>
      <c r="EI38" s="136" t="str">
        <f t="shared" si="1"/>
        <v>86790-BZ210</v>
      </c>
      <c r="EJ38" s="136" t="s">
        <v>94</v>
      </c>
      <c r="EK38" s="136" t="str">
        <f>VLOOKUP(EJ38,'By Plant'!B:D,3,0)</f>
        <v>GW</v>
      </c>
      <c r="EL38" s="136" t="str">
        <f t="shared" si="2"/>
        <v>86790-BZ210GWG2</v>
      </c>
      <c r="EM38" s="136" t="str">
        <f t="shared" si="7"/>
        <v>SN1</v>
      </c>
      <c r="ER38" s="136" t="b">
        <f t="shared" si="5"/>
        <v>1</v>
      </c>
      <c r="ES38" s="136"/>
      <c r="ET38" s="185"/>
      <c r="EU38" s="185"/>
      <c r="EV38" s="185"/>
      <c r="EW38" s="185"/>
      <c r="EZ38" s="136" t="s">
        <v>94</v>
      </c>
      <c r="FA38" s="136" t="str">
        <f t="shared" ref="FA38:FA45" si="9">LEFT(ES38,11)</f>
        <v>86790-BZ210</v>
      </c>
    </row>
    <row r="39" ht="14.25" customHeight="1" spans="1:157" x14ac:dyDescent="0.25">
      <c r="A39" s="249" t="str">
        <f t="shared" si="8"/>
        <v>86790-BZ220GW</v>
      </c>
      <c r="B39" s="177" t="s">
        <v>150</v>
      </c>
      <c r="C39" s="177" t="s">
        <v>151</v>
      </c>
      <c r="D39" s="177" t="s">
        <v>152</v>
      </c>
      <c r="E39" s="177" t="s">
        <v>332</v>
      </c>
      <c r="F39" s="177" t="s">
        <v>360</v>
      </c>
      <c r="G39" s="177" t="s">
        <v>153</v>
      </c>
      <c r="H39" s="177" t="s">
        <v>154</v>
      </c>
      <c r="I39" s="178">
        <v>25</v>
      </c>
      <c r="J39" s="183">
        <v>0</v>
      </c>
      <c r="K39" s="183">
        <v>0</v>
      </c>
      <c r="L39" s="183">
        <v>0</v>
      </c>
      <c r="M39" s="183">
        <v>0</v>
      </c>
      <c r="N39" s="183">
        <v>46</v>
      </c>
      <c r="O39" s="183">
        <v>66</v>
      </c>
      <c r="P39" s="183">
        <v>69</v>
      </c>
      <c r="Q39" s="183">
        <v>64</v>
      </c>
      <c r="R39" s="183">
        <v>66</v>
      </c>
      <c r="S39" s="183">
        <v>0</v>
      </c>
      <c r="T39" s="183">
        <v>0</v>
      </c>
      <c r="U39" s="183">
        <v>69</v>
      </c>
      <c r="V39" s="183">
        <v>65</v>
      </c>
      <c r="W39" s="183">
        <v>69</v>
      </c>
      <c r="X39" s="183">
        <v>65</v>
      </c>
      <c r="Y39" s="183">
        <v>66</v>
      </c>
      <c r="Z39" s="183">
        <v>62</v>
      </c>
      <c r="AA39" s="183">
        <v>0</v>
      </c>
      <c r="AB39" s="183">
        <v>73</v>
      </c>
      <c r="AC39" s="183">
        <v>65</v>
      </c>
      <c r="AD39" s="183">
        <v>67</v>
      </c>
      <c r="AE39" s="183">
        <v>66</v>
      </c>
      <c r="AF39" s="183">
        <v>62</v>
      </c>
      <c r="AG39" s="183">
        <v>0</v>
      </c>
      <c r="AH39" s="183">
        <v>0</v>
      </c>
      <c r="AI39" s="183">
        <v>70</v>
      </c>
      <c r="AJ39" s="183">
        <v>66</v>
      </c>
      <c r="AK39" s="183">
        <v>66</v>
      </c>
      <c r="AL39" s="183">
        <v>66</v>
      </c>
      <c r="AM39" s="183">
        <v>62</v>
      </c>
      <c r="AN39" s="183">
        <v>62</v>
      </c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3"/>
      <c r="CA39" s="183"/>
      <c r="CB39" s="183"/>
      <c r="CC39" s="183"/>
      <c r="CD39" s="183"/>
      <c r="CE39" s="183"/>
      <c r="CF39" s="183"/>
      <c r="CG39" s="183"/>
      <c r="CH39" s="183"/>
      <c r="CI39" s="183"/>
      <c r="CJ39" s="183"/>
      <c r="CK39" s="183"/>
      <c r="CL39" s="183"/>
      <c r="CM39" s="183"/>
      <c r="CN39" s="183"/>
      <c r="CO39" s="183"/>
      <c r="CP39" s="183"/>
      <c r="CQ39" s="183"/>
      <c r="CR39" s="183"/>
      <c r="CS39" s="183"/>
      <c r="CT39" s="183"/>
      <c r="CU39" s="183"/>
      <c r="CV39" s="183"/>
      <c r="CW39" s="183"/>
      <c r="CX39" s="183"/>
      <c r="CY39" s="183"/>
      <c r="CZ39" s="183"/>
      <c r="DA39" s="183"/>
      <c r="DB39" s="183"/>
      <c r="DC39" s="183"/>
      <c r="DD39" s="183"/>
      <c r="DE39" s="183"/>
      <c r="DF39" s="183"/>
      <c r="DG39" s="183"/>
      <c r="DH39" s="183"/>
      <c r="DI39" s="183"/>
      <c r="DJ39" s="183"/>
      <c r="DK39" s="183"/>
      <c r="DL39" s="183"/>
      <c r="DM39" s="183"/>
      <c r="DN39" s="183"/>
      <c r="DO39" s="183"/>
      <c r="DP39" s="183"/>
      <c r="DQ39" s="183"/>
      <c r="DR39" s="183"/>
      <c r="DS39" s="183"/>
      <c r="DT39" s="183"/>
      <c r="DU39" s="183"/>
      <c r="DV39" s="183"/>
      <c r="DW39" s="183"/>
      <c r="DX39" s="183"/>
      <c r="DY39" s="183"/>
      <c r="DZ39" s="183"/>
      <c r="EA39" s="183"/>
      <c r="EB39" s="183"/>
      <c r="EC39" s="183"/>
      <c r="ED39" s="183"/>
      <c r="EE39" s="183"/>
      <c r="EF39" s="183"/>
      <c r="EG39" s="183"/>
      <c r="EH39" s="249" t="s">
        <v>56</v>
      </c>
      <c r="EI39" s="136" t="str">
        <f t="shared" si="1"/>
        <v>86790-BZ220</v>
      </c>
      <c r="EJ39" s="136" t="s">
        <v>96</v>
      </c>
      <c r="EK39" s="136" t="str">
        <f>VLOOKUP(EJ39,'By Plant'!B:D,3,0)</f>
        <v>GW</v>
      </c>
      <c r="EL39" s="136" t="str">
        <f t="shared" si="2"/>
        <v>86790-BZ220GWG2</v>
      </c>
      <c r="EM39" s="136">
        <f t="shared" si="7"/>
      </c>
      <c r="ER39" s="136" t="b">
        <f t="shared" si="5"/>
        <v>1</v>
      </c>
      <c r="ES39" s="136"/>
      <c r="ET39" s="185"/>
      <c r="EU39" s="185"/>
      <c r="EV39" s="185"/>
      <c r="EW39" s="185"/>
      <c r="EZ39" s="136" t="s">
        <v>96</v>
      </c>
      <c r="FA39" s="136" t="str">
        <f t="shared" si="9"/>
        <v>86790-BZ220</v>
      </c>
    </row>
    <row r="40" ht="14.25" customHeight="1" spans="1:157" x14ac:dyDescent="0.25">
      <c r="A40" s="249" t="str">
        <f t="shared" si="8"/>
        <v>86790-BZ310GWSN1</v>
      </c>
      <c r="B40" s="177" t="s">
        <v>22</v>
      </c>
      <c r="C40" s="177" t="s">
        <v>159</v>
      </c>
      <c r="D40" s="177" t="s">
        <v>152</v>
      </c>
      <c r="E40" s="177" t="s">
        <v>332</v>
      </c>
      <c r="F40" s="177" t="s">
        <v>360</v>
      </c>
      <c r="G40" s="177" t="s">
        <v>153</v>
      </c>
      <c r="H40" s="177" t="s">
        <v>154</v>
      </c>
      <c r="I40" s="178">
        <v>42</v>
      </c>
      <c r="J40" s="183">
        <v>0</v>
      </c>
      <c r="K40" s="183">
        <v>0</v>
      </c>
      <c r="L40" s="183">
        <v>0</v>
      </c>
      <c r="M40" s="183">
        <v>0</v>
      </c>
      <c r="N40" s="183">
        <v>165</v>
      </c>
      <c r="O40" s="183">
        <v>90</v>
      </c>
      <c r="P40" s="183">
        <v>165</v>
      </c>
      <c r="Q40" s="183">
        <v>150</v>
      </c>
      <c r="R40" s="183">
        <v>165</v>
      </c>
      <c r="S40" s="183">
        <v>0</v>
      </c>
      <c r="T40" s="183">
        <v>0</v>
      </c>
      <c r="U40" s="183">
        <v>195</v>
      </c>
      <c r="V40" s="183">
        <v>165</v>
      </c>
      <c r="W40" s="183">
        <v>75</v>
      </c>
      <c r="X40" s="183">
        <v>165</v>
      </c>
      <c r="Y40" s="183">
        <v>180</v>
      </c>
      <c r="Z40" s="183">
        <v>225</v>
      </c>
      <c r="AA40" s="183">
        <v>0</v>
      </c>
      <c r="AB40" s="183">
        <v>120</v>
      </c>
      <c r="AC40" s="183">
        <v>120</v>
      </c>
      <c r="AD40" s="183">
        <v>165</v>
      </c>
      <c r="AE40" s="183">
        <v>165</v>
      </c>
      <c r="AF40" s="183">
        <v>150</v>
      </c>
      <c r="AG40" s="183">
        <v>0</v>
      </c>
      <c r="AH40" s="183">
        <v>0</v>
      </c>
      <c r="AI40" s="183">
        <v>210</v>
      </c>
      <c r="AJ40" s="183">
        <v>120</v>
      </c>
      <c r="AK40" s="183">
        <v>75</v>
      </c>
      <c r="AL40" s="183">
        <v>165</v>
      </c>
      <c r="AM40" s="183">
        <v>165</v>
      </c>
      <c r="AN40" s="183">
        <v>195</v>
      </c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3"/>
      <c r="BX40" s="183"/>
      <c r="BY40" s="183"/>
      <c r="BZ40" s="183"/>
      <c r="CA40" s="183"/>
      <c r="CB40" s="183"/>
      <c r="CC40" s="183"/>
      <c r="CD40" s="183"/>
      <c r="CE40" s="183"/>
      <c r="CF40" s="183"/>
      <c r="CG40" s="183"/>
      <c r="CH40" s="183"/>
      <c r="CI40" s="183"/>
      <c r="CJ40" s="183"/>
      <c r="CK40" s="183"/>
      <c r="CL40" s="183"/>
      <c r="CM40" s="183"/>
      <c r="CN40" s="183"/>
      <c r="CO40" s="183"/>
      <c r="CP40" s="183"/>
      <c r="CQ40" s="183"/>
      <c r="CR40" s="183"/>
      <c r="CS40" s="183"/>
      <c r="CT40" s="183"/>
      <c r="CU40" s="183"/>
      <c r="CV40" s="183"/>
      <c r="CW40" s="183"/>
      <c r="CX40" s="183"/>
      <c r="CY40" s="183"/>
      <c r="CZ40" s="183"/>
      <c r="DA40" s="183"/>
      <c r="DB40" s="183"/>
      <c r="DC40" s="183"/>
      <c r="DD40" s="183"/>
      <c r="DE40" s="183"/>
      <c r="DF40" s="183"/>
      <c r="DG40" s="183"/>
      <c r="DH40" s="183"/>
      <c r="DI40" s="183"/>
      <c r="DJ40" s="183"/>
      <c r="DK40" s="183"/>
      <c r="DL40" s="183"/>
      <c r="DM40" s="183"/>
      <c r="DN40" s="183"/>
      <c r="DO40" s="183"/>
      <c r="DP40" s="183"/>
      <c r="DQ40" s="183"/>
      <c r="DR40" s="183"/>
      <c r="DS40" s="183"/>
      <c r="DT40" s="183"/>
      <c r="DU40" s="183"/>
      <c r="DV40" s="183"/>
      <c r="DW40" s="183"/>
      <c r="DX40" s="183"/>
      <c r="DY40" s="183"/>
      <c r="DZ40" s="183"/>
      <c r="EA40" s="183"/>
      <c r="EB40" s="183"/>
      <c r="EC40" s="183"/>
      <c r="ED40" s="183"/>
      <c r="EE40" s="183"/>
      <c r="EF40" s="183"/>
      <c r="EG40" s="183"/>
      <c r="EH40" s="249" t="s">
        <v>56</v>
      </c>
      <c r="EI40" s="136" t="str">
        <f t="shared" si="1"/>
        <v>86790-BZ310</v>
      </c>
      <c r="EJ40" s="136" t="s">
        <v>98</v>
      </c>
      <c r="EK40" s="136" t="str">
        <f>VLOOKUP(EJ40,'By Plant'!B:D,3,0)</f>
        <v>GW</v>
      </c>
      <c r="EL40" s="136" t="str">
        <f t="shared" si="2"/>
        <v>86790-BZ310GWZ1</v>
      </c>
      <c r="EM40" s="136">
        <f t="shared" si="7"/>
      </c>
      <c r="ER40" s="136" t="b">
        <f t="shared" si="5"/>
        <v>1</v>
      </c>
      <c r="ES40" s="236"/>
      <c r="ET40" s="185"/>
      <c r="EU40" s="185"/>
      <c r="EV40" s="185"/>
      <c r="EW40" s="185"/>
      <c r="EZ40" s="136" t="s">
        <v>92</v>
      </c>
      <c r="FA40" s="136" t="str">
        <f t="shared" si="9"/>
        <v>86790-BZ271</v>
      </c>
    </row>
    <row r="41" ht="14.25" customHeight="1" spans="1:157" x14ac:dyDescent="0.25">
      <c r="A41" s="249" t="str">
        <f t="shared" si="8"/>
        <v>86790-BZ310GW</v>
      </c>
      <c r="B41" s="177" t="s">
        <v>161</v>
      </c>
      <c r="C41" s="177" t="s">
        <v>162</v>
      </c>
      <c r="D41" s="177" t="s">
        <v>152</v>
      </c>
      <c r="E41" s="177" t="s">
        <v>332</v>
      </c>
      <c r="F41" s="177" t="s">
        <v>360</v>
      </c>
      <c r="G41" s="177" t="s">
        <v>153</v>
      </c>
      <c r="H41" s="177" t="s">
        <v>154</v>
      </c>
      <c r="I41" s="178">
        <v>8</v>
      </c>
      <c r="J41" s="183">
        <v>0</v>
      </c>
      <c r="K41" s="183">
        <v>0</v>
      </c>
      <c r="L41" s="183">
        <v>0</v>
      </c>
      <c r="M41" s="183">
        <v>0</v>
      </c>
      <c r="N41" s="183">
        <v>86</v>
      </c>
      <c r="O41" s="183">
        <v>97</v>
      </c>
      <c r="P41" s="183">
        <v>104</v>
      </c>
      <c r="Q41" s="183">
        <v>97</v>
      </c>
      <c r="R41" s="183">
        <v>98</v>
      </c>
      <c r="S41" s="183">
        <v>0</v>
      </c>
      <c r="T41" s="183">
        <v>0</v>
      </c>
      <c r="U41" s="183">
        <v>104</v>
      </c>
      <c r="V41" s="183">
        <v>97</v>
      </c>
      <c r="W41" s="183">
        <v>104</v>
      </c>
      <c r="X41" s="183">
        <v>97</v>
      </c>
      <c r="Y41" s="183">
        <v>98</v>
      </c>
      <c r="Z41" s="183">
        <v>92</v>
      </c>
      <c r="AA41" s="183">
        <v>0</v>
      </c>
      <c r="AB41" s="183">
        <v>103</v>
      </c>
      <c r="AC41" s="183">
        <v>98</v>
      </c>
      <c r="AD41" s="183">
        <v>103</v>
      </c>
      <c r="AE41" s="183">
        <v>98</v>
      </c>
      <c r="AF41" s="183">
        <v>91</v>
      </c>
      <c r="AG41" s="183">
        <v>0</v>
      </c>
      <c r="AH41" s="183">
        <v>0</v>
      </c>
      <c r="AI41" s="183">
        <v>104</v>
      </c>
      <c r="AJ41" s="183">
        <v>98</v>
      </c>
      <c r="AK41" s="183">
        <v>100</v>
      </c>
      <c r="AL41" s="183">
        <v>98</v>
      </c>
      <c r="AM41" s="183">
        <v>91</v>
      </c>
      <c r="AN41" s="183">
        <v>92</v>
      </c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  <c r="BU41" s="183"/>
      <c r="BV41" s="183"/>
      <c r="BW41" s="183"/>
      <c r="BX41" s="183"/>
      <c r="BY41" s="183"/>
      <c r="BZ41" s="183"/>
      <c r="CA41" s="183"/>
      <c r="CB41" s="183"/>
      <c r="CC41" s="183"/>
      <c r="CD41" s="183"/>
      <c r="CE41" s="183"/>
      <c r="CF41" s="183"/>
      <c r="CG41" s="183"/>
      <c r="CH41" s="183"/>
      <c r="CI41" s="183"/>
      <c r="CJ41" s="183"/>
      <c r="CK41" s="183"/>
      <c r="CL41" s="183"/>
      <c r="CM41" s="183"/>
      <c r="CN41" s="183"/>
      <c r="CO41" s="183"/>
      <c r="CP41" s="183"/>
      <c r="CQ41" s="183"/>
      <c r="CR41" s="183"/>
      <c r="CS41" s="183"/>
      <c r="CT41" s="183"/>
      <c r="CU41" s="183"/>
      <c r="CV41" s="183"/>
      <c r="CW41" s="183"/>
      <c r="CX41" s="183"/>
      <c r="CY41" s="183"/>
      <c r="CZ41" s="183"/>
      <c r="DA41" s="183"/>
      <c r="DB41" s="183"/>
      <c r="DC41" s="183"/>
      <c r="DD41" s="183"/>
      <c r="DE41" s="183"/>
      <c r="DF41" s="183"/>
      <c r="DG41" s="183"/>
      <c r="DH41" s="183"/>
      <c r="DI41" s="183"/>
      <c r="DJ41" s="183"/>
      <c r="DK41" s="183"/>
      <c r="DL41" s="183"/>
      <c r="DM41" s="183"/>
      <c r="DN41" s="183"/>
      <c r="DO41" s="183"/>
      <c r="DP41" s="183"/>
      <c r="DQ41" s="183"/>
      <c r="DR41" s="183"/>
      <c r="DS41" s="183"/>
      <c r="DT41" s="183"/>
      <c r="DU41" s="183"/>
      <c r="DV41" s="183"/>
      <c r="DW41" s="183"/>
      <c r="DX41" s="183"/>
      <c r="DY41" s="183"/>
      <c r="DZ41" s="183"/>
      <c r="EA41" s="183"/>
      <c r="EB41" s="183"/>
      <c r="EC41" s="183"/>
      <c r="ED41" s="183"/>
      <c r="EE41" s="183"/>
      <c r="EF41" s="183"/>
      <c r="EG41" s="183"/>
      <c r="EH41" s="249" t="s">
        <v>56</v>
      </c>
      <c r="EI41" s="136" t="str">
        <f t="shared" si="1"/>
        <v>86790-BZ310</v>
      </c>
      <c r="EJ41" s="136" t="s">
        <v>98</v>
      </c>
      <c r="EK41" s="136" t="str">
        <f>VLOOKUP(EJ41,'By Plant'!B:D,3,0)</f>
        <v>GW</v>
      </c>
      <c r="EL41" s="136" t="str">
        <f t="shared" si="2"/>
        <v>86790-BZ310GWG2</v>
      </c>
      <c r="EM41" s="136">
        <f t="shared" si="7"/>
      </c>
      <c r="ER41" s="136" t="b">
        <f t="shared" si="5"/>
        <v>1</v>
      </c>
      <c r="ES41" s="236"/>
      <c r="ET41" s="185"/>
      <c r="EU41" s="185"/>
      <c r="EV41" s="185"/>
      <c r="EW41" s="185"/>
      <c r="EZ41" s="136" t="s">
        <v>98</v>
      </c>
      <c r="FA41" s="136" t="str">
        <f t="shared" si="9"/>
        <v>86790-BZ280</v>
      </c>
    </row>
    <row r="42" ht="14.25" customHeight="1" spans="1:157" x14ac:dyDescent="0.25">
      <c r="A42" s="249" t="str">
        <f t="shared" si="8"/>
        <v>86790-BZ321GW</v>
      </c>
      <c r="B42" s="177" t="s">
        <v>163</v>
      </c>
      <c r="C42" s="177" t="s">
        <v>164</v>
      </c>
      <c r="D42" s="177" t="s">
        <v>152</v>
      </c>
      <c r="E42" s="177" t="s">
        <v>332</v>
      </c>
      <c r="F42" s="177" t="s">
        <v>360</v>
      </c>
      <c r="G42" s="177" t="s">
        <v>153</v>
      </c>
      <c r="H42" s="177" t="s">
        <v>154</v>
      </c>
      <c r="I42" s="178">
        <v>8</v>
      </c>
      <c r="J42" s="183">
        <v>0</v>
      </c>
      <c r="K42" s="183">
        <v>0</v>
      </c>
      <c r="L42" s="183">
        <v>0</v>
      </c>
      <c r="M42" s="183">
        <v>0</v>
      </c>
      <c r="N42" s="183">
        <v>33</v>
      </c>
      <c r="O42" s="183">
        <v>39</v>
      </c>
      <c r="P42" s="183">
        <v>40</v>
      </c>
      <c r="Q42" s="183">
        <v>37</v>
      </c>
      <c r="R42" s="183">
        <v>38</v>
      </c>
      <c r="S42" s="183">
        <v>0</v>
      </c>
      <c r="T42" s="183">
        <v>0</v>
      </c>
      <c r="U42" s="183">
        <v>40</v>
      </c>
      <c r="V42" s="183">
        <v>38</v>
      </c>
      <c r="W42" s="183">
        <v>39</v>
      </c>
      <c r="X42" s="183">
        <v>39</v>
      </c>
      <c r="Y42" s="183">
        <v>38</v>
      </c>
      <c r="Z42" s="183">
        <v>36</v>
      </c>
      <c r="AA42" s="183">
        <v>0</v>
      </c>
      <c r="AB42" s="183">
        <v>40</v>
      </c>
      <c r="AC42" s="183">
        <v>37</v>
      </c>
      <c r="AD42" s="183">
        <v>41</v>
      </c>
      <c r="AE42" s="183">
        <v>38</v>
      </c>
      <c r="AF42" s="183">
        <v>36</v>
      </c>
      <c r="AG42" s="183">
        <v>0</v>
      </c>
      <c r="AH42" s="183">
        <v>0</v>
      </c>
      <c r="AI42" s="183">
        <v>39</v>
      </c>
      <c r="AJ42" s="183">
        <v>37</v>
      </c>
      <c r="AK42" s="183">
        <v>40</v>
      </c>
      <c r="AL42" s="183">
        <v>38</v>
      </c>
      <c r="AM42" s="183">
        <v>36</v>
      </c>
      <c r="AN42" s="183">
        <v>36</v>
      </c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  <c r="BU42" s="183"/>
      <c r="BV42" s="183"/>
      <c r="BW42" s="183"/>
      <c r="BX42" s="183"/>
      <c r="BY42" s="183"/>
      <c r="BZ42" s="183"/>
      <c r="CA42" s="183"/>
      <c r="CB42" s="183"/>
      <c r="CC42" s="183"/>
      <c r="CD42" s="183"/>
      <c r="CE42" s="183"/>
      <c r="CF42" s="183"/>
      <c r="CG42" s="183"/>
      <c r="CH42" s="183"/>
      <c r="CI42" s="183"/>
      <c r="CJ42" s="183"/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  <c r="CW42" s="183"/>
      <c r="CX42" s="183"/>
      <c r="CY42" s="183"/>
      <c r="CZ42" s="183"/>
      <c r="DA42" s="183"/>
      <c r="DB42" s="183"/>
      <c r="DC42" s="183"/>
      <c r="DD42" s="183"/>
      <c r="DE42" s="183"/>
      <c r="DF42" s="183"/>
      <c r="DG42" s="183"/>
      <c r="DH42" s="183"/>
      <c r="DI42" s="183"/>
      <c r="DJ42" s="183"/>
      <c r="DK42" s="183"/>
      <c r="DL42" s="183"/>
      <c r="DM42" s="183"/>
      <c r="DN42" s="183"/>
      <c r="DO42" s="183"/>
      <c r="DP42" s="183"/>
      <c r="DQ42" s="183"/>
      <c r="DR42" s="183"/>
      <c r="DS42" s="183"/>
      <c r="DT42" s="183"/>
      <c r="DU42" s="183"/>
      <c r="DV42" s="183"/>
      <c r="DW42" s="183"/>
      <c r="DX42" s="183"/>
      <c r="DY42" s="183"/>
      <c r="DZ42" s="183"/>
      <c r="EA42" s="183"/>
      <c r="EB42" s="183"/>
      <c r="EC42" s="183"/>
      <c r="ED42" s="183"/>
      <c r="EE42" s="183"/>
      <c r="EF42" s="183"/>
      <c r="EG42" s="183"/>
      <c r="EH42" s="251" t="s">
        <v>56</v>
      </c>
      <c r="EI42" s="136" t="str">
        <f t="shared" si="1"/>
        <v>86790-BZ321</v>
      </c>
      <c r="EJ42" s="136" t="s">
        <v>107</v>
      </c>
      <c r="EK42" s="136" t="str">
        <f>VLOOKUP(EJ42,'By Plant'!B:D,3,0)</f>
        <v>GW</v>
      </c>
      <c r="EL42" s="136" t="str">
        <f t="shared" si="2"/>
        <v>86790-BZ321GWG2</v>
      </c>
      <c r="EM42" s="136">
        <f t="shared" si="7"/>
      </c>
      <c r="ER42" s="136" t="b">
        <f t="shared" si="5"/>
        <v>1</v>
      </c>
      <c r="ES42" s="236"/>
      <c r="ET42" s="185"/>
      <c r="EU42" s="185"/>
      <c r="EV42" s="185"/>
      <c r="EW42" s="185"/>
      <c r="EZ42" s="136" t="s">
        <v>107</v>
      </c>
      <c r="FA42" s="136" t="str">
        <f t="shared" si="9"/>
        <v>86790-BZ310</v>
      </c>
    </row>
    <row r="43" ht="14.25" customHeight="1" spans="1:157" x14ac:dyDescent="0.25">
      <c r="A43" s="249" t="str">
        <f t="shared" si="8"/>
        <v>86790-BZ350GW</v>
      </c>
      <c r="B43" s="177" t="s">
        <v>167</v>
      </c>
      <c r="C43" s="177" t="s">
        <v>168</v>
      </c>
      <c r="D43" s="177" t="s">
        <v>152</v>
      </c>
      <c r="E43" s="177" t="s">
        <v>332</v>
      </c>
      <c r="F43" s="177" t="s">
        <v>360</v>
      </c>
      <c r="G43" s="177" t="s">
        <v>153</v>
      </c>
      <c r="H43" s="177" t="s">
        <v>192</v>
      </c>
      <c r="I43" s="178">
        <v>25</v>
      </c>
      <c r="J43" s="183">
        <v>0</v>
      </c>
      <c r="K43" s="183">
        <v>0</v>
      </c>
      <c r="L43" s="183">
        <v>0</v>
      </c>
      <c r="M43" s="183">
        <v>0</v>
      </c>
      <c r="N43" s="183">
        <v>62</v>
      </c>
      <c r="O43" s="183">
        <v>71</v>
      </c>
      <c r="P43" s="183">
        <v>73</v>
      </c>
      <c r="Q43" s="183">
        <v>70</v>
      </c>
      <c r="R43" s="183">
        <v>68</v>
      </c>
      <c r="S43" s="183">
        <v>0</v>
      </c>
      <c r="T43" s="183">
        <v>0</v>
      </c>
      <c r="U43" s="183">
        <v>75</v>
      </c>
      <c r="V43" s="183">
        <v>69</v>
      </c>
      <c r="W43" s="183">
        <v>75</v>
      </c>
      <c r="X43" s="183">
        <v>71</v>
      </c>
      <c r="Y43" s="183">
        <v>69</v>
      </c>
      <c r="Z43" s="183">
        <v>65</v>
      </c>
      <c r="AA43" s="183">
        <v>0</v>
      </c>
      <c r="AB43" s="183">
        <v>77</v>
      </c>
      <c r="AC43" s="183">
        <v>67</v>
      </c>
      <c r="AD43" s="183">
        <v>75</v>
      </c>
      <c r="AE43" s="183">
        <v>70</v>
      </c>
      <c r="AF43" s="183">
        <v>65</v>
      </c>
      <c r="AG43" s="183">
        <v>0</v>
      </c>
      <c r="AH43" s="183">
        <v>0</v>
      </c>
      <c r="AI43" s="183">
        <v>75</v>
      </c>
      <c r="AJ43" s="183">
        <v>69</v>
      </c>
      <c r="AK43" s="183">
        <v>72</v>
      </c>
      <c r="AL43" s="183">
        <v>71</v>
      </c>
      <c r="AM43" s="183">
        <v>66</v>
      </c>
      <c r="AN43" s="183">
        <v>65</v>
      </c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  <c r="BY43" s="183"/>
      <c r="BZ43" s="183"/>
      <c r="CA43" s="183"/>
      <c r="CB43" s="183"/>
      <c r="CC43" s="183"/>
      <c r="CD43" s="183"/>
      <c r="CE43" s="183"/>
      <c r="CF43" s="183"/>
      <c r="CG43" s="183"/>
      <c r="CH43" s="183"/>
      <c r="CI43" s="183"/>
      <c r="CJ43" s="183"/>
      <c r="CK43" s="183"/>
      <c r="CL43" s="183"/>
      <c r="CM43" s="183"/>
      <c r="CN43" s="183"/>
      <c r="CO43" s="183"/>
      <c r="CP43" s="183"/>
      <c r="CQ43" s="183"/>
      <c r="CR43" s="183"/>
      <c r="CS43" s="183"/>
      <c r="CT43" s="183"/>
      <c r="CU43" s="183"/>
      <c r="CV43" s="183"/>
      <c r="CW43" s="183"/>
      <c r="CX43" s="183"/>
      <c r="CY43" s="183"/>
      <c r="CZ43" s="183"/>
      <c r="DA43" s="183"/>
      <c r="DB43" s="183"/>
      <c r="DC43" s="183"/>
      <c r="DD43" s="183"/>
      <c r="DE43" s="183"/>
      <c r="DF43" s="183"/>
      <c r="DG43" s="183"/>
      <c r="DH43" s="183"/>
      <c r="DI43" s="183"/>
      <c r="DJ43" s="183"/>
      <c r="DK43" s="183"/>
      <c r="DL43" s="183"/>
      <c r="DM43" s="183"/>
      <c r="DN43" s="183"/>
      <c r="DO43" s="183"/>
      <c r="DP43" s="183"/>
      <c r="DQ43" s="183"/>
      <c r="DR43" s="183"/>
      <c r="DS43" s="183"/>
      <c r="DT43" s="183"/>
      <c r="DU43" s="183"/>
      <c r="DV43" s="183"/>
      <c r="DW43" s="183"/>
      <c r="DX43" s="183"/>
      <c r="DY43" s="183"/>
      <c r="DZ43" s="183"/>
      <c r="EA43" s="183"/>
      <c r="EB43" s="183"/>
      <c r="EC43" s="183"/>
      <c r="ED43" s="183"/>
      <c r="EE43" s="183"/>
      <c r="EF43" s="183"/>
      <c r="EG43" s="183"/>
      <c r="EH43" s="249" t="s">
        <v>56</v>
      </c>
      <c r="EI43" s="136" t="str">
        <f t="shared" si="1"/>
        <v>86790-BZ350</v>
      </c>
      <c r="EJ43" s="136" t="s">
        <v>117</v>
      </c>
      <c r="EK43" s="136" t="str">
        <f>VLOOKUP(EJ43,'By Plant'!B:D,3,0)</f>
        <v>GW</v>
      </c>
      <c r="EL43" s="136" t="str">
        <f t="shared" si="2"/>
        <v>86790-BZ350GWG2</v>
      </c>
      <c r="EM43" s="136">
        <f t="shared" si="7"/>
      </c>
      <c r="ER43" s="136" t="b">
        <f t="shared" si="5"/>
        <v>1</v>
      </c>
      <c r="ES43" s="236"/>
      <c r="ET43" s="185"/>
      <c r="EU43" s="185"/>
      <c r="EV43" s="185"/>
      <c r="EW43" s="185"/>
      <c r="EZ43" s="136" t="s">
        <v>111</v>
      </c>
      <c r="FA43" s="136" t="str">
        <f t="shared" si="9"/>
        <v>86790-BZ321</v>
      </c>
    </row>
    <row r="44" ht="14.25" customHeight="1" spans="1:157" x14ac:dyDescent="0.25">
      <c r="A44" s="249" t="str">
        <f t="shared" si="8"/>
        <v>86790-0K051SR</v>
      </c>
      <c r="B44" s="177" t="s">
        <v>169</v>
      </c>
      <c r="C44" s="177" t="s">
        <v>170</v>
      </c>
      <c r="D44" s="177" t="s">
        <v>152</v>
      </c>
      <c r="E44" s="177" t="s">
        <v>332</v>
      </c>
      <c r="F44" s="177" t="s">
        <v>360</v>
      </c>
      <c r="G44" s="177" t="s">
        <v>153</v>
      </c>
      <c r="H44" s="177" t="s">
        <v>192</v>
      </c>
      <c r="I44" s="178">
        <v>38</v>
      </c>
      <c r="J44" s="183">
        <v>0</v>
      </c>
      <c r="K44" s="183">
        <v>0</v>
      </c>
      <c r="L44" s="183">
        <v>0</v>
      </c>
      <c r="M44" s="183">
        <v>0</v>
      </c>
      <c r="N44" s="183">
        <v>49</v>
      </c>
      <c r="O44" s="183">
        <v>51</v>
      </c>
      <c r="P44" s="183">
        <v>54</v>
      </c>
      <c r="Q44" s="183">
        <v>55</v>
      </c>
      <c r="R44" s="183">
        <v>53</v>
      </c>
      <c r="S44" s="183">
        <v>0</v>
      </c>
      <c r="T44" s="183">
        <v>0</v>
      </c>
      <c r="U44" s="183">
        <v>56</v>
      </c>
      <c r="V44" s="183">
        <v>55</v>
      </c>
      <c r="W44" s="183">
        <v>51</v>
      </c>
      <c r="X44" s="183">
        <v>51</v>
      </c>
      <c r="Y44" s="183">
        <v>53</v>
      </c>
      <c r="Z44" s="183">
        <v>50</v>
      </c>
      <c r="AA44" s="183">
        <v>0</v>
      </c>
      <c r="AB44" s="183">
        <v>57</v>
      </c>
      <c r="AC44" s="183">
        <v>56</v>
      </c>
      <c r="AD44" s="183">
        <v>51</v>
      </c>
      <c r="AE44" s="183">
        <v>52</v>
      </c>
      <c r="AF44" s="183">
        <v>53</v>
      </c>
      <c r="AG44" s="183">
        <v>0</v>
      </c>
      <c r="AH44" s="183">
        <v>0</v>
      </c>
      <c r="AI44" s="183">
        <v>57</v>
      </c>
      <c r="AJ44" s="183">
        <v>49</v>
      </c>
      <c r="AK44" s="183">
        <v>55</v>
      </c>
      <c r="AL44" s="183">
        <v>53</v>
      </c>
      <c r="AM44" s="183">
        <v>51</v>
      </c>
      <c r="AN44" s="183">
        <v>51</v>
      </c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3"/>
      <c r="BZ44" s="183"/>
      <c r="CA44" s="183"/>
      <c r="CB44" s="183"/>
      <c r="CC44" s="183"/>
      <c r="CD44" s="183"/>
      <c r="CE44" s="183"/>
      <c r="CF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  <c r="CW44" s="183"/>
      <c r="CX44" s="183"/>
      <c r="CY44" s="183"/>
      <c r="CZ44" s="183"/>
      <c r="DA44" s="183"/>
      <c r="DB44" s="183"/>
      <c r="DC44" s="183"/>
      <c r="DD44" s="183"/>
      <c r="DE44" s="183"/>
      <c r="DF44" s="183"/>
      <c r="DG44" s="183"/>
      <c r="DH44" s="183"/>
      <c r="DI44" s="183"/>
      <c r="DJ44" s="183"/>
      <c r="DK44" s="183"/>
      <c r="DL44" s="183"/>
      <c r="DM44" s="183"/>
      <c r="DN44" s="183"/>
      <c r="DO44" s="183"/>
      <c r="DP44" s="183"/>
      <c r="DQ44" s="183"/>
      <c r="DR44" s="183"/>
      <c r="DS44" s="183"/>
      <c r="DT44" s="183"/>
      <c r="DU44" s="183"/>
      <c r="DV44" s="183"/>
      <c r="DW44" s="183"/>
      <c r="DX44" s="183"/>
      <c r="DY44" s="183"/>
      <c r="DZ44" s="183"/>
      <c r="EA44" s="183"/>
      <c r="EB44" s="183"/>
      <c r="EC44" s="183"/>
      <c r="ED44" s="183"/>
      <c r="EE44" s="183"/>
      <c r="EF44" s="183"/>
      <c r="EG44" s="183"/>
      <c r="EH44" s="249" t="s">
        <v>56</v>
      </c>
      <c r="EI44" s="136" t="str">
        <f t="shared" si="1"/>
        <v>86790-0K051</v>
      </c>
      <c r="EJ44" s="136" t="s">
        <v>101</v>
      </c>
      <c r="EK44" s="136" t="str">
        <f>VLOOKUP(EJ44,'By Plant'!B:D,3,0)</f>
        <v>BP</v>
      </c>
      <c r="EL44" s="136" t="str">
        <f t="shared" si="2"/>
        <v>86790-0K051SRS1</v>
      </c>
      <c r="EM44" s="136">
        <f t="shared" si="7"/>
      </c>
      <c r="ER44" s="136" t="b">
        <f t="shared" si="5"/>
        <v>1</v>
      </c>
      <c r="ES44" s="236"/>
      <c r="ET44" s="185"/>
      <c r="EU44" s="185"/>
      <c r="EV44" s="185"/>
      <c r="EW44" s="185"/>
      <c r="EZ44" s="236" t="s">
        <v>117</v>
      </c>
      <c r="FA44" s="136" t="str">
        <f t="shared" si="9"/>
        <v>86790-BZ350</v>
      </c>
    </row>
    <row r="45" ht="14.25" customHeight="1" spans="1:157" x14ac:dyDescent="0.25">
      <c r="A45" s="136" t="str">
        <f t="shared" si="8"/>
        <v>86790-0K080SR</v>
      </c>
      <c r="B45" s="135"/>
      <c r="C45" s="135"/>
      <c r="D45" s="135"/>
      <c r="E45" s="135"/>
      <c r="F45" s="135"/>
      <c r="G45" s="135"/>
      <c r="H45" s="135"/>
      <c r="I45" s="183"/>
      <c r="J45" s="183">
        <v>0</v>
      </c>
      <c r="K45" s="183">
        <v>0</v>
      </c>
      <c r="L45" s="183">
        <v>0</v>
      </c>
      <c r="M45" s="183">
        <v>0</v>
      </c>
      <c r="N45" s="183">
        <v>23</v>
      </c>
      <c r="O45" s="183">
        <v>27</v>
      </c>
      <c r="P45" s="183">
        <v>27</v>
      </c>
      <c r="Q45" s="183">
        <v>30</v>
      </c>
      <c r="R45" s="183">
        <v>25</v>
      </c>
      <c r="S45" s="183">
        <v>0</v>
      </c>
      <c r="T45" s="183">
        <v>0</v>
      </c>
      <c r="U45" s="183">
        <v>23</v>
      </c>
      <c r="V45" s="183">
        <v>31</v>
      </c>
      <c r="W45" s="183">
        <v>26</v>
      </c>
      <c r="X45" s="183">
        <v>28</v>
      </c>
      <c r="Y45" s="183">
        <v>25</v>
      </c>
      <c r="Z45" s="183">
        <v>29</v>
      </c>
      <c r="AA45" s="183">
        <v>0</v>
      </c>
      <c r="AB45" s="183">
        <v>32</v>
      </c>
      <c r="AC45" s="183">
        <v>27</v>
      </c>
      <c r="AD45" s="183">
        <v>27</v>
      </c>
      <c r="AE45" s="183">
        <v>26</v>
      </c>
      <c r="AF45" s="183">
        <v>29</v>
      </c>
      <c r="AG45" s="183">
        <v>0</v>
      </c>
      <c r="AH45" s="183">
        <v>0</v>
      </c>
      <c r="AI45" s="183">
        <v>25</v>
      </c>
      <c r="AJ45" s="183">
        <v>26</v>
      </c>
      <c r="AK45" s="183">
        <v>27</v>
      </c>
      <c r="AL45" s="183">
        <v>28</v>
      </c>
      <c r="AM45" s="183">
        <v>25</v>
      </c>
      <c r="AN45" s="183">
        <v>26</v>
      </c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3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3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  <c r="CW45" s="183"/>
      <c r="CX45" s="183"/>
      <c r="CY45" s="183"/>
      <c r="CZ45" s="183"/>
      <c r="DA45" s="183"/>
      <c r="DB45" s="183"/>
      <c r="DC45" s="183"/>
      <c r="DD45" s="183"/>
      <c r="DE45" s="183"/>
      <c r="DF45" s="183"/>
      <c r="DG45" s="183"/>
      <c r="DH45" s="183"/>
      <c r="DI45" s="183"/>
      <c r="DJ45" s="183"/>
      <c r="DK45" s="183"/>
      <c r="DL45" s="183"/>
      <c r="DM45" s="183"/>
      <c r="DN45" s="183"/>
      <c r="DO45" s="183"/>
      <c r="DP45" s="183"/>
      <c r="DQ45" s="183"/>
      <c r="DR45" s="183"/>
      <c r="DS45" s="183"/>
      <c r="DT45" s="183"/>
      <c r="DU45" s="183"/>
      <c r="DV45" s="183"/>
      <c r="DW45" s="183"/>
      <c r="DX45" s="183"/>
      <c r="DY45" s="183"/>
      <c r="DZ45" s="183"/>
      <c r="EA45" s="183"/>
      <c r="EB45" s="183"/>
      <c r="EC45" s="183"/>
      <c r="ED45" s="183"/>
      <c r="EE45" s="183"/>
      <c r="EF45" s="183"/>
      <c r="EG45" s="183"/>
      <c r="EH45" s="136"/>
      <c r="EI45" s="136" t="str">
        <f t="shared" si="1"/>
        <v>86790-0K080</v>
      </c>
      <c r="EJ45" s="136" t="s">
        <v>59</v>
      </c>
      <c r="EK45" s="136" t="str">
        <f>VLOOKUP(EJ45,'By Plant'!B:D,3,0)</f>
        <v>SR</v>
      </c>
      <c r="EL45" s="136" t="str">
        <f t="shared" si="2"/>
        <v>86790-0K080SRS1</v>
      </c>
      <c r="EM45" s="136">
        <f t="shared" si="7"/>
      </c>
      <c r="FA45" s="136">
        <f t="shared" si="9"/>
      </c>
    </row>
    <row r="46" ht="14.25" customHeight="1" spans="1:154" x14ac:dyDescent="0.25">
      <c r="A46" s="136" t="str">
        <f t="shared" si="8"/>
        <v>86790-0K141SR</v>
      </c>
      <c r="B46" s="135"/>
      <c r="C46" s="135"/>
      <c r="D46" s="135"/>
      <c r="E46" s="135"/>
      <c r="F46" s="135"/>
      <c r="G46" s="135"/>
      <c r="H46" s="135"/>
      <c r="I46" s="183"/>
      <c r="J46" s="183">
        <v>0</v>
      </c>
      <c r="K46" s="183">
        <v>0</v>
      </c>
      <c r="L46" s="183">
        <v>0</v>
      </c>
      <c r="M46" s="183">
        <v>0</v>
      </c>
      <c r="N46" s="183">
        <v>0</v>
      </c>
      <c r="O46" s="183">
        <v>1</v>
      </c>
      <c r="P46" s="183">
        <v>1</v>
      </c>
      <c r="Q46" s="183">
        <v>1</v>
      </c>
      <c r="R46" s="183">
        <v>0</v>
      </c>
      <c r="S46" s="183">
        <v>0</v>
      </c>
      <c r="T46" s="183">
        <v>0</v>
      </c>
      <c r="U46" s="183">
        <v>0</v>
      </c>
      <c r="V46" s="183">
        <v>0</v>
      </c>
      <c r="W46" s="183">
        <v>0</v>
      </c>
      <c r="X46" s="183">
        <v>0</v>
      </c>
      <c r="Y46" s="183">
        <v>0</v>
      </c>
      <c r="Z46" s="183">
        <v>0</v>
      </c>
      <c r="AA46" s="183">
        <v>0</v>
      </c>
      <c r="AB46" s="183">
        <v>0</v>
      </c>
      <c r="AC46" s="183">
        <v>0</v>
      </c>
      <c r="AD46" s="183">
        <v>0</v>
      </c>
      <c r="AE46" s="183">
        <v>0</v>
      </c>
      <c r="AF46" s="183">
        <v>0</v>
      </c>
      <c r="AG46" s="183">
        <v>0</v>
      </c>
      <c r="AH46" s="183">
        <v>0</v>
      </c>
      <c r="AI46" s="183">
        <v>0</v>
      </c>
      <c r="AJ46" s="183">
        <v>0</v>
      </c>
      <c r="AK46" s="183">
        <v>0</v>
      </c>
      <c r="AL46" s="183">
        <v>2</v>
      </c>
      <c r="AM46" s="183">
        <v>0</v>
      </c>
      <c r="AN46" s="183">
        <v>0</v>
      </c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  <c r="CW46" s="183"/>
      <c r="CX46" s="183"/>
      <c r="CY46" s="183"/>
      <c r="CZ46" s="183"/>
      <c r="DA46" s="183"/>
      <c r="DB46" s="183"/>
      <c r="DC46" s="183"/>
      <c r="DD46" s="183"/>
      <c r="DE46" s="183"/>
      <c r="DF46" s="183"/>
      <c r="DG46" s="183"/>
      <c r="DH46" s="183"/>
      <c r="DI46" s="183"/>
      <c r="DJ46" s="183"/>
      <c r="DK46" s="183"/>
      <c r="DL46" s="183"/>
      <c r="DM46" s="183"/>
      <c r="DN46" s="183"/>
      <c r="DO46" s="183"/>
      <c r="DP46" s="183"/>
      <c r="DQ46" s="183"/>
      <c r="DR46" s="183"/>
      <c r="DS46" s="183"/>
      <c r="DT46" s="183"/>
      <c r="DU46" s="183"/>
      <c r="DV46" s="183"/>
      <c r="DW46" s="183"/>
      <c r="DX46" s="183"/>
      <c r="DY46" s="183"/>
      <c r="DZ46" s="183"/>
      <c r="EA46" s="183"/>
      <c r="EB46" s="183"/>
      <c r="EC46" s="183"/>
      <c r="ED46" s="183"/>
      <c r="EE46" s="183"/>
      <c r="EF46" s="183"/>
      <c r="EG46" s="183"/>
      <c r="EH46" s="136"/>
      <c r="EI46" s="136" t="str">
        <f t="shared" si="1"/>
        <v>86790-0K141</v>
      </c>
      <c r="EJ46" s="136" t="s">
        <v>39</v>
      </c>
      <c r="EK46" s="136" t="str">
        <f>VLOOKUP(EJ46,'By Plant'!B:D,3,0)</f>
        <v>BPK</v>
      </c>
      <c r="EL46" s="136" t="str">
        <f t="shared" si="2"/>
        <v>86790-0K141SRS1</v>
      </c>
      <c r="EM46" s="136">
        <f t="shared" si="7"/>
      </c>
      <c r="ET46" s="252">
        <f t="shared" ref="ET46:EW46" si="10">SUM(ET25:ET45)</f>
        <v>64650</v>
      </c>
      <c r="EU46" s="252">
        <f t="shared" si="10"/>
        <v>67859</v>
      </c>
      <c r="EV46" s="252">
        <f t="shared" si="10"/>
        <v>72308</v>
      </c>
      <c r="EW46" s="252">
        <f t="shared" si="10"/>
        <v>68840</v>
      </c>
      <c r="EX46" s="186">
        <f>SUM(ET46:EW46)</f>
        <v>273657</v>
      </c>
    </row>
    <row r="47" ht="14.25" customHeight="1" spans="1:153" x14ac:dyDescent="0.25">
      <c r="A47" s="136" t="str">
        <f t="shared" si="8"/>
        <v>86790-0K171SR</v>
      </c>
      <c r="B47" s="135"/>
      <c r="C47" s="135"/>
      <c r="D47" s="135"/>
      <c r="E47" s="135"/>
      <c r="F47" s="135"/>
      <c r="G47" s="135"/>
      <c r="H47" s="135"/>
      <c r="I47" s="183"/>
      <c r="J47" s="183">
        <v>0</v>
      </c>
      <c r="K47" s="183">
        <v>0</v>
      </c>
      <c r="L47" s="183">
        <v>0</v>
      </c>
      <c r="M47" s="183">
        <v>0</v>
      </c>
      <c r="N47" s="183">
        <v>11</v>
      </c>
      <c r="O47" s="183">
        <v>8</v>
      </c>
      <c r="P47" s="183">
        <v>11</v>
      </c>
      <c r="Q47" s="183">
        <v>11</v>
      </c>
      <c r="R47" s="183">
        <v>14</v>
      </c>
      <c r="S47" s="183">
        <v>0</v>
      </c>
      <c r="T47" s="183">
        <v>0</v>
      </c>
      <c r="U47" s="183">
        <v>12</v>
      </c>
      <c r="V47" s="183">
        <v>11</v>
      </c>
      <c r="W47" s="183">
        <v>12</v>
      </c>
      <c r="X47" s="183">
        <v>12</v>
      </c>
      <c r="Y47" s="183">
        <v>10</v>
      </c>
      <c r="Z47" s="183">
        <v>6</v>
      </c>
      <c r="AA47" s="183">
        <v>0</v>
      </c>
      <c r="AB47" s="183">
        <v>13</v>
      </c>
      <c r="AC47" s="183">
        <v>10</v>
      </c>
      <c r="AD47" s="183">
        <v>13</v>
      </c>
      <c r="AE47" s="183">
        <v>12</v>
      </c>
      <c r="AF47" s="183">
        <v>11</v>
      </c>
      <c r="AG47" s="183">
        <v>0</v>
      </c>
      <c r="AH47" s="183">
        <v>0</v>
      </c>
      <c r="AI47" s="183">
        <v>12</v>
      </c>
      <c r="AJ47" s="183">
        <v>13</v>
      </c>
      <c r="AK47" s="183">
        <v>13</v>
      </c>
      <c r="AL47" s="183">
        <v>9</v>
      </c>
      <c r="AM47" s="183">
        <v>8</v>
      </c>
      <c r="AN47" s="183">
        <v>12</v>
      </c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N47" s="183"/>
      <c r="CO47" s="183"/>
      <c r="CP47" s="183"/>
      <c r="CQ47" s="183"/>
      <c r="CR47" s="183"/>
      <c r="CS47" s="183"/>
      <c r="CT47" s="183"/>
      <c r="CU47" s="183"/>
      <c r="CV47" s="183"/>
      <c r="CW47" s="183"/>
      <c r="CX47" s="183"/>
      <c r="CY47" s="183"/>
      <c r="CZ47" s="183"/>
      <c r="DA47" s="183"/>
      <c r="DB47" s="183"/>
      <c r="DC47" s="183"/>
      <c r="DD47" s="183"/>
      <c r="DE47" s="183"/>
      <c r="DF47" s="183"/>
      <c r="DG47" s="183"/>
      <c r="DH47" s="183"/>
      <c r="DI47" s="183"/>
      <c r="DJ47" s="183"/>
      <c r="DK47" s="183"/>
      <c r="DL47" s="183"/>
      <c r="DM47" s="183"/>
      <c r="DN47" s="183"/>
      <c r="DO47" s="183"/>
      <c r="DP47" s="183"/>
      <c r="DQ47" s="183"/>
      <c r="DR47" s="183"/>
      <c r="DS47" s="183"/>
      <c r="DT47" s="183"/>
      <c r="DU47" s="183"/>
      <c r="DV47" s="183"/>
      <c r="DW47" s="183"/>
      <c r="DX47" s="183"/>
      <c r="DY47" s="183"/>
      <c r="DZ47" s="183"/>
      <c r="EA47" s="183"/>
      <c r="EB47" s="183"/>
      <c r="EC47" s="183"/>
      <c r="ED47" s="183"/>
      <c r="EE47" s="183"/>
      <c r="EF47" s="183"/>
      <c r="EG47" s="183"/>
      <c r="EH47" s="136"/>
      <c r="EI47" s="136" t="str">
        <f t="shared" si="1"/>
        <v>86790-0K171</v>
      </c>
      <c r="EJ47" s="136" t="s">
        <v>41</v>
      </c>
      <c r="EK47" s="136" t="str">
        <f>VLOOKUP(EJ47,'By Plant'!B:D,3,0)</f>
        <v>SR</v>
      </c>
      <c r="EL47" s="136" t="str">
        <f t="shared" si="2"/>
        <v>86790-0K171SRS1</v>
      </c>
      <c r="EM47" s="136">
        <f t="shared" si="7"/>
      </c>
    </row>
    <row r="48" ht="14.25" customHeight="1" spans="1:153" x14ac:dyDescent="0.25">
      <c r="A48" s="136" t="str">
        <f t="shared" si="8"/>
        <v>86790-0K310SR</v>
      </c>
      <c r="B48" s="187"/>
      <c r="C48" s="135"/>
      <c r="D48" s="135"/>
      <c r="E48" s="135"/>
      <c r="F48" s="135"/>
      <c r="G48" s="135"/>
      <c r="H48" s="135"/>
      <c r="I48" s="183"/>
      <c r="J48" s="183">
        <v>0</v>
      </c>
      <c r="K48" s="183">
        <v>0</v>
      </c>
      <c r="L48" s="183">
        <v>0</v>
      </c>
      <c r="M48" s="183">
        <v>0</v>
      </c>
      <c r="N48" s="183">
        <v>6</v>
      </c>
      <c r="O48" s="183">
        <v>8</v>
      </c>
      <c r="P48" s="183">
        <v>7</v>
      </c>
      <c r="Q48" s="183">
        <v>8</v>
      </c>
      <c r="R48" s="183">
        <v>6</v>
      </c>
      <c r="S48" s="183">
        <v>0</v>
      </c>
      <c r="T48" s="183">
        <v>0</v>
      </c>
      <c r="U48" s="183">
        <v>8</v>
      </c>
      <c r="V48" s="183">
        <v>7</v>
      </c>
      <c r="W48" s="183">
        <v>8</v>
      </c>
      <c r="X48" s="183">
        <v>6</v>
      </c>
      <c r="Y48" s="183">
        <v>8</v>
      </c>
      <c r="Z48" s="183">
        <v>7</v>
      </c>
      <c r="AA48" s="183">
        <v>0</v>
      </c>
      <c r="AB48" s="183">
        <v>0</v>
      </c>
      <c r="AC48" s="183">
        <v>3</v>
      </c>
      <c r="AD48" s="183">
        <v>0</v>
      </c>
      <c r="AE48" s="183">
        <v>0</v>
      </c>
      <c r="AF48" s="183">
        <v>1</v>
      </c>
      <c r="AG48" s="183">
        <v>0</v>
      </c>
      <c r="AH48" s="183">
        <v>0</v>
      </c>
      <c r="AI48" s="183">
        <v>2</v>
      </c>
      <c r="AJ48" s="183">
        <v>0</v>
      </c>
      <c r="AK48" s="183">
        <v>5</v>
      </c>
      <c r="AL48" s="183">
        <v>2</v>
      </c>
      <c r="AM48" s="183">
        <v>2</v>
      </c>
      <c r="AN48" s="183">
        <v>4</v>
      </c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  <c r="BA48" s="183"/>
      <c r="BB48" s="183"/>
      <c r="BC48" s="183"/>
      <c r="BD48" s="183"/>
      <c r="BE48" s="183"/>
      <c r="BF48" s="183"/>
      <c r="BG48" s="183"/>
      <c r="BH48" s="183"/>
      <c r="BI48" s="183"/>
      <c r="BJ48" s="183"/>
      <c r="BK48" s="183"/>
      <c r="BL48" s="183"/>
      <c r="BM48" s="183"/>
      <c r="BN48" s="183"/>
      <c r="BO48" s="183"/>
      <c r="BP48" s="183"/>
      <c r="BQ48" s="183"/>
      <c r="BR48" s="183"/>
      <c r="BS48" s="183"/>
      <c r="BT48" s="183"/>
      <c r="BU48" s="183"/>
      <c r="BV48" s="183"/>
      <c r="BW48" s="183"/>
      <c r="BX48" s="183"/>
      <c r="BY48" s="183"/>
      <c r="BZ48" s="183"/>
      <c r="CA48" s="183"/>
      <c r="CB48" s="183"/>
      <c r="CC48" s="183"/>
      <c r="CD48" s="183"/>
      <c r="CE48" s="183"/>
      <c r="CF48" s="183"/>
      <c r="CG48" s="183"/>
      <c r="CH48" s="183"/>
      <c r="CI48" s="183"/>
      <c r="CJ48" s="183"/>
      <c r="CK48" s="183"/>
      <c r="CL48" s="183"/>
      <c r="CM48" s="183"/>
      <c r="CN48" s="183"/>
      <c r="CO48" s="183"/>
      <c r="CP48" s="183"/>
      <c r="CQ48" s="183"/>
      <c r="CR48" s="183"/>
      <c r="CS48" s="183"/>
      <c r="CT48" s="183"/>
      <c r="CU48" s="183"/>
      <c r="CV48" s="183"/>
      <c r="CW48" s="183"/>
      <c r="CX48" s="183"/>
      <c r="CY48" s="183"/>
      <c r="CZ48" s="183"/>
      <c r="DA48" s="183"/>
      <c r="DB48" s="183"/>
      <c r="DC48" s="183"/>
      <c r="DD48" s="183"/>
      <c r="DE48" s="183"/>
      <c r="DF48" s="183"/>
      <c r="DG48" s="183"/>
      <c r="DH48" s="183"/>
      <c r="DI48" s="183"/>
      <c r="DJ48" s="183"/>
      <c r="DK48" s="183"/>
      <c r="DL48" s="183"/>
      <c r="DM48" s="183"/>
      <c r="DN48" s="183"/>
      <c r="DO48" s="183"/>
      <c r="DP48" s="183"/>
      <c r="DQ48" s="183"/>
      <c r="DR48" s="183"/>
      <c r="DS48" s="183"/>
      <c r="DT48" s="183"/>
      <c r="DU48" s="183"/>
      <c r="DV48" s="183"/>
      <c r="DW48" s="183"/>
      <c r="DX48" s="183"/>
      <c r="DY48" s="183"/>
      <c r="DZ48" s="183"/>
      <c r="EA48" s="183"/>
      <c r="EB48" s="183"/>
      <c r="EC48" s="183"/>
      <c r="ED48" s="183"/>
      <c r="EE48" s="183"/>
      <c r="EF48" s="183"/>
      <c r="EG48" s="183"/>
      <c r="EH48" s="136"/>
      <c r="EI48" s="136" t="str">
        <f t="shared" si="1"/>
        <v>86790-0K310</v>
      </c>
      <c r="EJ48" s="136" t="s">
        <v>118</v>
      </c>
      <c r="EK48" s="136" t="s">
        <v>56</v>
      </c>
      <c r="EL48" s="136" t="str">
        <f t="shared" si="2"/>
        <v>86790-0K310SRS1</v>
      </c>
      <c r="EM48" s="136">
        <f t="shared" si="7"/>
      </c>
    </row>
    <row r="49" ht="14.25" customHeight="1" spans="1:153" x14ac:dyDescent="0.25">
      <c r="A49" s="136" t="str">
        <f t="shared" si="8"/>
        <v>86790-0K400SR</v>
      </c>
      <c r="B49" s="187"/>
      <c r="C49" s="135"/>
      <c r="D49" s="135"/>
      <c r="E49" s="135"/>
      <c r="F49" s="135"/>
      <c r="G49" s="135"/>
      <c r="H49" s="135"/>
      <c r="I49" s="183"/>
      <c r="J49" s="183">
        <v>0</v>
      </c>
      <c r="K49" s="183">
        <v>0</v>
      </c>
      <c r="L49" s="183">
        <v>0</v>
      </c>
      <c r="M49" s="183">
        <v>0</v>
      </c>
      <c r="N49" s="183">
        <v>6</v>
      </c>
      <c r="O49" s="183">
        <v>8</v>
      </c>
      <c r="P49" s="183">
        <v>7</v>
      </c>
      <c r="Q49" s="183">
        <v>8</v>
      </c>
      <c r="R49" s="183">
        <v>6</v>
      </c>
      <c r="S49" s="183">
        <v>0</v>
      </c>
      <c r="T49" s="183">
        <v>0</v>
      </c>
      <c r="U49" s="183">
        <v>8</v>
      </c>
      <c r="V49" s="183">
        <v>7</v>
      </c>
      <c r="W49" s="183">
        <v>8</v>
      </c>
      <c r="X49" s="183">
        <v>6</v>
      </c>
      <c r="Y49" s="183">
        <v>8</v>
      </c>
      <c r="Z49" s="183">
        <v>7</v>
      </c>
      <c r="AA49" s="183">
        <v>0</v>
      </c>
      <c r="AB49" s="183">
        <v>0</v>
      </c>
      <c r="AC49" s="183">
        <v>3</v>
      </c>
      <c r="AD49" s="183">
        <v>0</v>
      </c>
      <c r="AE49" s="183">
        <v>0</v>
      </c>
      <c r="AF49" s="183">
        <v>1</v>
      </c>
      <c r="AG49" s="183">
        <v>0</v>
      </c>
      <c r="AH49" s="183">
        <v>0</v>
      </c>
      <c r="AI49" s="183">
        <v>2</v>
      </c>
      <c r="AJ49" s="183">
        <v>0</v>
      </c>
      <c r="AK49" s="183">
        <v>5</v>
      </c>
      <c r="AL49" s="183">
        <v>2</v>
      </c>
      <c r="AM49" s="183">
        <v>2</v>
      </c>
      <c r="AN49" s="183">
        <v>4</v>
      </c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  <c r="BC49" s="183"/>
      <c r="BD49" s="183"/>
      <c r="BE49" s="183"/>
      <c r="BF49" s="183"/>
      <c r="BG49" s="183"/>
      <c r="BH49" s="183"/>
      <c r="BI49" s="183"/>
      <c r="BJ49" s="183"/>
      <c r="BK49" s="183"/>
      <c r="BL49" s="183"/>
      <c r="BM49" s="183"/>
      <c r="BN49" s="183"/>
      <c r="BO49" s="183"/>
      <c r="BP49" s="183"/>
      <c r="BQ49" s="183"/>
      <c r="BR49" s="183"/>
      <c r="BS49" s="183"/>
      <c r="BT49" s="183"/>
      <c r="BU49" s="183"/>
      <c r="BV49" s="183"/>
      <c r="BW49" s="183"/>
      <c r="BX49" s="183"/>
      <c r="BY49" s="183"/>
      <c r="BZ49" s="183"/>
      <c r="CA49" s="183"/>
      <c r="CB49" s="183"/>
      <c r="CC49" s="183"/>
      <c r="CD49" s="183"/>
      <c r="CE49" s="183"/>
      <c r="CF49" s="183"/>
      <c r="CG49" s="183"/>
      <c r="CH49" s="183"/>
      <c r="CI49" s="183"/>
      <c r="CJ49" s="183"/>
      <c r="CK49" s="183"/>
      <c r="CL49" s="183"/>
      <c r="CM49" s="183"/>
      <c r="CN49" s="183"/>
      <c r="CO49" s="183"/>
      <c r="CP49" s="183"/>
      <c r="CQ49" s="183"/>
      <c r="CR49" s="183"/>
      <c r="CS49" s="183"/>
      <c r="CT49" s="183"/>
      <c r="CU49" s="183"/>
      <c r="CV49" s="183"/>
      <c r="CW49" s="183"/>
      <c r="CX49" s="183"/>
      <c r="CY49" s="183"/>
      <c r="CZ49" s="183"/>
      <c r="DA49" s="183"/>
      <c r="DB49" s="183"/>
      <c r="DC49" s="183"/>
      <c r="DD49" s="183"/>
      <c r="DE49" s="183"/>
      <c r="DF49" s="183"/>
      <c r="DG49" s="183"/>
      <c r="DH49" s="183"/>
      <c r="DI49" s="183"/>
      <c r="DJ49" s="183"/>
      <c r="DK49" s="183"/>
      <c r="DL49" s="183"/>
      <c r="DM49" s="183"/>
      <c r="DN49" s="183"/>
      <c r="DO49" s="183"/>
      <c r="DP49" s="183"/>
      <c r="DQ49" s="183"/>
      <c r="DR49" s="183"/>
      <c r="DS49" s="183"/>
      <c r="DT49" s="183"/>
      <c r="DU49" s="183"/>
      <c r="DV49" s="183"/>
      <c r="DW49" s="183"/>
      <c r="DX49" s="183"/>
      <c r="DY49" s="183"/>
      <c r="DZ49" s="183"/>
      <c r="EA49" s="183"/>
      <c r="EB49" s="183"/>
      <c r="EC49" s="183"/>
      <c r="ED49" s="183"/>
      <c r="EE49" s="183"/>
      <c r="EF49" s="183"/>
      <c r="EG49" s="183"/>
      <c r="EH49" s="136"/>
      <c r="EI49" s="136" t="str">
        <f t="shared" si="1"/>
        <v>86790-0K400</v>
      </c>
      <c r="EJ49" s="136" t="s">
        <v>119</v>
      </c>
      <c r="EK49" s="136" t="s">
        <v>56</v>
      </c>
      <c r="EL49" s="136" t="str">
        <f t="shared" si="2"/>
        <v>86790-0K400SRS1</v>
      </c>
      <c r="EM49" s="136">
        <f t="shared" si="7"/>
      </c>
    </row>
    <row r="50" ht="14.25" customHeight="1" spans="1:153" x14ac:dyDescent="0.25">
      <c r="A50" s="136">
        <f t="shared" si="8"/>
      </c>
      <c r="B50" s="130"/>
      <c r="C50" s="135"/>
      <c r="D50" s="135"/>
      <c r="E50" s="135"/>
      <c r="F50" s="135"/>
      <c r="G50" s="135"/>
      <c r="H50" s="135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83"/>
      <c r="BY50" s="183"/>
      <c r="BZ50" s="183"/>
      <c r="CA50" s="183"/>
      <c r="CB50" s="183"/>
      <c r="CC50" s="183"/>
      <c r="CD50" s="183"/>
      <c r="CE50" s="183"/>
      <c r="CF50" s="183"/>
      <c r="CG50" s="183"/>
      <c r="CH50" s="183"/>
      <c r="CI50" s="183"/>
      <c r="CJ50" s="183"/>
      <c r="CK50" s="183"/>
      <c r="CL50" s="183"/>
      <c r="CM50" s="183"/>
      <c r="CN50" s="183"/>
      <c r="CO50" s="183"/>
      <c r="CP50" s="183"/>
      <c r="CQ50" s="183"/>
      <c r="CR50" s="183"/>
      <c r="CS50" s="183"/>
      <c r="CT50" s="183"/>
      <c r="CU50" s="183"/>
      <c r="CV50" s="183"/>
      <c r="CW50" s="183"/>
      <c r="CX50" s="183"/>
      <c r="CY50" s="183"/>
      <c r="CZ50" s="183"/>
      <c r="DA50" s="183"/>
      <c r="DB50" s="183"/>
      <c r="DC50" s="183"/>
      <c r="DD50" s="183"/>
      <c r="DE50" s="183"/>
      <c r="DF50" s="183"/>
      <c r="DG50" s="183"/>
      <c r="DH50" s="183"/>
      <c r="DI50" s="183"/>
      <c r="DJ50" s="183"/>
      <c r="DK50" s="183"/>
      <c r="DL50" s="183"/>
      <c r="DM50" s="183"/>
      <c r="DN50" s="183"/>
      <c r="DO50" s="183"/>
      <c r="DP50" s="183"/>
      <c r="DQ50" s="183"/>
      <c r="DR50" s="183"/>
      <c r="DS50" s="183"/>
      <c r="DT50" s="183"/>
      <c r="DU50" s="183"/>
      <c r="DV50" s="183"/>
      <c r="DW50" s="183"/>
      <c r="DX50" s="183"/>
      <c r="DY50" s="183"/>
      <c r="DZ50" s="183"/>
      <c r="EA50" s="183"/>
      <c r="EB50" s="183"/>
      <c r="EC50" s="183"/>
      <c r="ED50" s="183"/>
      <c r="EE50" s="183"/>
      <c r="EF50" s="183"/>
      <c r="EG50" s="183"/>
      <c r="EI50" s="136">
        <f t="shared" si="1"/>
      </c>
      <c r="EL50" s="136">
        <f t="shared" si="2"/>
      </c>
      <c r="EM50" s="136">
        <f t="shared" si="7"/>
      </c>
    </row>
    <row r="51" ht="14.25" customHeight="1" spans="1:143" x14ac:dyDescent="0.25">
      <c r="A51" s="136">
        <f t="shared" si="8"/>
      </c>
      <c r="B51" s="130"/>
      <c r="C51" s="135"/>
      <c r="D51" s="135"/>
      <c r="E51" s="135"/>
      <c r="F51" s="135"/>
      <c r="G51" s="135"/>
      <c r="H51" s="135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83"/>
      <c r="BY51" s="183"/>
      <c r="BZ51" s="183"/>
      <c r="CA51" s="183"/>
      <c r="CB51" s="183"/>
      <c r="CC51" s="183"/>
      <c r="CD51" s="183"/>
      <c r="CE51" s="183"/>
      <c r="CF51" s="183"/>
      <c r="CG51" s="183"/>
      <c r="CH51" s="183"/>
      <c r="CI51" s="183"/>
      <c r="CJ51" s="183"/>
      <c r="CK51" s="183"/>
      <c r="CL51" s="183"/>
      <c r="CM51" s="183"/>
      <c r="CN51" s="183"/>
      <c r="CO51" s="183"/>
      <c r="CP51" s="183"/>
      <c r="CQ51" s="183"/>
      <c r="CR51" s="183"/>
      <c r="CS51" s="183"/>
      <c r="CT51" s="183"/>
      <c r="CU51" s="183"/>
      <c r="CV51" s="183"/>
      <c r="CW51" s="183"/>
      <c r="CX51" s="183"/>
      <c r="CY51" s="183"/>
      <c r="CZ51" s="183"/>
      <c r="DA51" s="183"/>
      <c r="DB51" s="183"/>
      <c r="DC51" s="183"/>
      <c r="DD51" s="183"/>
      <c r="DE51" s="183"/>
      <c r="DF51" s="183"/>
      <c r="DG51" s="183"/>
      <c r="DH51" s="183"/>
      <c r="DI51" s="183"/>
      <c r="DJ51" s="183"/>
      <c r="DK51" s="183"/>
      <c r="DL51" s="183"/>
      <c r="DM51" s="183"/>
      <c r="DN51" s="183"/>
      <c r="DO51" s="183"/>
      <c r="DP51" s="183"/>
      <c r="DQ51" s="183"/>
      <c r="DR51" s="183"/>
      <c r="DS51" s="183"/>
      <c r="DT51" s="183"/>
      <c r="DU51" s="183"/>
      <c r="DV51" s="183"/>
      <c r="DW51" s="183"/>
      <c r="DX51" s="183"/>
      <c r="DY51" s="183"/>
      <c r="DZ51" s="183"/>
      <c r="EA51" s="183"/>
      <c r="EB51" s="183"/>
      <c r="EC51" s="183"/>
      <c r="ED51" s="183"/>
      <c r="EE51" s="183"/>
      <c r="EF51" s="183"/>
      <c r="EG51" s="183"/>
      <c r="EI51" s="136">
        <f t="shared" si="1"/>
      </c>
      <c r="EL51" s="136">
        <f t="shared" si="2"/>
      </c>
      <c r="EM51" s="136">
        <f t="shared" si="7"/>
      </c>
    </row>
    <row r="52" ht="14.25" customHeight="1" spans="1:143" x14ac:dyDescent="0.25">
      <c r="A52" s="136">
        <f t="shared" si="8"/>
      </c>
      <c r="B52" s="130"/>
      <c r="C52" s="135"/>
      <c r="D52" s="135"/>
      <c r="E52" s="135"/>
      <c r="F52" s="135"/>
      <c r="G52" s="135"/>
      <c r="H52" s="135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83"/>
      <c r="BY52" s="183"/>
      <c r="BZ52" s="183"/>
      <c r="CA52" s="183"/>
      <c r="CB52" s="183"/>
      <c r="CC52" s="183"/>
      <c r="CD52" s="183"/>
      <c r="CE52" s="183"/>
      <c r="CF52" s="183"/>
      <c r="CG52" s="183"/>
      <c r="CH52" s="183"/>
      <c r="CI52" s="183"/>
      <c r="CJ52" s="183"/>
      <c r="CK52" s="183"/>
      <c r="CL52" s="183"/>
      <c r="CM52" s="183"/>
      <c r="CN52" s="183"/>
      <c r="CO52" s="183"/>
      <c r="CP52" s="183"/>
      <c r="CQ52" s="183"/>
      <c r="CR52" s="183"/>
      <c r="CS52" s="183"/>
      <c r="CT52" s="183"/>
      <c r="CU52" s="183"/>
      <c r="CV52" s="183"/>
      <c r="CW52" s="183"/>
      <c r="CX52" s="183"/>
      <c r="CY52" s="183"/>
      <c r="CZ52" s="183"/>
      <c r="DA52" s="183"/>
      <c r="DB52" s="183"/>
      <c r="DC52" s="183"/>
      <c r="DD52" s="183"/>
      <c r="DE52" s="183"/>
      <c r="DF52" s="183"/>
      <c r="DG52" s="183"/>
      <c r="DH52" s="183"/>
      <c r="DI52" s="183"/>
      <c r="DJ52" s="183"/>
      <c r="DK52" s="183"/>
      <c r="DL52" s="183"/>
      <c r="DM52" s="183"/>
      <c r="DN52" s="183"/>
      <c r="DO52" s="183"/>
      <c r="DP52" s="183"/>
      <c r="DQ52" s="183"/>
      <c r="DR52" s="183"/>
      <c r="DS52" s="183"/>
      <c r="DT52" s="183"/>
      <c r="DU52" s="183"/>
      <c r="DV52" s="183"/>
      <c r="DW52" s="183"/>
      <c r="DX52" s="183"/>
      <c r="DY52" s="183"/>
      <c r="DZ52" s="183"/>
      <c r="EA52" s="183"/>
      <c r="EB52" s="183"/>
      <c r="EC52" s="183"/>
      <c r="ED52" s="183"/>
      <c r="EE52" s="183"/>
      <c r="EF52" s="183"/>
      <c r="EG52" s="183"/>
      <c r="EI52" s="136">
        <f t="shared" si="1"/>
      </c>
      <c r="EL52" s="136">
        <f t="shared" si="2"/>
      </c>
      <c r="EM52" s="136">
        <f t="shared" si="7"/>
      </c>
    </row>
    <row r="53" ht="14.25" customHeight="1" spans="1:143" x14ac:dyDescent="0.25">
      <c r="A53" s="136">
        <f t="shared" si="8"/>
      </c>
      <c r="B53" s="130"/>
      <c r="C53" s="135"/>
      <c r="D53" s="135"/>
      <c r="E53" s="135"/>
      <c r="F53" s="135"/>
      <c r="G53" s="135"/>
      <c r="H53" s="135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83"/>
      <c r="BY53" s="183"/>
      <c r="BZ53" s="183"/>
      <c r="CA53" s="183"/>
      <c r="CB53" s="183"/>
      <c r="CC53" s="183"/>
      <c r="CD53" s="183"/>
      <c r="CE53" s="183"/>
      <c r="CF53" s="183"/>
      <c r="CG53" s="183"/>
      <c r="CH53" s="183"/>
      <c r="CI53" s="183"/>
      <c r="CJ53" s="183"/>
      <c r="CK53" s="183"/>
      <c r="CL53" s="183"/>
      <c r="CM53" s="183"/>
      <c r="CN53" s="183"/>
      <c r="CO53" s="183"/>
      <c r="CP53" s="183"/>
      <c r="CQ53" s="183"/>
      <c r="CR53" s="183"/>
      <c r="CS53" s="183"/>
      <c r="CT53" s="183"/>
      <c r="CU53" s="183"/>
      <c r="CV53" s="183"/>
      <c r="CW53" s="183"/>
      <c r="CX53" s="183"/>
      <c r="CY53" s="183"/>
      <c r="CZ53" s="183"/>
      <c r="DA53" s="183"/>
      <c r="DB53" s="183"/>
      <c r="DC53" s="183"/>
      <c r="DD53" s="183"/>
      <c r="DE53" s="183"/>
      <c r="DF53" s="183"/>
      <c r="DG53" s="183"/>
      <c r="DH53" s="183"/>
      <c r="DI53" s="183"/>
      <c r="DJ53" s="183"/>
      <c r="DK53" s="183"/>
      <c r="DL53" s="183"/>
      <c r="DM53" s="183"/>
      <c r="DN53" s="183"/>
      <c r="DO53" s="183"/>
      <c r="DP53" s="183"/>
      <c r="DQ53" s="183"/>
      <c r="DR53" s="183"/>
      <c r="DS53" s="183"/>
      <c r="DT53" s="183"/>
      <c r="DU53" s="183"/>
      <c r="DV53" s="183"/>
      <c r="DW53" s="183"/>
      <c r="DX53" s="183"/>
      <c r="DY53" s="183"/>
      <c r="DZ53" s="183"/>
      <c r="EA53" s="183"/>
      <c r="EB53" s="183"/>
      <c r="EC53" s="183"/>
      <c r="ED53" s="183"/>
      <c r="EE53" s="183"/>
      <c r="EF53" s="183"/>
      <c r="EG53" s="183"/>
      <c r="EI53" s="136">
        <f t="shared" si="1"/>
      </c>
      <c r="EL53" s="136">
        <f t="shared" si="2"/>
      </c>
      <c r="EM53" s="136">
        <f t="shared" si="7"/>
      </c>
    </row>
    <row r="54" ht="14.25" customHeight="1" spans="1:143" x14ac:dyDescent="0.25">
      <c r="A54" s="136">
        <f t="shared" si="8"/>
      </c>
      <c r="B54" s="130"/>
      <c r="C54" s="135"/>
      <c r="D54" s="135"/>
      <c r="E54" s="135"/>
      <c r="F54" s="135"/>
      <c r="G54" s="135"/>
      <c r="H54" s="135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83"/>
      <c r="BY54" s="183"/>
      <c r="BZ54" s="183"/>
      <c r="CA54" s="183"/>
      <c r="CB54" s="183"/>
      <c r="CC54" s="183"/>
      <c r="CD54" s="183"/>
      <c r="CE54" s="183"/>
      <c r="CF54" s="183"/>
      <c r="CG54" s="183"/>
      <c r="CH54" s="183"/>
      <c r="CI54" s="183"/>
      <c r="CJ54" s="183"/>
      <c r="CK54" s="183"/>
      <c r="CL54" s="183"/>
      <c r="CM54" s="183"/>
      <c r="CN54" s="183"/>
      <c r="CO54" s="183"/>
      <c r="CP54" s="183"/>
      <c r="CQ54" s="183"/>
      <c r="CR54" s="183"/>
      <c r="CS54" s="183"/>
      <c r="CT54" s="183"/>
      <c r="CU54" s="183"/>
      <c r="CV54" s="183"/>
      <c r="CW54" s="183"/>
      <c r="CX54" s="183"/>
      <c r="CY54" s="183"/>
      <c r="CZ54" s="183"/>
      <c r="DA54" s="183"/>
      <c r="DB54" s="183"/>
      <c r="DC54" s="183"/>
      <c r="DD54" s="183"/>
      <c r="DE54" s="183"/>
      <c r="DF54" s="183"/>
      <c r="DG54" s="183"/>
      <c r="DH54" s="183"/>
      <c r="DI54" s="183"/>
      <c r="DJ54" s="183"/>
      <c r="DK54" s="183"/>
      <c r="DL54" s="183"/>
      <c r="DM54" s="183"/>
      <c r="DN54" s="183"/>
      <c r="DO54" s="183"/>
      <c r="DP54" s="183"/>
      <c r="DQ54" s="183"/>
      <c r="DR54" s="183"/>
      <c r="DS54" s="183"/>
      <c r="DT54" s="183"/>
      <c r="DU54" s="183"/>
      <c r="DV54" s="183"/>
      <c r="DW54" s="183"/>
      <c r="DX54" s="183"/>
      <c r="DY54" s="183"/>
      <c r="DZ54" s="183"/>
      <c r="EA54" s="183"/>
      <c r="EB54" s="183"/>
      <c r="EC54" s="183"/>
      <c r="ED54" s="183"/>
      <c r="EE54" s="183"/>
      <c r="EF54" s="183"/>
      <c r="EG54" s="183"/>
      <c r="EI54" s="136">
        <f t="shared" si="1"/>
      </c>
      <c r="EL54" s="136">
        <f t="shared" si="2"/>
      </c>
      <c r="EM54" s="136">
        <f t="shared" si="7"/>
      </c>
    </row>
    <row r="55" ht="14.25" customHeight="1" spans="1:142" x14ac:dyDescent="0.25">
      <c r="A55" s="136">
        <f t="shared" si="8"/>
      </c>
      <c r="B55" s="130"/>
      <c r="C55" s="135"/>
      <c r="D55" s="135"/>
      <c r="E55" s="135"/>
      <c r="F55" s="135"/>
      <c r="G55" s="135"/>
      <c r="H55" s="135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83"/>
      <c r="BY55" s="183"/>
      <c r="BZ55" s="183"/>
      <c r="CA55" s="183"/>
      <c r="CB55" s="183"/>
      <c r="CC55" s="183"/>
      <c r="CD55" s="183"/>
      <c r="CE55" s="183"/>
      <c r="CF55" s="183"/>
      <c r="CG55" s="183"/>
      <c r="CH55" s="183"/>
      <c r="CI55" s="183"/>
      <c r="CJ55" s="183"/>
      <c r="CK55" s="183"/>
      <c r="CL55" s="183"/>
      <c r="CM55" s="183"/>
      <c r="CN55" s="183"/>
      <c r="CO55" s="183"/>
      <c r="CP55" s="183"/>
      <c r="CQ55" s="183"/>
      <c r="CR55" s="183"/>
      <c r="CS55" s="183"/>
      <c r="CT55" s="183"/>
      <c r="CU55" s="183"/>
      <c r="CV55" s="183"/>
      <c r="CW55" s="183"/>
      <c r="CX55" s="183"/>
      <c r="CY55" s="183"/>
      <c r="CZ55" s="183"/>
      <c r="DA55" s="183"/>
      <c r="DB55" s="183"/>
      <c r="DC55" s="183"/>
      <c r="DD55" s="183"/>
      <c r="DE55" s="183"/>
      <c r="DF55" s="183"/>
      <c r="DG55" s="183"/>
      <c r="DH55" s="183"/>
      <c r="DI55" s="183"/>
      <c r="DJ55" s="183"/>
      <c r="DK55" s="183"/>
      <c r="DL55" s="183"/>
      <c r="DM55" s="183"/>
      <c r="DN55" s="183"/>
      <c r="DO55" s="183"/>
      <c r="DP55" s="183"/>
      <c r="DQ55" s="183"/>
      <c r="DR55" s="183"/>
      <c r="DS55" s="183"/>
      <c r="DT55" s="183"/>
      <c r="DU55" s="183"/>
      <c r="DV55" s="183"/>
      <c r="DW55" s="183"/>
      <c r="DX55" s="183"/>
      <c r="DY55" s="183"/>
      <c r="DZ55" s="183"/>
      <c r="EA55" s="183"/>
      <c r="EB55" s="183"/>
      <c r="EC55" s="183"/>
      <c r="ED55" s="183"/>
      <c r="EE55" s="183"/>
      <c r="EF55" s="183"/>
      <c r="EG55" s="183"/>
      <c r="EI55" s="136">
        <f t="shared" si="1"/>
      </c>
      <c r="EL55" s="136">
        <f t="shared" si="2"/>
      </c>
    </row>
    <row r="56" ht="14.25" customHeight="1" spans="1:142" x14ac:dyDescent="0.25">
      <c r="A56" s="136">
        <f t="shared" si="8"/>
      </c>
      <c r="B56" s="130"/>
      <c r="C56" s="135"/>
      <c r="D56" s="135"/>
      <c r="E56" s="135"/>
      <c r="F56" s="135"/>
      <c r="G56" s="135"/>
      <c r="H56" s="135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83"/>
      <c r="BY56" s="183"/>
      <c r="BZ56" s="183"/>
      <c r="CA56" s="183"/>
      <c r="CB56" s="183"/>
      <c r="CC56" s="183"/>
      <c r="CD56" s="183"/>
      <c r="CE56" s="183"/>
      <c r="CF56" s="183"/>
      <c r="CG56" s="183"/>
      <c r="CH56" s="183"/>
      <c r="CI56" s="183"/>
      <c r="CJ56" s="183"/>
      <c r="CK56" s="183"/>
      <c r="CL56" s="183"/>
      <c r="CM56" s="183"/>
      <c r="CN56" s="183"/>
      <c r="CO56" s="183"/>
      <c r="CP56" s="183"/>
      <c r="CQ56" s="183"/>
      <c r="CR56" s="183"/>
      <c r="CS56" s="183"/>
      <c r="CT56" s="183"/>
      <c r="CU56" s="183"/>
      <c r="CV56" s="183"/>
      <c r="CW56" s="183"/>
      <c r="CX56" s="183"/>
      <c r="CY56" s="183"/>
      <c r="CZ56" s="183"/>
      <c r="DA56" s="183"/>
      <c r="DB56" s="183"/>
      <c r="DC56" s="183"/>
      <c r="DD56" s="183"/>
      <c r="DE56" s="183"/>
      <c r="DF56" s="183"/>
      <c r="DG56" s="183"/>
      <c r="DH56" s="183"/>
      <c r="DI56" s="183"/>
      <c r="DJ56" s="183"/>
      <c r="DK56" s="183"/>
      <c r="DL56" s="183"/>
      <c r="DM56" s="183"/>
      <c r="DN56" s="183"/>
      <c r="DO56" s="183"/>
      <c r="DP56" s="183"/>
      <c r="DQ56" s="183"/>
      <c r="DR56" s="183"/>
      <c r="DS56" s="183"/>
      <c r="DT56" s="183"/>
      <c r="DU56" s="183"/>
      <c r="DV56" s="183"/>
      <c r="DW56" s="183"/>
      <c r="DX56" s="183"/>
      <c r="DY56" s="183"/>
      <c r="DZ56" s="183"/>
      <c r="EA56" s="183"/>
      <c r="EB56" s="183"/>
      <c r="EC56" s="183"/>
      <c r="ED56" s="183"/>
      <c r="EE56" s="183"/>
      <c r="EF56" s="183"/>
      <c r="EG56" s="183"/>
      <c r="EH56" s="157"/>
      <c r="EI56" s="136">
        <f t="shared" si="1"/>
      </c>
      <c r="EL56" s="136">
        <f t="shared" si="2"/>
      </c>
    </row>
    <row r="57" ht="14.25" customHeight="1" spans="2:137" x14ac:dyDescent="0.25">
      <c r="B57" s="135"/>
      <c r="C57" s="135"/>
      <c r="D57" s="135"/>
      <c r="E57" s="135"/>
      <c r="F57" s="135"/>
      <c r="G57" s="135"/>
      <c r="H57" s="135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83"/>
      <c r="BY57" s="183"/>
      <c r="BZ57" s="183"/>
      <c r="CA57" s="183"/>
      <c r="CB57" s="183"/>
      <c r="CC57" s="183"/>
      <c r="CD57" s="183"/>
      <c r="CE57" s="183"/>
      <c r="CF57" s="183"/>
      <c r="CG57" s="183"/>
      <c r="CH57" s="183"/>
      <c r="CI57" s="183"/>
      <c r="CJ57" s="183"/>
      <c r="CK57" s="183"/>
      <c r="CL57" s="183"/>
      <c r="CM57" s="183"/>
      <c r="CN57" s="183"/>
      <c r="CO57" s="183"/>
      <c r="CP57" s="183"/>
      <c r="CQ57" s="183"/>
      <c r="CR57" s="183"/>
      <c r="CS57" s="183"/>
      <c r="CT57" s="183"/>
      <c r="CU57" s="183"/>
      <c r="CV57" s="183"/>
      <c r="CW57" s="183"/>
      <c r="CX57" s="183"/>
      <c r="CY57" s="183"/>
      <c r="CZ57" s="183"/>
      <c r="DA57" s="183"/>
      <c r="DB57" s="183"/>
      <c r="DC57" s="183"/>
      <c r="DD57" s="183"/>
      <c r="DE57" s="183"/>
      <c r="DF57" s="183"/>
      <c r="DG57" s="183"/>
      <c r="DH57" s="183"/>
      <c r="DI57" s="183"/>
      <c r="DJ57" s="183"/>
      <c r="DK57" s="183"/>
      <c r="DL57" s="183"/>
      <c r="DM57" s="183"/>
      <c r="DN57" s="183"/>
      <c r="DO57" s="183"/>
      <c r="DP57" s="183"/>
      <c r="DQ57" s="183"/>
      <c r="DR57" s="183"/>
      <c r="DS57" s="183"/>
      <c r="DT57" s="183"/>
      <c r="DU57" s="183"/>
      <c r="DV57" s="183"/>
      <c r="DW57" s="183"/>
      <c r="DX57" s="183"/>
      <c r="DY57" s="183"/>
      <c r="DZ57" s="183"/>
      <c r="EA57" s="183"/>
      <c r="EB57" s="183"/>
      <c r="EC57" s="183"/>
      <c r="ED57" s="183"/>
      <c r="EE57" s="183"/>
      <c r="EF57" s="183"/>
      <c r="EG57" s="183"/>
    </row>
    <row r="58" ht="14.25" customHeight="1" spans="2:137" x14ac:dyDescent="0.25">
      <c r="B58" s="135"/>
      <c r="C58" s="135"/>
      <c r="D58" s="135"/>
      <c r="E58" s="135"/>
      <c r="F58" s="135"/>
      <c r="G58" s="135"/>
      <c r="H58" s="135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  <c r="CW58" s="183"/>
      <c r="CX58" s="183"/>
      <c r="CY58" s="183"/>
      <c r="CZ58" s="183"/>
      <c r="DA58" s="183"/>
      <c r="DB58" s="183"/>
      <c r="DC58" s="183"/>
      <c r="DD58" s="183"/>
      <c r="DE58" s="183"/>
      <c r="DF58" s="183"/>
      <c r="DG58" s="183"/>
      <c r="DH58" s="183"/>
      <c r="DI58" s="183"/>
      <c r="DJ58" s="183"/>
      <c r="DK58" s="183"/>
      <c r="DL58" s="183"/>
      <c r="DM58" s="183"/>
      <c r="DN58" s="183"/>
      <c r="DO58" s="183"/>
      <c r="DP58" s="183"/>
      <c r="DQ58" s="183"/>
      <c r="DR58" s="183"/>
      <c r="DS58" s="183"/>
      <c r="DT58" s="183"/>
      <c r="DU58" s="183"/>
      <c r="DV58" s="183"/>
      <c r="DW58" s="183"/>
      <c r="DX58" s="183"/>
      <c r="DY58" s="183"/>
      <c r="DZ58" s="183"/>
      <c r="EA58" s="183"/>
      <c r="EB58" s="183"/>
      <c r="EC58" s="183"/>
      <c r="ED58" s="183"/>
      <c r="EE58" s="183"/>
      <c r="EF58" s="183"/>
      <c r="EG58" s="183"/>
    </row>
    <row r="59" ht="14.25" customHeight="1" spans="2:137" x14ac:dyDescent="0.25">
      <c r="B59" s="133"/>
      <c r="C59" s="133"/>
      <c r="D59" s="133"/>
      <c r="E59" s="133"/>
      <c r="F59" s="133"/>
      <c r="G59" s="133"/>
      <c r="H59" s="133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O59" s="188"/>
      <c r="BP59" s="188"/>
      <c r="BQ59" s="188"/>
      <c r="BR59" s="188"/>
      <c r="BS59" s="188"/>
      <c r="BT59" s="188"/>
      <c r="BU59" s="188"/>
      <c r="BV59" s="188"/>
      <c r="BW59" s="188"/>
      <c r="BX59" s="188"/>
      <c r="BY59" s="188"/>
      <c r="BZ59" s="188"/>
      <c r="CA59" s="188"/>
      <c r="CB59" s="188"/>
      <c r="CC59" s="188"/>
      <c r="CD59" s="188"/>
      <c r="CE59" s="188"/>
      <c r="CF59" s="188"/>
      <c r="CG59" s="188"/>
      <c r="CH59" s="188"/>
      <c r="CI59" s="188"/>
      <c r="CJ59" s="188"/>
      <c r="CK59" s="188"/>
      <c r="CL59" s="188"/>
      <c r="CM59" s="188"/>
      <c r="CN59" s="188"/>
      <c r="CO59" s="188"/>
      <c r="CP59" s="188"/>
      <c r="CQ59" s="188"/>
      <c r="CR59" s="188"/>
      <c r="CS59" s="188"/>
      <c r="CT59" s="188"/>
      <c r="CU59" s="188"/>
      <c r="CV59" s="188"/>
      <c r="CW59" s="188"/>
      <c r="CX59" s="188"/>
      <c r="CY59" s="188"/>
      <c r="CZ59" s="188"/>
      <c r="DA59" s="188"/>
      <c r="DB59" s="188"/>
      <c r="DC59" s="188"/>
      <c r="DD59" s="188"/>
      <c r="DE59" s="188"/>
      <c r="DF59" s="188"/>
      <c r="DG59" s="188"/>
      <c r="DH59" s="188"/>
      <c r="DI59" s="188"/>
      <c r="DJ59" s="188"/>
      <c r="DK59" s="188"/>
      <c r="DL59" s="188"/>
      <c r="DM59" s="188"/>
      <c r="DN59" s="188"/>
      <c r="DO59" s="188"/>
      <c r="DP59" s="188"/>
      <c r="DQ59" s="188"/>
      <c r="DR59" s="188"/>
      <c r="DS59" s="188"/>
      <c r="DT59" s="188"/>
      <c r="DU59" s="188"/>
      <c r="DV59" s="188"/>
      <c r="DW59" s="188"/>
      <c r="DX59" s="188"/>
      <c r="DY59" s="188"/>
      <c r="DZ59" s="188"/>
      <c r="EA59" s="188"/>
      <c r="EB59" s="188"/>
      <c r="EC59" s="188"/>
      <c r="ED59" s="188"/>
      <c r="EE59" s="188"/>
      <c r="EF59" s="188"/>
      <c r="EG59" s="188"/>
    </row>
    <row r="60" ht="14.25" customHeight="1" x14ac:dyDescent="0.25"/>
    <row r="61" ht="14.25" customHeight="1" x14ac:dyDescent="0.25"/>
    <row r="62" ht="14.25" customHeight="1" spans="8:9" x14ac:dyDescent="0.25">
      <c r="H62" s="136" t="str">
        <f>VLOOKUP(B62,'By Plant'!$E$7:$E$57,1,0)</f>
        <v>#N/A</v>
      </c>
      <c r="I62" s="136" t="str">
        <f>VLOOKUP(B62,'By Plant'!$E$6:$E$57,1,0)</f>
        <v>#N/A</v>
      </c>
    </row>
    <row r="63" ht="14.25" customHeight="1" spans="8:9" x14ac:dyDescent="0.25">
      <c r="H63" s="136" t="str">
        <f>VLOOKUP(B63,'By Plant'!$E$7:$E$57,1,0)</f>
        <v>86790-0K051BP</v>
      </c>
      <c r="I63" s="136" t="str">
        <f>VLOOKUP(B63,'By Plant'!$E$6:$E$57,1,0)</f>
        <v>86790-0K051BP</v>
      </c>
    </row>
    <row r="64" ht="14.25" customHeight="1" spans="8:9" x14ac:dyDescent="0.25">
      <c r="H64" s="136" t="str">
        <f>VLOOKUP(B64,'By Plant'!$E$7:$E$57,1,0)</f>
        <v>86790-0K051BPKSN1</v>
      </c>
      <c r="I64" s="136" t="str">
        <f>VLOOKUP(B64,'By Plant'!$E$6:$E$57,1,0)</f>
        <v>86790-0K051BPKSN1</v>
      </c>
    </row>
    <row r="65" ht="14.25" customHeight="1" spans="8:9" x14ac:dyDescent="0.25">
      <c r="H65" s="136" t="str">
        <f>VLOOKUP(B65,'By Plant'!$E$7:$E$57,1,0)</f>
        <v>86790-0K051BPKTP1</v>
      </c>
      <c r="I65" s="136" t="str">
        <f>VLOOKUP(B65,'By Plant'!$E$6:$E$57,1,0)</f>
        <v>86790-0K051BPKTP1</v>
      </c>
    </row>
    <row r="66" ht="14.25" customHeight="1" spans="8:9" x14ac:dyDescent="0.25">
      <c r="H66" s="136" t="str">
        <f>VLOOKUP(B66,'By Plant'!$E$7:$E$57,1,0)</f>
        <v>86790-0K051SR</v>
      </c>
      <c r="I66" s="136" t="str">
        <f>VLOOKUP(B66,'By Plant'!$E$6:$E$57,1,0)</f>
        <v>86790-0K051SR</v>
      </c>
    </row>
    <row r="67" ht="14.25" customHeight="1" spans="8:9" x14ac:dyDescent="0.25">
      <c r="H67" s="136" t="str">
        <f>VLOOKUP(B67,'By Plant'!$E$7:$E$57,1,0)</f>
        <v>86790-0K080BP</v>
      </c>
      <c r="I67" s="136" t="str">
        <f>VLOOKUP(B67,'By Plant'!$E$6:$E$57,1,0)</f>
        <v>86790-0K080BP</v>
      </c>
    </row>
    <row r="68" ht="14.25" customHeight="1" spans="8:9" x14ac:dyDescent="0.25">
      <c r="H68" s="136" t="str">
        <f>VLOOKUP(B68,'By Plant'!$E$7:$E$57,1,0)</f>
        <v>86790-0K080SR</v>
      </c>
      <c r="I68" s="136" t="str">
        <f>VLOOKUP(B68,'By Plant'!$E$6:$E$57,1,0)</f>
        <v>86790-0K080SR</v>
      </c>
    </row>
    <row r="69" ht="14.25" customHeight="1" spans="8:9" x14ac:dyDescent="0.25">
      <c r="H69" s="136" t="str">
        <f>VLOOKUP(B69,'By Plant'!$E$7:$E$57,1,0)</f>
        <v>86790-0K110BP</v>
      </c>
      <c r="I69" s="136" t="str">
        <f>VLOOKUP(B69,'By Plant'!$E$6:$E$57,1,0)</f>
        <v>86790-0K110BP</v>
      </c>
    </row>
    <row r="70" ht="14.25" customHeight="1" spans="8:9" x14ac:dyDescent="0.25">
      <c r="H70" s="136" t="str">
        <f>VLOOKUP(B70,'By Plant'!$E$7:$E$57,1,0)</f>
        <v>86790-0K110BPK</v>
      </c>
      <c r="I70" s="136" t="str">
        <f>VLOOKUP(B70,'By Plant'!$E$6:$E$57,1,0)</f>
        <v>86790-0K110BPK</v>
      </c>
    </row>
    <row r="71" ht="14.25" customHeight="1" spans="8:9" x14ac:dyDescent="0.25">
      <c r="H71" s="136" t="str">
        <f>VLOOKUP(B71,'By Plant'!$E$7:$E$57,1,0)</f>
        <v>86790-0K110BPKTP1</v>
      </c>
      <c r="I71" s="136" t="str">
        <f>VLOOKUP(B71,'By Plant'!$E$6:$E$57,1,0)</f>
        <v>86790-0K110BPKTP1</v>
      </c>
    </row>
    <row r="72" ht="14.25" customHeight="1" spans="8:9" x14ac:dyDescent="0.25">
      <c r="H72" s="136" t="str">
        <f>VLOOKUP(B72,'By Plant'!$E$7:$E$57,1,0)</f>
        <v>86790-0K120BPK</v>
      </c>
      <c r="I72" s="136" t="str">
        <f>VLOOKUP(B72,'By Plant'!$E$6:$E$57,1,0)</f>
        <v>86790-0K120BPK</v>
      </c>
    </row>
    <row r="73" ht="14.25" customHeight="1" spans="8:9" x14ac:dyDescent="0.25">
      <c r="H73" s="136" t="str">
        <f>VLOOKUP(B73,'By Plant'!$E$7:$E$57,1,0)</f>
        <v>86790-0K141BP</v>
      </c>
      <c r="I73" s="136" t="str">
        <f>VLOOKUP(B73,'By Plant'!$E$6:$E$57,1,0)</f>
        <v>86790-0K141BP</v>
      </c>
    </row>
    <row r="74" ht="14.25" customHeight="1" spans="8:9" x14ac:dyDescent="0.25">
      <c r="H74" s="136" t="str">
        <f>VLOOKUP(B74,'By Plant'!$E$7:$E$57,1,0)</f>
        <v>86790-0K141BPK</v>
      </c>
      <c r="I74" s="136" t="str">
        <f>VLOOKUP(B74,'By Plant'!$E$6:$E$57,1,0)</f>
        <v>86790-0K141BPK</v>
      </c>
    </row>
    <row r="75" ht="14.25" customHeight="1" spans="8:9" x14ac:dyDescent="0.25">
      <c r="H75" s="136" t="str">
        <f>VLOOKUP(B75,'By Plant'!$E$7:$E$57,1,0)</f>
        <v>86790-0K141BPKTP1</v>
      </c>
      <c r="I75" s="136" t="str">
        <f>VLOOKUP(B75,'By Plant'!$E$6:$E$57,1,0)</f>
        <v>86790-0K141BPKTP1</v>
      </c>
    </row>
    <row r="76" ht="14.25" customHeight="1" spans="8:9" x14ac:dyDescent="0.25">
      <c r="H76" s="136" t="str">
        <f>VLOOKUP(B76,'By Plant'!$E$7:$E$57,1,0)</f>
        <v>86790-0K141SR</v>
      </c>
      <c r="I76" s="136" t="str">
        <f>VLOOKUP(B76,'By Plant'!$E$6:$E$57,1,0)</f>
        <v>86790-0K141SR</v>
      </c>
    </row>
    <row r="77" ht="14.25" customHeight="1" spans="8:9" x14ac:dyDescent="0.25">
      <c r="H77" s="136" t="str">
        <f>VLOOKUP(B77,'By Plant'!$E$7:$E$57,1,0)</f>
        <v>86790-0K171BP</v>
      </c>
      <c r="I77" s="136" t="str">
        <f>VLOOKUP(B77,'By Plant'!$E$6:$E$57,1,0)</f>
        <v>86790-0K171BP</v>
      </c>
    </row>
    <row r="78" ht="14.25" customHeight="1" spans="8:9" x14ac:dyDescent="0.25">
      <c r="H78" s="136" t="str">
        <f>VLOOKUP(B78,'By Plant'!$E$7:$E$57,1,0)</f>
        <v>86790-0K171BPK</v>
      </c>
      <c r="I78" s="136" t="str">
        <f>VLOOKUP(B78,'By Plant'!$E$6:$E$57,1,0)</f>
        <v>86790-0K171BPK</v>
      </c>
    </row>
    <row r="79" ht="14.25" customHeight="1" spans="8:9" x14ac:dyDescent="0.25">
      <c r="H79" s="136" t="str">
        <f>VLOOKUP(B79,'By Plant'!$E$7:$E$57,1,0)</f>
        <v>86790-0K171BPKTP1</v>
      </c>
      <c r="I79" s="136" t="str">
        <f>VLOOKUP(B79,'By Plant'!$E$6:$E$57,1,0)</f>
        <v>86790-0K171BPKTP1</v>
      </c>
    </row>
    <row r="80" ht="14.25" customHeight="1" spans="8:9" x14ac:dyDescent="0.25">
      <c r="H80" s="136" t="str">
        <f>VLOOKUP(B80,'By Plant'!$E$7:$E$57,1,0)</f>
        <v>86790-0K171SR</v>
      </c>
      <c r="I80" s="136" t="str">
        <f>VLOOKUP(B80,'By Plant'!$E$6:$E$57,1,0)</f>
        <v>86790-0K171SR</v>
      </c>
    </row>
    <row r="81" ht="14.25" customHeight="1" spans="8:9" x14ac:dyDescent="0.25">
      <c r="H81" s="136" t="str">
        <f>VLOOKUP(B81,'By Plant'!$E$7:$E$57,1,0)</f>
        <v>86790-0K181BP</v>
      </c>
      <c r="I81" s="136" t="str">
        <f>VLOOKUP(B81,'By Plant'!$E$6:$E$57,1,0)</f>
        <v>86790-0K181BP</v>
      </c>
    </row>
    <row r="82" ht="14.25" customHeight="1" spans="8:9" x14ac:dyDescent="0.25">
      <c r="H82" s="136" t="str">
        <f>VLOOKUP(B82,'By Plant'!$E$7:$E$57,1,0)</f>
        <v>86790-0K181BPK</v>
      </c>
      <c r="I82" s="136" t="str">
        <f>VLOOKUP(B82,'By Plant'!$E$6:$E$57,1,0)</f>
        <v>86790-0K181BPK</v>
      </c>
    </row>
    <row r="83" ht="14.25" customHeight="1" spans="8:9" x14ac:dyDescent="0.25">
      <c r="H83" s="136" t="str">
        <f>VLOOKUP(B83,'By Plant'!$E$7:$E$57,1,0)</f>
        <v>86790-0K190BP</v>
      </c>
      <c r="I83" s="136" t="str">
        <f>VLOOKUP(B83,'By Plant'!$E$6:$E$57,1,0)</f>
        <v>86790-0K190BP</v>
      </c>
    </row>
    <row r="84" ht="14.25" customHeight="1" spans="8:9" x14ac:dyDescent="0.25">
      <c r="H84" s="136" t="str">
        <f>VLOOKUP(B84,'By Plant'!$E$7:$E$57,1,0)</f>
        <v>86790-0K190BPK</v>
      </c>
      <c r="I84" s="136" t="str">
        <f>VLOOKUP(B84,'By Plant'!$E$6:$E$57,1,0)</f>
        <v>86790-0K190BPK</v>
      </c>
    </row>
    <row r="85" ht="14.25" customHeight="1" spans="8:9" x14ac:dyDescent="0.25">
      <c r="H85" s="136" t="str">
        <f>VLOOKUP(B85,'By Plant'!$E$7:$E$57,1,0)</f>
        <v>86790-0K190BPKTP1</v>
      </c>
      <c r="I85" s="136" t="str">
        <f>VLOOKUP(B85,'By Plant'!$E$6:$E$57,1,0)</f>
        <v>86790-0K190BPKTP1</v>
      </c>
    </row>
    <row r="86" ht="14.25" customHeight="1" spans="8:9" x14ac:dyDescent="0.25">
      <c r="H86" s="136" t="str">
        <f>VLOOKUP(B86,'By Plant'!$E$7:$E$57,1,0)</f>
        <v>86790-0K200BPK</v>
      </c>
      <c r="I86" s="136" t="str">
        <f>VLOOKUP(B86,'By Plant'!$E$6:$E$57,1,0)</f>
        <v>86790-0K200BPK</v>
      </c>
    </row>
    <row r="87" ht="14.25" customHeight="1" spans="8:9" x14ac:dyDescent="0.25">
      <c r="H87" s="136" t="str">
        <f>VLOOKUP(B87,'By Plant'!$E$7:$E$57,1,0)</f>
        <v>86790-0K220BPK</v>
      </c>
      <c r="I87" s="136" t="str">
        <f>VLOOKUP(B87,'By Plant'!$E$6:$E$57,1,0)</f>
        <v>86790-0K220BPK</v>
      </c>
    </row>
    <row r="88" ht="14.25" customHeight="1" spans="8:9" x14ac:dyDescent="0.25">
      <c r="H88" s="136" t="str">
        <f>VLOOKUP(B88,'By Plant'!$E$7:$E$57,1,0)</f>
        <v>86790-0K230BP</v>
      </c>
      <c r="I88" s="136" t="str">
        <f>VLOOKUP(B88,'By Plant'!$E$6:$E$57,1,0)</f>
        <v>86790-0K230BP</v>
      </c>
    </row>
    <row r="89" ht="14.25" customHeight="1" spans="8:9" x14ac:dyDescent="0.25">
      <c r="H89" s="136" t="str">
        <f>VLOOKUP(B89,'By Plant'!$E$7:$E$57,1,0)</f>
        <v>86790-0K230BPK</v>
      </c>
      <c r="I89" s="136" t="str">
        <f>VLOOKUP(B89,'By Plant'!$E$6:$E$57,1,0)</f>
        <v>86790-0K230BPK</v>
      </c>
    </row>
    <row r="90" ht="14.25" customHeight="1" spans="8:9" x14ac:dyDescent="0.25">
      <c r="H90" s="136" t="str">
        <f>VLOOKUP(B90,'By Plant'!$E$7:$E$57,1,0)</f>
        <v>86790-0K310BP</v>
      </c>
      <c r="I90" s="136" t="str">
        <f>VLOOKUP(B90,'By Plant'!$E$6:$E$57,1,0)</f>
        <v>86790-0K310BP</v>
      </c>
    </row>
    <row r="91" ht="14.25" customHeight="1" spans="8:9" x14ac:dyDescent="0.25">
      <c r="H91" s="136" t="str">
        <f>VLOOKUP(B91,'By Plant'!$E$7:$E$57,1,0)</f>
        <v>86790-0K310BPK</v>
      </c>
      <c r="I91" s="136" t="str">
        <f>VLOOKUP(B91,'By Plant'!$E$6:$E$57,1,0)</f>
        <v>86790-0K310BPK</v>
      </c>
    </row>
    <row r="92" ht="14.25" customHeight="1" spans="8:9" x14ac:dyDescent="0.25">
      <c r="H92" s="136" t="str">
        <f>VLOOKUP(B92,'By Plant'!$E$7:$E$57,1,0)</f>
        <v>86790-0K310SR</v>
      </c>
      <c r="I92" s="136" t="str">
        <f>VLOOKUP(B92,'By Plant'!$E$6:$E$57,1,0)</f>
        <v>86790-0K310SR</v>
      </c>
    </row>
    <row r="93" ht="14.25" customHeight="1" spans="8:9" x14ac:dyDescent="0.25">
      <c r="H93" s="136" t="str">
        <f>VLOOKUP(B93,'By Plant'!$E$7:$E$57,1,0)</f>
        <v>86790-0K400BP</v>
      </c>
      <c r="I93" s="136" t="str">
        <f>VLOOKUP(B93,'By Plant'!$E$6:$E$57,1,0)</f>
        <v>86790-0K400BP</v>
      </c>
    </row>
    <row r="94" ht="14.25" customHeight="1" spans="8:9" x14ac:dyDescent="0.25">
      <c r="H94" s="136" t="str">
        <f>VLOOKUP(B94,'By Plant'!$E$7:$E$57,1,0)</f>
        <v>86790-0K400BPK</v>
      </c>
      <c r="I94" s="136" t="str">
        <f>VLOOKUP(B94,'By Plant'!$E$6:$E$57,1,0)</f>
        <v>86790-0K400BPK</v>
      </c>
    </row>
    <row r="95" ht="14.25" customHeight="1" spans="8:9" x14ac:dyDescent="0.25">
      <c r="H95" s="136" t="str">
        <f>VLOOKUP(B95,'By Plant'!$E$7:$E$57,1,0)</f>
        <v>86790-0K400SR</v>
      </c>
      <c r="I95" s="136" t="str">
        <f>VLOOKUP(B95,'By Plant'!$E$6:$E$57,1,0)</f>
        <v>86790-0K400SR</v>
      </c>
    </row>
    <row r="96" ht="14.25" customHeight="1" spans="8:9" x14ac:dyDescent="0.25">
      <c r="H96" s="136" t="str">
        <f>VLOOKUP(B96,'By Plant'!$E$7:$E$57,1,0)</f>
        <v>86790-BZ210GW</v>
      </c>
      <c r="I96" s="136" t="str">
        <f>VLOOKUP(B96,'By Plant'!$E$6:$E$57,1,0)</f>
        <v>86790-BZ210GW</v>
      </c>
    </row>
    <row r="97" ht="14.25" customHeight="1" spans="8:9" x14ac:dyDescent="0.25">
      <c r="H97" s="136" t="str">
        <f>VLOOKUP(B97,'By Plant'!$E$7:$E$57,1,0)</f>
        <v>86790-BZ220GW</v>
      </c>
      <c r="I97" s="136" t="str">
        <f>VLOOKUP(B97,'By Plant'!$E$6:$E$57,1,0)</f>
        <v>86790-BZ220GW</v>
      </c>
    </row>
    <row r="98" ht="14.25" customHeight="1" spans="8:9" x14ac:dyDescent="0.25">
      <c r="H98" s="136" t="str">
        <f>VLOOKUP(B98,'By Plant'!$E$7:$E$57,1,0)</f>
        <v>86790-BZ271GW</v>
      </c>
      <c r="I98" s="136" t="str">
        <f>VLOOKUP(B98,'By Plant'!$E$6:$E$57,1,0)</f>
        <v>86790-BZ271GW</v>
      </c>
    </row>
    <row r="99" ht="14.25" customHeight="1" spans="8:9" x14ac:dyDescent="0.25">
      <c r="H99" s="136" t="str">
        <f>VLOOKUP(B99,'By Plant'!$E$7:$E$57,1,0)</f>
        <v>86790-BZ280GW</v>
      </c>
      <c r="I99" s="136" t="str">
        <f>VLOOKUP(B99,'By Plant'!$E$6:$E$57,1,0)</f>
        <v>86790-BZ280GW</v>
      </c>
    </row>
    <row r="100" ht="14.25" customHeight="1" spans="8:9" x14ac:dyDescent="0.25">
      <c r="H100" s="136" t="str">
        <f>VLOOKUP(B100,'By Plant'!$E$7:$E$57,1,0)</f>
        <v>86790-BZ310BPK</v>
      </c>
      <c r="I100" s="136" t="str">
        <f>VLOOKUP(B100,'By Plant'!$E$6:$E$57,1,0)</f>
        <v>86790-BZ310BPK</v>
      </c>
    </row>
    <row r="101" ht="14.25" customHeight="1" spans="8:9" x14ac:dyDescent="0.25">
      <c r="H101" s="136" t="str">
        <f>VLOOKUP(B101,'By Plant'!$E$7:$E$57,1,0)</f>
        <v>86790-BZ310GW</v>
      </c>
      <c r="I101" s="136" t="str">
        <f>VLOOKUP(B101,'By Plant'!$E$6:$E$57,1,0)</f>
        <v>86790-BZ310GW</v>
      </c>
    </row>
    <row r="102" ht="14.25" customHeight="1" spans="8:9" x14ac:dyDescent="0.25">
      <c r="H102" s="136" t="str">
        <f>VLOOKUP(B102,'By Plant'!$E$7:$E$57,1,0)</f>
        <v>86790-BZ310GWSN1</v>
      </c>
      <c r="I102" s="136" t="str">
        <f>VLOOKUP(B102,'By Plant'!$E$6:$E$57,1,0)</f>
        <v>86790-BZ310GWSN1</v>
      </c>
    </row>
    <row r="103" ht="14.25" customHeight="1" spans="8:9" x14ac:dyDescent="0.25">
      <c r="H103" s="136" t="str">
        <f>VLOOKUP(B103,'By Plant'!$E$7:$E$57,1,0)</f>
        <v>86790-BZ321GW</v>
      </c>
      <c r="I103" s="136" t="str">
        <f>VLOOKUP(B103,'By Plant'!$E$6:$E$57,1,0)</f>
        <v>86790-BZ321GW</v>
      </c>
    </row>
    <row r="104" ht="14.25" customHeight="1" spans="8:9" x14ac:dyDescent="0.25">
      <c r="H104" s="136" t="str">
        <f>VLOOKUP(B104,'By Plant'!$E$7:$E$57,1,0)</f>
        <v>86790-BZ350GW</v>
      </c>
      <c r="I104" s="136" t="str">
        <f>VLOOKUP(B104,'By Plant'!$E$6:$E$57,1,0)</f>
        <v>86790-BZ350GW</v>
      </c>
    </row>
    <row r="105" ht="14.25" customHeight="1" spans="7:7" x14ac:dyDescent="0.25">
      <c r="G105" s="186">
        <f>SUM(C105:F105)</f>
        <v>273657</v>
      </c>
    </row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$A$2:$FA$56"/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By Plant</vt:lpstr>
      <vt:lpstr>Monthly FC (Dont use)</vt:lpstr>
      <vt:lpstr>BP Daily</vt:lpstr>
      <vt:lpstr>BPK Daily</vt:lpstr>
      <vt:lpstr>GW Daily</vt:lpstr>
      <vt:lpstr>SR Daily</vt:lpstr>
      <vt:lpstr>Total</vt:lpstr>
      <vt:lpstr>Sheet1</vt:lpstr>
      <vt:lpstr>Sheet2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Kanyapa Promdee</dc:creator>
  <cp:lastModifiedBy>Unknown</cp:lastModifiedBy>
  <dcterms:created xsi:type="dcterms:W3CDTF">2020-01-29T11:14:50Z</dcterms:created>
  <dcterms:modified xsi:type="dcterms:W3CDTF">2026-02-03T04:43:08Z</dcterms:modified>
</cp:coreProperties>
</file>